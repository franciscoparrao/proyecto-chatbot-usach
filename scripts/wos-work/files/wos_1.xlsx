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avedrecs"/>
  </sheets>
  <calcPr fullCalcOnLoad="1"/>
</workbook>
</file>

<file path=xl/sharedStrings.xml><?xml version="1.0" encoding="utf-8"?>
<sst xmlns="http://schemas.openxmlformats.org/spreadsheetml/2006/main" count="11702" uniqueCount="8140">
  <si>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</si>
  <si>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</si>
  <si>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</si>
  <si>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</si>
  <si>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</si>
  <si>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</si>
  <si>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</si>
  <si>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</si>
  <si>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</si>
  <si>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</si>
  <si>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</si>
  <si>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</si>
  <si>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</si>
  <si>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</si>
  <si>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</si>
  <si>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</si>
  <si>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</si>
  <si>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</si>
  <si>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</si>
  <si>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</si>
  <si>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</si>
  <si>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</si>
  <si>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</si>
  <si>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</si>
  <si>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</si>
  <si>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</si>
  <si>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</si>
  <si>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</si>
  <si>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</si>
  <si>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</si>
  <si>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</si>
  <si>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</si>
  <si>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</si>
  <si>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</si>
  <si>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</si>
  <si>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</si>
  <si>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</si>
  <si>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</si>
  <si>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</si>
  <si>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</si>
  <si>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</si>
  <si>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</si>
  <si>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</si>
  <si>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</si>
  <si>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</si>
  <si>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</si>
  <si>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</si>
  <si>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</si>
  <si>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</si>
  <si>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</si>
  <si>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</si>
  <si>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</si>
  <si>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</si>
  <si>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</si>
  <si>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</si>
  <si>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</si>
  <si>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</si>
  <si>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</si>
  <si>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</si>
  <si>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</si>
  <si>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</si>
  <si>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</si>
  <si>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</si>
  <si>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</si>
  <si>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</si>
  <si>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</si>
  <si>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</si>
  <si>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</si>
  <si>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</si>
  <si>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</si>
  <si>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</si>
  <si>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</si>
  <si>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</si>
  <si>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Ordóñez, M</t>
  </si>
  <si>
    <t>Ordonez, Martin</t>
  </si>
  <si>
    <t>The Checks of the Council: Local Horizontal Accountability's Effects on Municipal Corruption in Latin America</t>
  </si>
  <si>
    <t>PUBLIC PERFORMANCE &amp; MANAGEMENT REVIEW</t>
  </si>
  <si>
    <t>Municipal councils in Latin America are usually expected to restrain the local executive, thus keeping them responsive to local demands, preventing the misuse of public resources, and ensuring the quality of local democracies. However, they regularly fail to perform this role adequately, thus allowing local executives' abusive or arbitrary behavior. The literature on horizontal accountability and anti-corruption strategies highlights the relevance of accountability agents in preventing corruption, but they rarely assess the effectiveness of these activities. Based on the comparative method and relying on qualitative and administrative information, this article analyzes oversight activities that councils perform to control or prevent corruption in ten municipalities from Santiago de Chile. Amidst severe deficiencies in councilors' formal accountability tools, the article contends that councilors, armed with resources, enhanced constituent support, and executive involvement, can rejuvenate and informally expand their formal tools. This empowerment facilitates local executive accountability and deters municipal corruption.</t>
  </si>
  <si>
    <t>1530-9576</t>
  </si>
  <si>
    <t>1557-9271</t>
  </si>
  <si>
    <t>2025 FEB 21</t>
  </si>
  <si>
    <t>10.1080/15309576.2025.2468980</t>
  </si>
  <si>
    <t>FEB 2025</t>
  </si>
  <si>
    <t>WOS:001427391600001</t>
  </si>
  <si>
    <t>Zambrano-Angulo, M; Cárdenas-Jirón, G</t>
  </si>
  <si>
    <t>Zambrano-Angulo, Michael; Cardenas-Jiron, Gloria</t>
  </si>
  <si>
    <t>Charge transport of silicon(iv) and zinc(ii) phthalocyanines by molecular junction models</t>
  </si>
  <si>
    <t>JOURNAL OF MATERIALS CHEMISTRY C</t>
  </si>
  <si>
    <t>In this work, we present a theoretical study on the electronic and charge transport properties of substituted silicon (SiPc) and zinc (ZnPc) phthalocyanines, focusing on their potential utility in solar cells. The effect of various substituents (hydroxyl and primary and secondary amines), central atoms (Zn and Si), and anchor groups (anhydrous and carboxyl) on these properties was systematically analyzed. The band gap energy (Eg) of phthalocyanine-TiO2 was calculated using the band structure for periodic systems with density functional theory (DFT) calculations, employing the meta-GGA and hybrid exchange-correlation functionals. The TB09LDA functional predicted the band gap and density of states (DOS) better. Eg for TiO2 (3.2 eV) decreased in a significative form for the phthalocyanines adsorbed on TiO2 with values in the range of 0.22-0.38 eV. The charge transport properties calculated through non-equilibrium Green's functions combined with DFT (DFT-NEGF) results revealed a superior conductance in silicon-based systems, characterized by transmission peaks near the Fermi level, resulting in enhanced current values under applied voltage. Considering the substituents and anchor groups evaluated, it was found that silicon-based systems incorporating primary amines and carboxyl moieties exhibited the highest current values, reaching up to 0.23 mu A. The results aligned with the desirable attributes required for potential solar cell applications, suggesting that silicon phthalocyanines can be good candidates in photovoltaics.</t>
  </si>
  <si>
    <t>2050-7526</t>
  </si>
  <si>
    <t>2050-7534</t>
  </si>
  <si>
    <t>FEB 13</t>
  </si>
  <si>
    <t>10.1039/d4tc04287e</t>
  </si>
  <si>
    <t>DEC 2024</t>
  </si>
  <si>
    <t>WOS:001388549100001</t>
  </si>
  <si>
    <t>Arratia, J; Ubilla, P</t>
  </si>
  <si>
    <t>Arratia, J.; Ubilla, P.</t>
  </si>
  <si>
    <t>Coupled Elliptic systems with sublinear growth</t>
  </si>
  <si>
    <t>NONLINEAR ANALYSIS-THEORY METHODS &amp; APPLICATIONS</t>
  </si>
  <si>
    <t>Consider the coupled elliptic system { -Delta u+u=rho(1)(x)u(p1)+ lambda v in R-N ( )-Delta v+v=rho(2)(x)v(p2)+lambda u in R-N, u(x),v(x)-&gt; 0 as |x|-&gt;infinity. We observe that in 2008, A. Ambrosetti, G. Cerami and D. Ruiz proved the existence of positive bound and ground states in the case lambda is an element of(0,1), p(1)=p=p(2), 1 &lt;2(&amp; lowast;)-1, rho(1)(x) and rho(2)(x) tends to one at infinity. In this work we complement their result, because we show that the previous system has no solutions when 0</t>
  </si>
  <si>
    <t>Arratia P., Juan Luis/0000-0003-1025-017X</t>
  </si>
  <si>
    <t>0362-546X</t>
  </si>
  <si>
    <t>1873-5215</t>
  </si>
  <si>
    <t>JAN</t>
  </si>
  <si>
    <t>10.1016/j.na.2024.113627</t>
  </si>
  <si>
    <t>AUG 2024</t>
  </si>
  <si>
    <t>WOS:001304473400001</t>
  </si>
  <si>
    <t>Leyton, P; Riquelme, D; Peralta, FA; Navarro, FD; Leiva-Salcedo, E</t>
  </si>
  <si>
    <t>Leyton, Paula; Riquelme, Denise; Peralta, Francisco A.; Navarro, Franco D.; Leiva-Salcedo, Elias</t>
  </si>
  <si>
    <t>Cholinergic stimulation stabilizes TRPM4 in the plasma membrane of cortical pyramidal neurons</t>
  </si>
  <si>
    <t>FRONTIERS IN CELL AND DEVELOPMENTAL BIOLOGY</t>
  </si>
  <si>
    <t>TRPM4 is a calcium activated non-selective cation channel, impermeable to Ca2+, in neurons it has been implicated in the regulation of the excitability and in the persistent firing. Cholinergic stimulation is also implicated in changes in excitability that leads neurons to an increased firing frequency, however it is not clear whether TRPM4 is involved in the cholinergic-induced increase in firing frequency. Here using a combination of patch clamp electrophysiology, Ca2+ imaging, immunofluorescence, fluorescence recovery after photobleaching (FRAP) and pharmacological approach, we demonstrate that carbachol (Cch) increases firing frequency, intracellular Ca2+ and that TRPM4 inhibition using 9-Ph and CBA reduces firing frequency and decreases the peak in intracellular Ca2+ induced by Cch in cortical pyramidal neurons in culture. Moreover, we determined that cholinergic stimulation reduces TRPM4 recycling and stabilizes TRPM4 in the plasma membrane. Together our results indicate that cholinergic stimulation increases firing in a TRPM4 dependent manner, and also increases the TRPM4 stability in the membrane, suggesting that TRPM4 is locked in microdomains in the membrane, possibly signaling or cytoskeleton proteins complexes.</t>
  </si>
  <si>
    <t>Peralta, Francisco/0000-0002-0727-1706</t>
  </si>
  <si>
    <t>2296-634X</t>
  </si>
  <si>
    <t>JUL 23</t>
  </si>
  <si>
    <t>10.3389/fcell.2024.1440140</t>
  </si>
  <si>
    <t>WOS:001283907200001</t>
  </si>
  <si>
    <t>Romero, S; González, A; Osorio, H; Segura, R; Moenne, A</t>
  </si>
  <si>
    <t>Romero, Stephanie; Gonzalez, Alberto; Osorio, Hector; Segura, Rodrigo; Moenne, Alejandra</t>
  </si>
  <si>
    <t>Copper Is Accumulated as Copper Sulfide Particles, and Not Bound to Glutathione, Phytochelatins or Metallothioneins, in the Marine Alga Ulva compressa (Chlorophyta)</t>
  </si>
  <si>
    <t>INTERNATIONAL JOURNAL OF MOLECULAR SCIENCES</t>
  </si>
  <si>
    <t>To analyze the mechanism of copper accumulation in the marine alga Ulva compressa, it was cultivated with 10 mu M of copper, with 10 mu M of copper and increasing concentrations of a sulfide donor (NaHS) for 0 to 7 days, and with 10 mu M of copper and a concentration of the sulfide acceptor (hypotaurine) for 5 days. The level of intracellular copper was determined as well as the level of glutathione (GSH) and phytochelatins (PCs) and the expression of metallothioneins (UcMTs). The level of intracellular copper in the algae treated with copper increased at day 1, slightly increased until day 5 and remained unchanged until day 7. The level of copper in the algae cultivated with copper and 100 or 200 mu M of NaHS continuously increased until day 7 and the copper level was higher in the algae cultivated with 200 mu M of NaHS compared to 100 mu M of NaHS. In contrast, the level of intracellular copper decreased in the algae treated with copper and hypotaurine. The level of intracellular copper did not correlate with the level of GSH or with the expression of UcMTs, and PCs were not detected in response to copper, or copper and NaHS. Algae treated with copper and with copper and 200 mu M of NaHS for 5 days were visualized by TEM and the elemental composition of electrondense particles was analyzed by EDXS. The algae treated with copper showed electrondense particles containing copper and sulfur, but not nitrogen, and they were mainly located in the chloroplast, but also in the cytoplasm. The algae treated with copper and NaHS showed a higher level of electrondense particles containing copper and sulfur, but not nitrogen, and they were located in the chloroplast, and in the cytoplasm. Thus, copper is accumulated as copper sulfide insoluble particles, and not bound to GSH, PCs or UcMTs, in the marine alga U. compressa.</t>
  </si>
  <si>
    <t>Segura, Rodrigo/J-6696-2016; Figueroa, Alberto/AAA-7911-2020</t>
  </si>
  <si>
    <t>Gonzalez Figueroa, Alberto/0000-0002-5777-9022; Moenne, Alejandra/0000-0002-7309-9713; Segura, Rodrigo/0000-0001-5747-2357</t>
  </si>
  <si>
    <t>1661-6596</t>
  </si>
  <si>
    <t>1422-0067</t>
  </si>
  <si>
    <t>JUL</t>
  </si>
  <si>
    <t>10.3390/ijms25147632</t>
  </si>
  <si>
    <t>WOS:001278913100001</t>
  </si>
  <si>
    <t>Monasterio, A; Osorio, FA</t>
  </si>
  <si>
    <t>Monasterio, Angela; Osorio, Fernando A.</t>
  </si>
  <si>
    <t>Physicochemical Properties of Nanoliposomes Encapsulating Grape Seed Tannins Formed with Ultrasound Cycles</t>
  </si>
  <si>
    <t>FOODS</t>
  </si>
  <si>
    <t>Grape seeds are an excellent source of flavonoids and tannins with powerful antioxidant properties. However, the astringency of tannins limits their direct incorporation into food. To overcome this challenge, we investigated the encapsulation of grape seed tannins within nanoliposomes formed by ultrasound cycling. We characterized the nanoliposomes' physicochemical properties, including encapsulation efficiency, antioxidant activity, stability, microstructure, and rheological properties. Our findings reveal that the nanoliposomes exhibited excellent stability under refrigerated conditions for up to 90 days with a mean particle size of 228 +/- 26 nm, a polydispersity index of 0.598 +/- 0.087, and a zeta potential of -41.6 +/- 1.30 mV, maintaining a spherical multilamellar microstructure. Moreover, they displayed high antioxidant activity, with encapsulation efficiencies of 79% for epicatechin and 90% for catechin. This innovative approach demonstrates the potential of using ultrasound-assisted nanoliposome encapsulation to directly incorporate grape seed tannins into food matrices, providing a sustainable and efficient method for enhancing their bioavailability and functionality.</t>
  </si>
  <si>
    <t>; osorio, fernando/AAY-7304-2021</t>
  </si>
  <si>
    <t>Monasterio, Angela/0000-0001-7309-0746; osorio, fernando/0000-0001-7206-0924</t>
  </si>
  <si>
    <t>2304-8158</t>
  </si>
  <si>
    <t>FEB</t>
  </si>
  <si>
    <t>10.3390/foods13030414</t>
  </si>
  <si>
    <t>WOS:001160361500001</t>
  </si>
  <si>
    <t>Bobadilla-Fazzini, RA; Poblete-Castro, I</t>
  </si>
  <si>
    <t>Bobadilla-Fazzini, Roberto A.; Poblete-Castro, Ignacio</t>
  </si>
  <si>
    <t>Establishing a green biodesulfurization process for iron ore concentrates in stirred tank and leaching column bioreactors using Acidithiobacillus thiooxidans</t>
  </si>
  <si>
    <t>FRONTIERS IN BIOENGINEERING AND BIOTECHNOLOGY</t>
  </si>
  <si>
    <t>The presence of sulfur impurities in complex iron ores represents a significant challenge for the iron mining and steel-making industries as their removal often necessitates the use of hazardous chemicals and energy-intensive processes. Here, we examined the microbial and mineralogical composition of both primary and secondary iron concentrates, identifying the presence of Sulfobacillus spp. and Leptospirillum spp., while sulfur-oxidizing bacteria were absent. We also observed that these concentrates displayed up to 85% exposed pyrrhotite. These observations led us to explore the capacity of Acidithiobacillus thiooxidans to remove pyrrhotite-sulfur impurities from iron concentrates. Employing stirred tank bioreactors operating at 30(degrees)C and inoculated with 5 center dot 106 (At. thiooxidans cells mL-1), we achieved 45.6% sulfur removal over 16 days. Then, we evaluated packed leaching columns operated at 30(degrees)C, where the At. thiooxidans enriched system reached 43.5% desulfurization over 60 days. Remarkably, sulfur removal increased to 80% within 21 days under potassium limitation. We then compared the At. thiooxidans-mediated desulfurization process, with and without air supply, under potassium limitation, varying the initial biomass concentration in 1-m columns. Aerated systems facilitated approximately 70% sulfur removal across the entire column with minimal iron loss. In contrast, non-aerated leaching columns achieved desulfurization levels of only 6% and 26% in the lower and middle sections of the column, respectively. Collectively, we have developed an efficient, scalable biological sulfur-removal technology for processing complex iron ores, aligning with the burgeoning demand for sustainable practices in the mining industry.</t>
  </si>
  <si>
    <t>Poblete-Castro, Ignacio/J-2755-2019</t>
  </si>
  <si>
    <t>Poblete-Castro, Ignacio/0000-0001-6649-0389</t>
  </si>
  <si>
    <t>2296-4185</t>
  </si>
  <si>
    <t>DEC 13</t>
  </si>
  <si>
    <t>10.3389/fbioe.2023.1324417</t>
  </si>
  <si>
    <t>WOS:001132701500001</t>
  </si>
  <si>
    <t>Velásquez, J</t>
  </si>
  <si>
    <t>Velasquez, Javiera</t>
  </si>
  <si>
    <t>STRATEGIES OF COMBATAND CULTURAL RESISTANCETO THE CHILEAN DICTATORSHIP: THE POPULAR REBELLION OF MASSES OFTHE COMMUNIST PARTY FROMTHE MUSICAL EXPERIENCE (1986-1988)</t>
  </si>
  <si>
    <t>HISTORIA 396</t>
  </si>
  <si>
    <t>The aim of this article is to approach from a cultural history perspective the dissemination and propaganda work carried out through music by the Communist Youth of Chile (JJ.CC.) and the Manuel Rodriguez Patriotic Front (FPMR), within the framework of the Popular Mass Rebellion Policy (PRPM) promoted by the Communist Party (PC). Under the clandestinity that the Chilean civil-military dictatorship meant for the leftist political parties, different strategies of resistance to the regime and dissemination of the political project were developed, among them the production of music on cassette. Here we highlight El Camotazo (JJ.CC.) and En medio del combate... cantamos (FPMR). Both works captured the main generational guidelines of the Popular Rebellion, strengthening an imaginary around self-defense and confrontational struggle, especially armed. These works show a combination of the old practices of communist culture and the new elements brought about by the 1980s: diffusion and insertion of the masses through cultural strategies (in this case, music) and the new allegories of revolutionary political violence exercised in the context of the Popular Mass Rebellion. Based on the above, we seek to analyze the experience of both works and the role they played in the strengthening of the Popular Rebellion, gestating and sharpening those new perspectives of struggle in Chile.</t>
  </si>
  <si>
    <t>0719-0719</t>
  </si>
  <si>
    <t>0719-7969</t>
  </si>
  <si>
    <t>JUL-DEC</t>
  </si>
  <si>
    <t>WOS:001164876600011</t>
  </si>
  <si>
    <t>García-Leal, J; Pérez, ATE; Vásquez, OC</t>
  </si>
  <si>
    <t>Garcia-Leal, Javiera; Perez, Andrea Teresa Espinoza; Vasquez, Oscar C.</t>
  </si>
  <si>
    <t>Sustainable diets optimal design for the massive food services: economic versus environmental aspects</t>
  </si>
  <si>
    <t>INTERNATIONAL JOURNAL OF LIFE CYCLE ASSESSMENT</t>
  </si>
  <si>
    <t>PurposeAmong the Sustainable Development Goals (SDG), the global warming and malnutrition relationship relies on food consumption patterns. It calls for a decisive change in food consumption patterns by offering nutritionally adequate, acceptable, affordable, and environmentally friendly menus in massive food services. Therefore, the research question can be defined as: Are there menus considering several servings, nutritionally adequate, acceptable, affordable, and environmentally friendly?MethodsTo address this problem, we focus on the dilemma between minimizing the equivalent carbon dioxide (CO(2)eq) emitted in the entire production process of a menu, the monthly acquisition cost, and the selection of the most nutritionally adequate menu possible. Specifically, we formulated three multi-objective quadratic mixed integer programming (QMIP) models: (i) minimization of CO(2)eq emissions and the selection of the most nutritionally adequate menu possible, (ii) minimization of the monthly acquisition cost of the system and the selection of the most nutritionally adequate menu possible, and (iii) the weighting of CO(2)eq emissions, the monthly acquisition cost, and the selection of the most nutritionally adequate menu possible. All are subject to the same nutritional constraints, operational requirements, and cultural acceptability. Chile is the case study to illustrate the proposal's usefulness, which is one of the wealthiest countries in the Global South with the highest prevalence of overweight. In addition, Chile has addressed various international initiatives, where greenhouse gas reduction is one of the most important commitments. Consequently, alternatives to change food consumption patterns are required. We selected a prestigious Chilean public university in Santiago, which houses all the communities on a single campus. The university offers a daily lunch menu consisting of a starter, main dish, and dessert, considering a set of nutritional aspects: proteins, lipids, carbohydrates, saturated fatty acids, fiber, cholesterol, sodium, and calories.ResultsAs a result of the 6-month optimization, minimizing acquisition costs proposes cheaper menus with higher CO(2)eq emissions than those proposed by the emission minimization. However, when both objective functions are weighted by 50%, results reach saved costs equivalent to 53,030 USD and emission reduction by around 94,900 kg CO(2)eq in the 6 months, compared to the data the menus delivered by the university.ConclusionsIt shows that, despite assessing conflicting objectives, it is possible to design nutritionally adequate, acceptable, affordable, and environmentally friendly menus for the case study presented. Future research considers solution approaches for multi-objective optimization as genetic algorithms and includes maximizing the number of servings to deliver.</t>
  </si>
  <si>
    <t>; Espinoza Perez, Andrea Teresa/M-4426-2014</t>
  </si>
  <si>
    <t>Vasquez, Oscar C./0000-0002-1393-4692; Espinoza Perez, Andrea Teresa/0000-0002-6362-9100</t>
  </si>
  <si>
    <t>0948-3349</t>
  </si>
  <si>
    <t>1614-7502</t>
  </si>
  <si>
    <t>NOV</t>
  </si>
  <si>
    <t>SI</t>
  </si>
  <si>
    <t>10.1007/s11367-023-02163-z</t>
  </si>
  <si>
    <t>MAY 2023</t>
  </si>
  <si>
    <t>WOS:000988388300001</t>
  </si>
  <si>
    <t>González, HMC</t>
  </si>
  <si>
    <t>Cataldo Gonzalez, Hector Mauricio</t>
  </si>
  <si>
    <t>The meeting and virtual technology</t>
  </si>
  <si>
    <t>CUESTIONES DE FILOSOFIA</t>
  </si>
  <si>
    <t>The article unfolds the concept of encounter from a reading of 48 of Galileo Galilei's The Assayer, developing an analysis that projects a critical interpretation of current virtual reality technology. Likewise, from a specific analysis about language, which both Friedrich Nietzsche and Hannah Arendt develop in certain writings, I argue, applying the analysis of the concept of encounter, that Galilean scientific reason suppresses, closes and rejects human perception installing in its place the modern scientific invention, namely the modern-contemporary mathematized reality, and whose current expression is digital technology. In this way, I conclude the article with a critique of the technological devices for data extraction, taking as a guideline the analytical deployment of encounter.</t>
  </si>
  <si>
    <t>0123-5095</t>
  </si>
  <si>
    <t>2389-9441</t>
  </si>
  <si>
    <t>JAN-JUN</t>
  </si>
  <si>
    <t>10.19053/01235095.v9.n32.2023.13680</t>
  </si>
  <si>
    <t>WOS:001025117100003</t>
  </si>
  <si>
    <t>Dellepiani, MG; Munoz, GR; Yanez, SJ; Guzman, CF; Flores, EIS; Pina, JC</t>
  </si>
  <si>
    <t>Dellepiani, Matias Godoy; Munoz, Guillermo Roa; Yanez, Sergio J.; Guzman, Carlos Felipe; Flores, Erick I. Saavedra; Pina, Juan Carlos</t>
  </si>
  <si>
    <t>Numerical study of the thermo-mechanical behavior of steel-timber structures exposed to fire</t>
  </si>
  <si>
    <t>JOURNAL OF BUILDING ENGINEERING</t>
  </si>
  <si>
    <t>The latest trends in the construction industry related to sustainable buildings, has driven the use of timber as a construction material. One example is the continuous increase of timber structural elements made of Cross-Laminated Timber (CLT) walls , floors. In this context, Steel-Timber Composite (STC) floors, composed of CLT slabs and steel beams, represent a new alternative to traditional floor systems. Some advantages of STC structures are a reduction of the building mass and better thermal insulation, among others. Despite these benefits, the response of timber structures under a fire scenario remains a consistent concern. To address this issue, in this paper the thermo-mechanical response of STC structures exposed to fire is investigated. To this end, a one way coupled Computational Fluid Dynamics (CFD) and Finite Element Method (FEM) approach was employed. The software Fire Dynamics Simulator (FDS) was used for the CFD fire analyses and ANSYS for the FEM transient heat transfer and thermo-mechanical analyses. Three different STC floor structural configurations, having similar pre-fire performance, were proposed to assess their response when subjected to a given fire scenario. A representative room of a residential building was defined to simulate an accidental fire scenario to which the STC floor structures were exposed. The material properties and fire features were adopted in accordance with the Eurocode Standard and recent investigations found in the literature. The results indicated that after a 30 min fire exposure the CLT slabs showed a 25 mm thick charred layer on their exposed surface. Furthermore, compression failure was identified in the CLT slab upper fibres. Regarding to the steel beams, local buckling , fracture in the area next to the end supports was observed. Overall, STC structures with closed cross sections steel beams showed a better fire performance than those that included open cross sections such as I-shaped ones.</t>
  </si>
  <si>
    <t>Yanez, Sergio/G-5230-2019; Pina, Juan/AAC-3455-2021; Guzman, Carlos Felipe/D-7722-2013</t>
  </si>
  <si>
    <t>Pina, Juan Carlos/0000-0003-2556-3638; Guzman, Carlos Felipe/0000-0002-5537-3854; Yanez, Sergio/0000-0002-8856-0955</t>
  </si>
  <si>
    <t>2352-7102</t>
  </si>
  <si>
    <t>APR 15</t>
  </si>
  <si>
    <t>10.1016/j.jobe.2022.105758</t>
  </si>
  <si>
    <t>DEC 2022</t>
  </si>
  <si>
    <t>WOS:000997352000001</t>
  </si>
  <si>
    <t>Urrea, C; Kern, J; López-Escobar, R</t>
  </si>
  <si>
    <t>Urrea, Claudio; Kern, John; Lopez-Escobar, Ricardo</t>
  </si>
  <si>
    <t>Design of Chaotic Interleaver Based on Duffing Map for Turbo Code</t>
  </si>
  <si>
    <t>SYMMETRY-BASEL</t>
  </si>
  <si>
    <t>This article presents the performance analysis and comparison of turbo codes for several interleavers with short blockchains. According to the symmetry concept, turbo codes consist of two symmetric convolutional codes preceded by an interleaver. Some interleavers can be described by symmetric 3 x 3 generator matrices, whereas others are represented through symmetric matrices in which the nonzero terms in the matrix are monomials. Interest in short blockchains has grown over the years because of their use in emerging applications that require the transmission of data units in the order of hundred bits. In this research, interleavers used are random interleaver, semi-random interleaver, quadratic polynomial permutation (QPP) interleaver, and chaotic Lozi map interleaver. For each interleaver, the turbo code is assessed with at least two short data distances; then, the interleavers are compared against each other. The performance of turbo codes is assessed based on bit error rate, particularly with lengths between 64 and 512 bits. Additionally, an interleaver based on Duffing chaotic maps is proposed, whose deterministic nature provides an advantage, and the performance results are presented, achieving excellent BER values for 64 bits. With these results, the effect of the interleaver on turbo codes and particularly on short block length interleavers, is studied.</t>
  </si>
  <si>
    <t>Claudio, URREA/KWU-1600-2024</t>
  </si>
  <si>
    <t>Lopez Escobar, Ricardo/0000-0001-7619-4735; Urrea, Claudio/0000-0001-7197-8928</t>
  </si>
  <si>
    <t>2073-8994</t>
  </si>
  <si>
    <t>DEC</t>
  </si>
  <si>
    <t>10.3390/sym14122529</t>
  </si>
  <si>
    <t>WOS:000903485200001</t>
  </si>
  <si>
    <t>Verdejo-Fredes, H; García-Muñoz, F; Tobar, F; Becker, C; Olivares, M; Zolezzi, J; Guzmán, G</t>
  </si>
  <si>
    <t>Verdejo-Fredes, Humberto; Garcia-Munoz, Fernando; Tobar, Francisco; Becker, Cristhian; Olivares, Mauricio; Zolezzi, Juan; Guzman, Guillermo</t>
  </si>
  <si>
    <t>Retail Electricity Market Liberalization: An Overview of International Experience and Effects on the Chilean Regulated Tariff</t>
  </si>
  <si>
    <t>SUSTAINABILITY</t>
  </si>
  <si>
    <t>The Chilean government is looking to liberalize the retail electricity market to increase competitiveness and reduce the price of electricity for residential and small/medium commercial customers. Under this context, the article aims to enrich the legislative debate by providing an overview of the international experience of the electricity market liberalization that started in the early 1990s and presents forecasting for the regulated Chilean price until 2034, considering the current tenders and the price stabilization mechanism. In addition, multiple simulations are developed to measure the market effect of retail liberalization on regulated customers. In this regard, the results suggest a significant regulated price increase from 2022 to 2032, produced mainly by the stabilization mechanism, which overshadows the low prices obtained in recent renewable generation supply tenders. However, if the retail market is liberalized, the simulation indicates that regulated customers could save between 15% and 20% on their electricity bills.</t>
  </si>
  <si>
    <t>García-Muñoz, Fernando/AAX-9963-2020</t>
  </si>
  <si>
    <t>Garcia-Munoz, Fernando/0000-0001-9376-4357; , Cristhian Becker/0000-0001-6943-5086; Zolezzi Cid, Juan Manuel/0009-0001-5377-0688</t>
  </si>
  <si>
    <t>2071-1050</t>
  </si>
  <si>
    <t>10.3390/su142113996</t>
  </si>
  <si>
    <t>WOS:000881706500001</t>
  </si>
  <si>
    <t>Sierra, JM; Yáñez-Urbina, C; Donoso, CC; Araya, N</t>
  </si>
  <si>
    <t>Martinez Sierra, Jordan; Yanez-Urbina, Cristopher; Calquin Donoso, Claudia; Araya, Nicolas</t>
  </si>
  <si>
    <t>Systematic Mapping of Empirical Research in Non-Sexist Education between 1970 and 2020</t>
  </si>
  <si>
    <t>REVISTA EDUCACION</t>
  </si>
  <si>
    <t>This article investigates the production and circulation of scientific knowledge on non-sexist education between 1970 and 2020 to account for the adopted meanings as a proposal for diagnosis and pedagogical intervention from categories, methods, and ethical positions -politicians. This article investigates the production and circulation of scientific knowledge on non-sexist education between 1970 and 2020 to account for the adopted meanings as a proposal for diagnosis and pedagogical intervention from categories, methods, and ethical positions -politicians. Methodologically, 203 empirical articles were selected through a systematic mapping study from the databases Scielo, Scopus, Web of Science, Taylor &amp; Francis, Jstor, and ERIC. The articles were analyzed in terms of their general description (periodicity, trend of journals, and geographical distribution), the methodologies used, and the topics covered. Moreover, the results show a growing field of research with a focus on English-speaking countries. Likewise, the use of qualitative methodologies with an emphasis on higher education and an increasing interest in secondary education stands out. In conclusion, three hypotheses result from the present research: the evolution of the epistemological and methodological approach to non-sexist education, a research field that fails to institutionalize itself, and the social movements in favor of the portrayal of gender and sexuality in education.</t>
  </si>
  <si>
    <t>Yáñez-Urbina, Cristopher/AFO-9564-2022; Araya, Nicolás/G-5374-2015</t>
  </si>
  <si>
    <t>0379-7082</t>
  </si>
  <si>
    <t>2215-2644</t>
  </si>
  <si>
    <t>10.15517/revedu.v46i2.47929</t>
  </si>
  <si>
    <t>WOS:000822501500003</t>
  </si>
  <si>
    <t>Gutierrez, D; Benavides, A; Valenzuela, B; Mascayano, C; Aldabaldetrecu, M; Olguin, A; Guerrero, J; Modak, B</t>
  </si>
  <si>
    <t>Gutierrez, Daniela; Benavides, Almendra; Valenzuela, Beatriz; Mascayano, Carolina; Aldabaldetrecu, Maialen; Olguin, Angel; Guerrero, Juan; Modak, Brenda</t>
  </si>
  <si>
    <t>Evaluation of the Antiviral Activity against Infectious Pancreatic Necrosis Virus (IPNV) of a Copper (I) Homoleptic Complex with a Coumarin as Ligand</t>
  </si>
  <si>
    <t>MOLECULES</t>
  </si>
  <si>
    <t>The aquatic infectious pancreatic necrosis virus (IPNV) causes a severe disease in farmed salmonid fish that generates great economic losses in the aquaculture industry. In the search for new tools to control the disease, in this paper we show the results obtained from the evaluation of the antiviral effect of [Cu(NN1)(2)](ClO4) Cu(I) complex, synthesized in our laboratory, where the NN1 ligand is a synthetic derivate of the natural compound coumarin. This complex demonstrated antiviral activity against IPNV at 5.0 and 15.0 mu g/mL causing a decrease viral load 99.0% and 99.5%, respectively. The Molecular Docking studies carried out showed that the copper complex would interact with the VP2 protein, specifically in the S domain, altering the process of entry of the virus into the host cell.</t>
  </si>
  <si>
    <t>Mascayano Collado, Carolina Lorena/0000-0002-3488-9309; Modak Canobra, Brenda/0000-0001-5292-0480</t>
  </si>
  <si>
    <t>1420-3049</t>
  </si>
  <si>
    <t>10.3390/molecules27010032</t>
  </si>
  <si>
    <t>WOS:000749450500001</t>
  </si>
  <si>
    <t>Navarrete, MS; Adrian, C; Bachelet, VC</t>
  </si>
  <si>
    <t>Navarrete, Maria S.; Adrian, Constanza; Bachelet, Vivienne C.</t>
  </si>
  <si>
    <t>Respondent-driven sampling: Advantages and disadvantages from a sampling method</t>
  </si>
  <si>
    <t>MEDWAVE</t>
  </si>
  <si>
    <t>This article summarizes the main elements, advantages, and disadvantages of Respondent-driven Sampling (RDS). Some criticisms regarding the feasibility of the inherent assumptions, their point estimators, and the obtained variances are pointed out. This article also comments on the problems observed in the quality of reports. Surveys using RDS should be methodologically sound as they are being applied to define priorities in health programs and develop national and international policies for financing service delivery, among other uses. However, there is considerable potential for bias related to implementation and analytical errors. There is limited empirical evidence on how representative the results obtained by RDS are, and the quest to improve the methodology is still in progress. Nevertheless, to have confidence in RDS results, we must verify that the social structure of the networks conforms to the assumptions required by the theory, that the sampling assumptions are reasonably fulfilled, and that the quality of the report is optimal, particularly for methodological and analytical items.</t>
  </si>
  <si>
    <t>Bachelet, Vivienne/JAN-7158-2023; NAVARRETE, MARISOL/AAG-4222-2020</t>
  </si>
  <si>
    <t>Navarrete, Maria S/0000-0002-5411-4498; Bachelet, Vivienne C./0000-0002-5715-9755; adrian, constanza/0000-0002-7416-9517</t>
  </si>
  <si>
    <t>0717-6384</t>
  </si>
  <si>
    <t>JAN-FEB</t>
  </si>
  <si>
    <t>10.5867/medwave.2022.01.002528</t>
  </si>
  <si>
    <t>WOS:000765027100008</t>
  </si>
  <si>
    <t>Siginer, DA</t>
  </si>
  <si>
    <t>Siginer, Dennis A.</t>
  </si>
  <si>
    <t>Inertial diffusivity of non-colloidal particles in unbounded suspending media and numerical simulations</t>
  </si>
  <si>
    <t>JOURNAL OF MOLECULAR LIQUIDS</t>
  </si>
  <si>
    <t>Suspensions in industrial manufacturing processes are prevalent across a spectrum of diverse industries adding more emphasis to the fundamental challenge of predicting on a sound basis the rheological properties as well as the constitutive structure of non-colloidal suspensions under forcing. Thus, the raison d'etre of the present work, a comprehensive up-to-date review of an important segment of the noncolloidal suspension mechanics covering the inertial diffusivity of non-colloidal particles in suspension in an unbounded Newtonian fluid medium followed by the closely related review of the numerical simulations of unbounded suspensions. The presence of the boundaries introduces extensive complications and the progress made in inertial and shear induced self-diffusivity in bounded Newtonian and viscoelastic suspending media will be covered in an upcoming review article dedicated to this topic. Efforts have not been spared to be thorough in the presentation with commentaries about the successes and failures of each theory and the reasons behind them expounded within the framework of their historical context. The link between different theories and the naturally unfolding succession of theories over time borne out of the necessity for better predictions as well as the challenges in the field at this time are given much emphasis at the expanse of a detailed in-depth account of various theories. For a detailed in-depth exposition, the reader is referred to the extensive reference list. (C) 2021 Elsevier B.V. All rights reserved.</t>
  </si>
  <si>
    <t>0167-7322</t>
  </si>
  <si>
    <t>1873-3166</t>
  </si>
  <si>
    <t>DEC 1</t>
  </si>
  <si>
    <t>10.1016/j.molliq.2021.117471</t>
  </si>
  <si>
    <t>OCT 2021</t>
  </si>
  <si>
    <t>WOS:000708703200004</t>
  </si>
  <si>
    <t>Abarzúa, CO</t>
  </si>
  <si>
    <t>Osorio Abarzua, Carlos</t>
  </si>
  <si>
    <t>Detected secrets for nature by Antoine van Leeuwenhoek</t>
  </si>
  <si>
    <t>REVISTA CHILENA DE INFECTOLOGIA</t>
  </si>
  <si>
    <t>One of the works, probably less known, of Antoine van Leeuwenhoek (1632-1723) is his Arcana naturae detecta (Detected secrets of nature) published in its first edition in 1695. This work is a compilation of 38 letters on scientific issues and it is beautifully illustrated. A notable section of the work is the observation and description for the first time of fermentation yeasts and his experiments on the spontaneous generation of microorganisms.</t>
  </si>
  <si>
    <t>0716-1018</t>
  </si>
  <si>
    <t>0717-6341</t>
  </si>
  <si>
    <t>AUG</t>
  </si>
  <si>
    <t>WOS:000708129800013</t>
  </si>
  <si>
    <t>B</t>
  </si>
  <si>
    <t>Labarca, M</t>
  </si>
  <si>
    <t>Labarca, Mariana</t>
  </si>
  <si>
    <t>ITINERARIES AND LANGUAGES OF MADNESS IN THE EARLY MODERN WORLD Conclusion</t>
  </si>
  <si>
    <t>ITINERARIES AND LANGUAGES OF MADNESS IN THE EARLY MODERN WORLD: Family Experience, Legal Practice, and Medical Knowledge in Eighteenth-Century Tuscany</t>
  </si>
  <si>
    <t>Routledge Studies in Renaissance and Early Modern Worlds of Knowledge</t>
  </si>
  <si>
    <t>978-0-367-52829-4; 978-1-003-05855-7; 978-0-367-52828-7</t>
  </si>
  <si>
    <t>10.4324/9781003058557</t>
  </si>
  <si>
    <t>WOS:000807304300008</t>
  </si>
  <si>
    <t>Leal, R</t>
  </si>
  <si>
    <t>Leal, Rene</t>
  </si>
  <si>
    <t>The Rise of Fascist Formations in Chile and in the World</t>
  </si>
  <si>
    <t>SOCIAL SCIENCES-BASEL</t>
  </si>
  <si>
    <t>This essay examines the contemporary crisis in Chile in the context of the rise of the global far right. What led to the popular uprising in Chile in October 2019, and what forces are represented by its violent state repression? Fascist formations are currently developing in various nations; Umberto Eco's concept of Ur-Fascism is useful in tracing the range of fascisms and their characteristics. These include populism, nationalism, racism, and syncretic traditionalism. In Chile, the racism of the far right is directed against its indigenous people more than immigrants. The 'unfinished business' of capitalist development here is the historical background of the oppressive relationship established by the 'West' over the 'Rest', in Stuart Hall's terms. Fascism emerges periodically, temporarily resolving crises of accumulation through runaway activity of capital, entailing suppression of the working class and its organization. Neoliberalism has been the latest form of this exacerbation, but as its contradictions have intensified, its ideology no longer manages to mask the exploitation and secure consent. Neoliberalism, trialed in Chile after the 1973 coup under United States hegemony, became globally entrenched following the collapse of Soviet-bloc socialism and the ensuing weaknesses and crises of the organized left and the decay of social democracy. Neoliberal ideology has sustained capital at the same time as neoliberal policies have augmented the precarity of subordinated classes. As this becomes apparent with the sharpening of contradictions, the anachronistic relationship between liberalism and democracy has been deeply damaged. It becomes clear that capital's profitability is privileged over the needs and wishes of the people. In this framework, to explore the rise and meaning of fascism is thus to examine the condition and possibilities of modernity and its limits. Modernity is besieged by pressurs coming from premodern esentialist conceptions of the world and also by the postmodernist's view of chaos and fragmentation of a spontaneous social order; neoliberalism becomes compatible with both. Fascism lacks a coherence, but is anchored emotionally to archetypal foundations. Its very eclecticism embraces a wide range of anti-socialist and anti-capitalist discourses, which have enabled it to take root in mass movements. Its ideological resolution of the contradiction between capital and labor is temporary: the intensifying of capital accumulation activates its opposition, to the point where the distorting effect of ideology is unveiled and contradictions appear as class struggle. The longstanding imposition of neoliberalism in Chile, and the runaway activity of capital which it supported have has been rejected and partially defeated by the October 2019 rebellion in Chile. The far right has backed down but has not been defeated. The plebiscite of 25 October 2020 has delivered the people's verdict on neoliberalism. However, in the different global and national circumstances of 2021, the fascists still among us may yet seek to reassert the order that they sought in 1973.</t>
  </si>
  <si>
    <t>2076-0760</t>
  </si>
  <si>
    <t>10.3390/socsci9120230</t>
  </si>
  <si>
    <t>WOS:000683735900015</t>
  </si>
  <si>
    <t>Peña, R; Vílches, J; G-Poblete, C; Ganga, MA</t>
  </si>
  <si>
    <t>Pena, Ruben; Vilches, Jeniffer; G-Poblete, Camila; Ganga, Maria Angelica</t>
  </si>
  <si>
    <t>Effect ofCandida intermediaLAMAP1790 Antimicrobial Peptides against Wine-Spoilage YeastsBrettanomyces bruxellensisandPichia guilliermondii</t>
  </si>
  <si>
    <t>FERMENTATION-BASEL</t>
  </si>
  <si>
    <t>Wine spoilage yeasts are one of the main issues in the winemaking industry, and the control of theBrettanomycesandPichiagenus is an important goal to reduce economic loses from undesired aromatic profiles. Previous studies have demonstrated thatCandida intermediaLAMAP1790 produces antimicrobial peptides of molecular mass under 10 kDa with fungicide activity againstBrettanomyces bruxellensis, without affecting the yeastSaccharomyces cerevisiae. So far, it has not been determined whether these peptides show biocontroller effect in this yeast or other spoilage yeasts, such asPichia guilliermondii. In this work, we determined that the exposure ofB. bruxellensisto the low-mass peptides contained in the culture supernatant ofC. intermediaLAMAP1790 produces a continuous rise of reactive oxygen species (ROS) in this yeast, without presenting a significant effect on membrane damage. These observations can give an approach to the antifungal mechanism. In addition, we described a fungicide activity of these peptides fraction against two strains ofP. guilliermondiiin a laboratory medium. However, carrying out assays on synthetic must, peptides must show an effect on the growth ofB. bruxellensis. Moreover, these results can be considered as a start to develop new strategies for the biocontrol of spoilage yeast.</t>
  </si>
  <si>
    <t>González, Camila/JDC-3277-2023; Ganga, Maria/S-8176-2019</t>
  </si>
  <si>
    <t>Gonzalez Poblete, Camila/0000-0003-3095-5505; Pena, Ruben/0000-0002-8246-1008</t>
  </si>
  <si>
    <t>2311-5637</t>
  </si>
  <si>
    <t>SEP</t>
  </si>
  <si>
    <t>10.3390/fermentation6030065</t>
  </si>
  <si>
    <t>WOS:000578800200001</t>
  </si>
  <si>
    <t>Devés, E</t>
  </si>
  <si>
    <t>Deves, E; Alvarez, ST</t>
  </si>
  <si>
    <t>Deves, Eduardo</t>
  </si>
  <si>
    <t>PERIPHERAL MODERNITY</t>
  </si>
  <si>
    <t>PROBLEMATICAS INTERNACIONALES Y MUNDIALES DESDE EL PENSAMIENTO LATINOAMERICANO: TEORIAS, ESCUELAS, CONCEPTOS, DOCTRINAS, FIGURAS</t>
  </si>
  <si>
    <t>Coleccion Estudios de las Ideas</t>
  </si>
  <si>
    <t>978-956-6095-02-6</t>
  </si>
  <si>
    <t>WOS:000608865900037</t>
  </si>
  <si>
    <t>C</t>
  </si>
  <si>
    <t>Lismayes, A; Chávez, H; Abarca, R</t>
  </si>
  <si>
    <t>IEEE</t>
  </si>
  <si>
    <t>Lismayes, Augusto; Chavez, Hector; Abarca, Rodrigo</t>
  </si>
  <si>
    <t>Towards a Coupled Regulation and Flexible Ramp Product Marginal Pricing</t>
  </si>
  <si>
    <t>2020 IEEE PES TRANSMISSION &amp; DISTRIBUTION CONFERENCE AND EXHIBITION - LATIN AMERICA (T&amp;D LA)</t>
  </si>
  <si>
    <t>Proceedings of the IEEE-PES Transmission &amp; Distribution Conference and Exposition Latin America</t>
  </si>
  <si>
    <t>IEEE PES Transmission and Distribution Conference and Exhibition - Latin America (T and D LA)</t>
  </si>
  <si>
    <t>SEP 28-OCT 02, 2020</t>
  </si>
  <si>
    <t>Montevideo, URUGUAY</t>
  </si>
  <si>
    <t>IEEE PES</t>
  </si>
  <si>
    <t>Several countries have achieved significant penetration levels of non-dispatchable generation. This integration has led to the necessity of more efficient formulations for frequency regulation ancillary services from an increasing number of technologies. One aspect that has captured particular attention is ramping capability requirements, which have increased for both frequency regulation and intra-dispatch generation ramping. In general, ramping capability requirements for frequency reserves are formulated separately from those associated with intradispatch movements; however, during actual operation, reserve and energy deployments are performed in a combined manner from the physical ramping capability of the unit. This work proposes a pricing rule for frequency regulation reserves considering the usage of units ramping capability for both reserves and intra-dispatch movements in a joint manner, so a co-optimization of reserves and energy considering a complete representation of ramping capability requirements is possible. An illustrative example is presented.</t>
  </si>
  <si>
    <t>2381-3571</t>
  </si>
  <si>
    <t>978-1-7281-4155-8</t>
  </si>
  <si>
    <t>10.1109/TDLA47668.2020.9326164</t>
  </si>
  <si>
    <t>WOS:000666965600036</t>
  </si>
  <si>
    <t>Del Saz, M</t>
  </si>
  <si>
    <t>Del Saz, Maria</t>
  </si>
  <si>
    <t>NATIVE AND NONNATIVE PERCEPTION OF WESTERN ANDALUSIAN SPANISH /S/ ASPIRATION IN QUIET AND NOISE</t>
  </si>
  <si>
    <t>STUDIES IN SECOND LANGUAGE ACQUISITION</t>
  </si>
  <si>
    <t>Many college students set out on Study Abroad Programs to other countries in which the variant of the foreign language spoken in the region differs from the variant to which learners have been exposed. This study explores the perception of L2 Western Andalusian Spanish aspiration of word-final /s/ by L1 American English listeners, in relation to their length of exposure to the L2 in quiet conditions and to their competence level in the L2 in noisy conditions. Results indicate that perception drops in adverse conditions, particularly for listeners in their intermediate stages of learning. Proficient listeners' perception also suffers with respect to native listeners' performance at lower signal-to-noise ratios. For all listeners, native and nonnative, standard features are best identified, whether in quiet or noise.</t>
  </si>
  <si>
    <t>Del Saz, María/G-5156-2019</t>
  </si>
  <si>
    <t>0272-2631</t>
  </si>
  <si>
    <t>1470-1545</t>
  </si>
  <si>
    <t>10.1017/S0272263119000056</t>
  </si>
  <si>
    <t>WOS:000512977600002</t>
  </si>
  <si>
    <t>Cabezas, R; Suazo, K; Merlet, G; Quijada-Maldonado, E; Torres, A; Romero, J</t>
  </si>
  <si>
    <t>Cabezas, R.; Suazo, K.; Merlet, G.; Quijada-Maldonado, E.; Torres, A.; Romero, J.</t>
  </si>
  <si>
    <t>Performance of butanol separation from ABE mixtures by pervaporation using silicone-coated ionic liquid gel membranes</t>
  </si>
  <si>
    <t>RSC ADVANCES</t>
  </si>
  <si>
    <t>This work aims at the separation of n-butanol from aqueous solutions by means of pervaporation using membranes based on gelled ionic liquids (IL). These membranes were mechanically stabilized with a double silicone coating using two polydimethylsiloxane (PDMS) films. The first step of the membrane preparation considered the formation of a gelled ionic liquid layer, which was formed using two different imidazolium-based ionic liquids: [omim][Tf2N] and [bmim][Tf2N], and two different phosphonium-based ionic liquids: [P-6,P-6,P-6,P-14][Tf2N] and [P-6,P-6,P-6,P-14][DCA]. The gelation procedure was carried out on a porous paper support using a low molecular weight gelator. The membranes obtained from this method were tested in pervaporation assays to separate butanol from model ABE (Acetone-Butanol-Ethanol) fermentation solutions. These assays were done in an experimental setup especially built for this purpose. The pervaporation performance of these ionic liquid-based membranes was compared to that obtained with a single PDMS layer membrane. From these experimental results, butanol/water selectivity for [P-6,P-6,P-6,P-14][Tf2N]-based membranes reached a value equal to 892, which is 150 times higher than the value obtained for a single PDMS layer membrane. Simultaneously, for the same IL, the transmembrane fluxes (kg h(-1) m(-2)) of butanol and water were 37% and 99.6% lower than the values obtained using a single PDMS layer membrane, respectively. The hydrophobic character of the selected ionic liquid and its relatively high values for the transport parameters can explain this experimental response.</t>
  </si>
  <si>
    <t>Romero, Julio/I-6705-2013; Cabezas, Rene/AAY-2094-2020; Merlet Venturelli, Gaston/B-4109-2019</t>
  </si>
  <si>
    <t>Quijada-Maldonado, Esteban/0000-0003-1411-4327; Merlet Venturelli, Gaston/0000-0003-2602-6471; Cabezas, Rene/0000-0002-4162-3429; Romero, Julio/0000-0002-1229-1592</t>
  </si>
  <si>
    <t>2046-2069</t>
  </si>
  <si>
    <t>MAR 14</t>
  </si>
  <si>
    <t>10.1039/c8ra09630a</t>
  </si>
  <si>
    <t>WOS:000461445300048</t>
  </si>
  <si>
    <t>Echeverría, CF</t>
  </si>
  <si>
    <t>Friz Echeverria, Cristobal</t>
  </si>
  <si>
    <t>BETWEEN TESTIMONY, LOCUS OF ENUNCIATION, AND CRITIQUE ABSENCE/PRESENCE OF THE POLITICAL IN CHILEAN PHILOSOPHY SINCE 1973</t>
  </si>
  <si>
    <t>IDEAS Y VALORES</t>
  </si>
  <si>
    <t>The military dictatorship of Augusto Pinochet (1973-1990) created serious difficulties for philosophical work in Chile. Nevertheless, the suspension or absence of the political caused by the dictatorship, whose consequences can be observed until the present, sparked a special concern regarding the political in a group of Chilean philosophers. Their reflections evince a conscious and explicit acknowledgment of their locus of enunciation, which gives their work a marked testimonial and critical stance.</t>
  </si>
  <si>
    <t>0120-0062</t>
  </si>
  <si>
    <t>10.15446/ideasyvalores.v68n169.62152</t>
  </si>
  <si>
    <t>WOS:000454724100009</t>
  </si>
  <si>
    <t>Neira, H</t>
  </si>
  <si>
    <t>Neira, Hernan</t>
  </si>
  <si>
    <t>Time and morality in animals</t>
  </si>
  <si>
    <t>REVUE DE METAPHYSIQUE ET DE MORALE</t>
  </si>
  <si>
    <t>0035-1571</t>
  </si>
  <si>
    <t>2102-5177</t>
  </si>
  <si>
    <t>WOS:000460740500002</t>
  </si>
  <si>
    <t>Vallejos, JP</t>
  </si>
  <si>
    <t>Pinto Vallejos, Julio</t>
  </si>
  <si>
    <t>Citizens armed with law. On the subject of violence in Bolivia, 1839-1875</t>
  </si>
  <si>
    <t>HISTORIA-SANTIAGO</t>
  </si>
  <si>
    <t>0717-7194</t>
  </si>
  <si>
    <t>WOS:000481651900013</t>
  </si>
  <si>
    <t>Vargas, VB</t>
  </si>
  <si>
    <t>Vargas, Valentina Bulo</t>
  </si>
  <si>
    <t>FROM THE BODY TO MATERIALITY . FROM JEAN-LUC NANCY</t>
  </si>
  <si>
    <t>REVISTA DE FILOSOFIA</t>
  </si>
  <si>
    <t>In this paper; we propose to make a first layout of a correspondence area between body and materiality, which leads us to rethink this materiality from certain conceptual categories. The hypothesis is related to the existence of certain body conceptions from the 1900 thinking onwards, which involves a non-reducible materiality to determination principles, a materiality related to freedom, where the need is subsumed to a specific contingency of the bodies. We intend to outline a conceptual construction of materiality that can articulate different thoughts that include the body in a relevant way, especially those of Jean-Luc Nancy.</t>
  </si>
  <si>
    <t>0034-8236</t>
  </si>
  <si>
    <t>0718-4360</t>
  </si>
  <si>
    <t>WOS:000594488700003</t>
  </si>
  <si>
    <t>Boza, SA; León, MJA; Muñoz, CM</t>
  </si>
  <si>
    <t>Univ Santiago Chile, Fac Tecnologica</t>
  </si>
  <si>
    <t>Aguirre Boza, Sebastian; Araya Leon, Maria Jose; Moreno Munoz, Cristobal</t>
  </si>
  <si>
    <t>Redesign and curricular update in the Technology in Industrial Design Career: In tune to the challenges of manufacturing industry</t>
  </si>
  <si>
    <t>OBRA COMPLETA: IMPACTO EN EL SABER Y SENTIR DOCENTE, VOL 2: ABORDANDO DESAFIOS, FORMACION PARA EL ENTORNO SOCIO PRODUCTIVIO</t>
  </si>
  <si>
    <t>In the context of the accreditation process that concluded in 2010 and with which it obtained 6 years to the Technology in Industrial Design career, condition that accounts of a career that not only has a consistent academic program, also have a very good evaluation in the dimensions of Purposes and Institutionally, Operating Conditions and their Self-Regulation Capacity began a process of curricular redesign. At the beginning, the process began with the redesign of the academic degree of Bachelor of Technology which was developed by a committee formed to that purpose in 2015. Since this milestone a second commission, conformed by members of the specialty of Technology in Industrial Design career, the process of redesign of the academic curriculum corresponding to the subjects of the specialty begin. By the end of 2015 both aspects of the career, the Bachelor in Technology and the Professional Title of Technologist in Industrial Design, were ready to be implemented the next year. The next chapter shows the process of redesign and the challenges to follow in the pursuit of the continuous improvement of this academic program.</t>
  </si>
  <si>
    <t>Araya, Maria/HSG-3880-2023</t>
  </si>
  <si>
    <t>978-956-303-397-7</t>
  </si>
  <si>
    <t>WOS:000480327100005</t>
  </si>
  <si>
    <t>Broitman, C</t>
  </si>
  <si>
    <t>Vera, HV; Carrizo, JPA</t>
  </si>
  <si>
    <t>Broitman, Claudio</t>
  </si>
  <si>
    <t>When the tide is red: discursive analysis on a socio- environmental controversy (Chile, 2016)</t>
  </si>
  <si>
    <t>DEMOCRACIA, INFORMACION Y CIBERSOCIEDAD: UNA MIRADA DESDE CHILE</t>
  </si>
  <si>
    <t>978-956-8416-70-6</t>
  </si>
  <si>
    <t>WOS:000462868900008</t>
  </si>
  <si>
    <t>Arratia, LC</t>
  </si>
  <si>
    <t>Canete Arratia, Lucio</t>
  </si>
  <si>
    <t>The imagination as a vital intellectual faculty in education</t>
  </si>
  <si>
    <t>This chapter exposes the importance of Imagination and proposes a way to develop it in chilean education. After defining this intellectual capacity as that which produces images in the mind never perceived which are sources of new responses to trouble, a difference is noticed with the Creativity where the latter depends on the first. Because the Imagination is a mental-only process, an explanatory model of it is taken, consisting of two parent images that, when they are combined, generate a third with emergent properties. Since it is impossible to directly alter the mind from the outside, it is proposed that individuals face rare environments so that these perceptions are transformed into the inputs of the imaginative process that produces the new images. The way to achieve this confrontation with rare environments is through the excursion which in this chapter is assumed as that premeditated deviation from a previously defined course in search of the unknown. It is hoped that with this austere and simple practice, students can be educated for that they deploy a more complete set of solutions to several problems.</t>
  </si>
  <si>
    <t>Arratia, Lucio/AAV-6112-2020</t>
  </si>
  <si>
    <t>WOS:000480327100014</t>
  </si>
  <si>
    <t>Castro, M; Pena, J; Chavez, H</t>
  </si>
  <si>
    <t>DuranFaundez, C; Lefranc, G; FernandezFernandez, M; Munoz, C; Rubio, E</t>
  </si>
  <si>
    <t>Castro, Marco; Pena, Javier; Chavez, Hector</t>
  </si>
  <si>
    <t>Towards representing load dynamics on primary frequency control-constrained Unit Commitment</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</si>
  <si>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</si>
  <si>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</si>
  <si>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</si>
  <si>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</si>
  <si>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</si>
  <si>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The integration of non-dipatchable generation has increase the need for inertia and primary frequency response within power system operations. In such a scenario, load contribution to inertia and primary frequency response may play an important role in reducing both the estimated frequency control burden and the economic impact of increasing reserve capacity and ramping capability. Although some system operators have considered the contribution of load while estimating the reserve needs, the representation in the economic operation is very limited as dynamic aspects of inertia an ramping capability are not systematically represented. This work proposes a set of simplifying assumptions in order for a constraint to be included in the unit commitment formulation to account for load droop, ramping capability and inertia contribution. Numerical results on an illustrative example are provided.</t>
  </si>
  <si>
    <t>978-1-5386-5586-3</t>
  </si>
  <si>
    <t>WOS:000458417600100</t>
  </si>
  <si>
    <t>Espinoza-Cisternas, C; Salazar, R</t>
  </si>
  <si>
    <t>MartinezHuitle, CA; Rodrigo, MA; Scialdone, O</t>
  </si>
  <si>
    <t>Espinoza-Cisternas, Carolina; Salazar, Ricardo</t>
  </si>
  <si>
    <t>Application of Electrochemical Processes for Treating Effluents From Landfill Leachate as Well as the Agro and Food Industries</t>
  </si>
  <si>
    <t>ELECTROCHEMICAL WATER AND WASTEWATER TREATMENT</t>
  </si>
  <si>
    <t>Salazar, Ricardo/L-7870-2013</t>
  </si>
  <si>
    <t>Espinoza, L. Carolina/0000-0002-6021-0742</t>
  </si>
  <si>
    <t>978-0-12-813161-9; 978-0-12-813160-2</t>
  </si>
  <si>
    <t>10.1016/B978-0-12-813160-2.00015-8</t>
  </si>
  <si>
    <t>WOS:000464873400016</t>
  </si>
  <si>
    <t>Parra, M; Valenzuela, B; Imarai, M; Modak, B</t>
  </si>
  <si>
    <t>Parra, M.; Valenzuela, B.; Imarai, M.; Modak, B.</t>
  </si>
  <si>
    <t>Obtainment and evaluation of adjuvant effect of the aromatic geranyl derivative Filifolinone in bacterin of Piscirickettsia salmonis</t>
  </si>
  <si>
    <t>JOURNAL OF FISH DISEASES</t>
  </si>
  <si>
    <t>Imarai, Monica/0000-0001-8767-9180; Modak Canobra, Brenda/0000-0001-5292-0480</t>
  </si>
  <si>
    <t>0140-7775</t>
  </si>
  <si>
    <t>1365-2761</t>
  </si>
  <si>
    <t>10.1111/jfd.12669</t>
  </si>
  <si>
    <t>WOS:000418245400019</t>
  </si>
  <si>
    <t>Henríquez-Vargas, L; Villaroel, E; Gutierrez, J; Donoso-García, P</t>
  </si>
  <si>
    <t>Henriquez-Vargas, L.; Villaroel, E.; Gutierrez, J.; Donoso-Garcia, P.</t>
  </si>
  <si>
    <t>Implementation of a parallel ADI algorithm on a finite volume GPU-based elementary porous media flow computation</t>
  </si>
  <si>
    <t>JOURNAL OF THE BRAZILIAN SOCIETY OF MECHANICAL SCIENCES AND ENGINEERING</t>
  </si>
  <si>
    <t>In this work we present flow simulations in laminar and turbulent regime within a representative elementary volume of a simplified porous media by solving the Navier-Stokes equations and a Low-Re turbulence model. Numerical solution was achieved with an implementation of the SIMPLE algorithm for pressure velocity coupling of variables, and the solution of the tridiagonal systems of algebraic equations was accomplished by a parallelized ADI scheme based on the Thomas algorithm. Implementation of the numerical solution was done with an in-house C code which combined OMP and CUDA technologies for computations based on CPU and GPU, respectively. Exponential structured grids were employed in the wall vicinity to capture the turbulence behavior. Results indicate that similar profiles for velocity, pressure, turbulent kinetic energy and its dissipation were found. Several CUDA grids were tested and their performances measured over two GPUs: GTX 680 and GTX TITAN. Considerable speedup was achieved by the GPUs over the CPU schemes even without the use of the device shared memory which was not explored due to the nature of the algorithm.</t>
  </si>
  <si>
    <t>Henríquez-Vargas, Luis/Q-3617-2019; Villarroel Utreras, Eduardo/LCD-3437-2024; Donosoga, Pablo/HZI-2632-2023</t>
  </si>
  <si>
    <t>Donoso Garcia, Pablo/0000-0001-9839-8691; Henriquez-Vargas, Luis/0000-0002-6825-8505; Villarroel, Eduardo/0000-0001-5208-3512</t>
  </si>
  <si>
    <t>1678-5878</t>
  </si>
  <si>
    <t>1806-3691</t>
  </si>
  <si>
    <t>OCT</t>
  </si>
  <si>
    <t>10.1007/s40430-017-0882-x</t>
  </si>
  <si>
    <t>WOS:000411127300019</t>
  </si>
  <si>
    <t>Rojas, A; Torres, A; Martínez, F; Salazar, L; Villegas, C; Galotto, MJ; Guarda, A; Romero, J</t>
  </si>
  <si>
    <t>Rojas, Adrian; Torres, Alejandra; Martinez, Francisca; Salazar, Leonardo; Villegas, Carolina; Jose Galotto, Maria; Guarda, Abel; Romero, Julio</t>
  </si>
  <si>
    <t>Assessment of kinetic release of thymol from LDPE nanocomposites obtained by supercritical impregnation: Effect of depressurization rate and nanoclay content</t>
  </si>
  <si>
    <t>EUROPEAN POLYMER JOURNAL</t>
  </si>
  <si>
    <t>LDPE nanocomposites prepared with different concentrations of an organo-modified montmorillonite (OM-MMT) (2.5 and 5.0% (w/w)) were impregnated with thymol using supercritical carbon dioxide, with the aim of obtaining an antimicrobial packaging. Impregnation assays were carried out at 12 MPa, 1 h, 313 K and two depressurization rates, 10.0 and 1.0 MPa min(-1), with impregnation yields in the range of 0.36-1.19% (w/w). The highest incorporation percentages of thymol were obtained employing the lowest depressurization rate. Moreover, thymol incorporation was favored with the presence of nanoclays. XRD results indicated the improvement of nanocomposites intercalation impregnated with thymol. Simultaneously, a phenomenological mass transfer model has been used to describe the release of thymol from the nanocomposite in ethanol 95% (v/v) solution. From the model, the effective diffusion coefficient of thymol through the nanocomposite seem to be independent of the depressurization rate employed. These values were ranged from 2.7 to 3.5 x 10(-13) m(2) s(-1) and are significantly lower than the values obtained for free nanoclay LDPE films, which shows values ranged from 1.0 to 1.3 x 10(-12) m(2) s(-1). This result could be explained by the formation of a polymer-nanoclay intercalated structure that slows down the thymol transfer.</t>
  </si>
  <si>
    <t>Rojas, Adrián/AAR-9441-2021; Romero, Julio/I-6705-2013; Torres, Alejandra/LPQ-5664-2024</t>
  </si>
  <si>
    <t>Rojas, Adrian/0000-0001-9253-1295; Romero, Julio/0000-0002-1229-1592</t>
  </si>
  <si>
    <t>0014-3057</t>
  </si>
  <si>
    <t>1873-1945</t>
  </si>
  <si>
    <t>10.1016/j.eurpolymj.2017.05.049</t>
  </si>
  <si>
    <t>WOS:000407186200028</t>
  </si>
  <si>
    <t>Llorca-Jaña, M; Navarrete-Montalvo, J</t>
  </si>
  <si>
    <t>Llorca-Jana, Manuel; Navarrete-Montalvo, Juan</t>
  </si>
  <si>
    <t>The Chilean Economy during the 1810-1830s and its Entry into the World Economy</t>
  </si>
  <si>
    <t>BULLETIN OF LATIN AMERICAN RESEARCH</t>
  </si>
  <si>
    <t>This article discusses Chile's entry into the international economy, the performance of the national economy and institutional change during the 1810-1830s. It argues that the country consolidated a successful process of entry into the expanding world economy. GDP per capita was poor, but alternative indicators suggest a more optimistic picture (e.g., agricultural, copper and silver production increased, population grew and terms of trade improved). Furthermore, there were some positive institutional developments. All these changes made possible the sustained growth that took place from the 1830s and must be seen as more important than the growth record itself during the 1810-1820s.</t>
  </si>
  <si>
    <t>Llorca-Jaña, Manuel/AAB-9317-2020</t>
  </si>
  <si>
    <t>0261-3050</t>
  </si>
  <si>
    <t>1470-9856</t>
  </si>
  <si>
    <t>10.1111/blar.12482</t>
  </si>
  <si>
    <t>WOS:000402673600007</t>
  </si>
  <si>
    <t>Silva, W; Romero, J; Morales, E; Melo, R; Mendoza, L; Cotoras, M</t>
  </si>
  <si>
    <t>Silva, W.; Romero, J.; Morales, E.; Melo, R.; Mendoza, L.; Cotoras, M.</t>
  </si>
  <si>
    <t>RED WINE EXTRACT OBTAINED BY MEMBRANE-BASED SUPERCRITICAL FLUID EXTRACTION: PRELIMINARY CHARACTERIZATION OF CHEMICAL PROPERTIES</t>
  </si>
  <si>
    <t>BRAZILIAN JOURNAL OF CHEMICAL ENGINEERING</t>
  </si>
  <si>
    <t>This study aims to obtain an extract from red wine by using membrane-based supercritical fluid extraction. This technique involves the use of porous membranes as contactors during the dense gas extraction process from liquid matrices. In this work, a Cabernet Sauvignon wine extract was obtained from supercritical fluid extraction using pressurized carbon dioxide as solvent and a hollow fiber contactor as extraction setup. The process was continuously conducted at pressures between 12 and 18 MPa and temperatures ranged from 30 to 50 degrees C. Meanwhile, flow rates of feed wine and supercritical CO2 varied from 0.1 to 0.5 mL min(-1) and from 60 to 80 mL min(-1) (NCPT), respectively. From extraction assays, the highest extraction percentage value obtained from the total amount of phenolic compounds was 14% in only one extraction step at 18MPa and 35 degrees C. A summarized chemical characterization of the obtained extract is reported in this work; one of the main compounds in this extract could be a low molecular weight organic acid with aromatic structure and methyl and carboxyl groups. Finally, this preliminary characterization of this extract shows a remarkable ORAC value equal to 101737 +/- 5324 mu mol Trolox equivalents (TE) per 100 g of extract.</t>
  </si>
  <si>
    <t>Romero, Julio/I-6705-2013</t>
  </si>
  <si>
    <t>Romero, Julio/0000-0002-1229-1592</t>
  </si>
  <si>
    <t>0104-6632</t>
  </si>
  <si>
    <t>1678-4383</t>
  </si>
  <si>
    <t>APR-JUN</t>
  </si>
  <si>
    <t>10.1590/0104-6632.20170342s20150631</t>
  </si>
  <si>
    <t>WOS:000412663500018</t>
  </si>
  <si>
    <t>Huiliñir, C; Pérez, J; Olivares, D</t>
  </si>
  <si>
    <t>Huilinir, Cesar; Perez, Juan; Olivares, Daniel</t>
  </si>
  <si>
    <t>A new model of batch biodrying of sewage sludge, Part 1: Model development and simulations</t>
  </si>
  <si>
    <t>DRYING TECHNOLOGY</t>
  </si>
  <si>
    <t>This study proposes a new model of batch biodrying of sewage sludge. This model divided the matrix into two phases (gas and solid), generating 9 . N equations which were solved numerically with Matlab software. A sensitivity analysis was also performed. It was found that the model can represent the experimental trend reported in the literature for the biodrying process, such as higher temperatures (T) for higher initial moisture content (MC) and higher T differences at lower initial MC. The sensitivity analysis shows that the model is mainly affected by changes in parameters k(h,rb), k(h,sb), mu(max), UA, d(p), X-sb,X-0, and X-H,X-0.</t>
  </si>
  <si>
    <t>Huilinir, Cesar/IYS-6899-2023</t>
  </si>
  <si>
    <t>Huilinir, Cesar/0000-0002-3487-684X</t>
  </si>
  <si>
    <t>0737-3937</t>
  </si>
  <si>
    <t>1532-2300</t>
  </si>
  <si>
    <t>10.1080/07373937.2016.1212063</t>
  </si>
  <si>
    <t>WOS:000399654200001</t>
  </si>
  <si>
    <t>Vilos, NAL; Cordero, CV</t>
  </si>
  <si>
    <t>Lopez Vilos, Nicolas Alberto; Valencia Cordero, Claudio</t>
  </si>
  <si>
    <t>Constant Jamming Experimental Results on Indoor Wireless Sensor Network</t>
  </si>
  <si>
    <t>2017 CHILEAN CONFERENCE ON ELECTRICAL, ELECTRONICS ENGINEERING, INFORMATION AND COMMUNICATION TECHNOLOGIES (CHILECON)</t>
  </si>
  <si>
    <t>CHILEAN Conference on Electrical, Electronics Engineering, Information and Communication Technologies (CHILECON)</t>
  </si>
  <si>
    <t>OCT 18-20, 2017</t>
  </si>
  <si>
    <t>Pucon, CHILE</t>
  </si>
  <si>
    <t>IEEE Chile Sect,Asociac Chilena Control Automatico,IEEE Chilean Chapter Control Syst,IEEE Chilean Chapter SMC,Macro Fac Chile,Univ Frontera,Univ Bio Bio,Univ Talca,IEEE Syst, Man, &amp; Cybernet Soc</t>
  </si>
  <si>
    <t>The interference attack or better known as jamming attacks are very easy to implement affecting the service of any wireless communication system given the vulnerability of data sent to the user. This attack by denying the normal operation of the service detracts from the purpose of these systems. In general, a jamming attack is difficult to detect given the little experimental data provided by the literature. Therefore, the purpose of this work is to present the experimental results obtained from an indoor Wireless Sensor Network in the presence of a constant jamming. The results are based on performance metrics such as Bit Error Rate, Packet Error Rate and Throughput, in order to analyze the behavior of these metrics in the presence of an attack and thus generate ideas to detect and/ or combat them.</t>
  </si>
  <si>
    <t>Lopez-Vilos, Nicolas/0000-0002-8372-7824</t>
  </si>
  <si>
    <t>978-1-5386-3123-2</t>
  </si>
  <si>
    <t>WOS:000425925000090</t>
  </si>
  <si>
    <t>Cardeñoso, JAR</t>
  </si>
  <si>
    <t>Redondo Cardenoso, Jesus-Angel</t>
  </si>
  <si>
    <t>Campesino-Indigenous Conflicts in Southern Chile (Cautin Province, 1967-1973)</t>
  </si>
  <si>
    <t>HISTORIA CRITICA</t>
  </si>
  <si>
    <t>This article presents a study of the conflict between the campesino and the indigenous (Mapuche) population that took place in the province of Cautin (Chile) during the cycle of social conflictivity the country experienced between 1967 and 1973. The objective is to review the traditional views that have prevailed on this topic in Chilean historiography, based on monolithic perspectives of the rural conflict. Through archival and journalistic documentation of the regional environment, it analyzes diverse manifestations of said conflict, from traditional expressions of campesino rebelliousness (cuatrerismo) to modern forms of collective mobilization (agrarian trade unionism), which makes it possible to observe the diversity, complexity and heterogeneity of said conflicts and their leading actors.</t>
  </si>
  <si>
    <t>Redondo Cardeñoso, Jesús/Z-2435-2019</t>
  </si>
  <si>
    <t>0121-1617</t>
  </si>
  <si>
    <t>1900-6152</t>
  </si>
  <si>
    <t>JAN-MAR</t>
  </si>
  <si>
    <t>10.7440/histcrit63.2017.08</t>
  </si>
  <si>
    <t>WOS:000394630700009</t>
  </si>
  <si>
    <t>Serey, J; Ternero, R; Soto, I; Quezada, L</t>
  </si>
  <si>
    <t>Serey, J.; Ternero, R.; Soto, I.; Quezada, L.</t>
  </si>
  <si>
    <t>A Competency Model to Help Selecting the Information Security Method for Platforms of Communication by Visible Light (VLC)</t>
  </si>
  <si>
    <t>2017 FIRST SOUTH AMERICAN COLLOQUIUM ON VISIBLE LIGHT COMMUNICATIONS (SACVLC)</t>
  </si>
  <si>
    <t>1st South American Colloquium on Visible Light Communications (IEEE SACVLC)</t>
  </si>
  <si>
    <t>NOV 13, 2017</t>
  </si>
  <si>
    <t>Santiago, CHILE</t>
  </si>
  <si>
    <t>IEEE Chile Sect,Univ Santiago Chile,Telefonica Fundac,Movistar</t>
  </si>
  <si>
    <t>It is challenging in Security information and Platforms of Communication by Visible Light (VLC), solutions are made to manage the right Security problems. Several solutions have been developed and evolved constantly to meet complex and ever-changing business needs in the world. In the business context, people who are responsible for a project or an organization undergo professional and emotional stress. This research project has developed a new model which can help decision makers evaluating these alternative methods in relation to articulating different types of Security problems, formulating Security criteria, and simulating expectations of adopting the chosen method for Platforms of Communication by Visible Light (VLC).</t>
  </si>
  <si>
    <t>Serey, Joel/Q-7279-2019; Quezada, Luis/W-8168-2019</t>
  </si>
  <si>
    <t>Soto, Ismael/0000-0002-5501-5651</t>
  </si>
  <si>
    <t>978-1-5386-1782-3</t>
  </si>
  <si>
    <t>WOS:000428142700002</t>
  </si>
  <si>
    <t>Chavez, J; Jaramillo, C; Liberona, D</t>
  </si>
  <si>
    <t>Uden, L; Liberona, D; Feldmann, B</t>
  </si>
  <si>
    <t>Chavez, Jorge; Jaramillo, Claudia; Liberona, Dario</t>
  </si>
  <si>
    <t>Informational Technology Skills and Media Literacy in Students: A Case Study</t>
  </si>
  <si>
    <t>LEARNING TECHNOLOGY FOR EDUCATION IN CLOUD: THE CHANGING FACE OF EDUCATION, LTEC 2016</t>
  </si>
  <si>
    <t>Communications in Computer and Information Science</t>
  </si>
  <si>
    <t>5th International Workshop on Learning Technology for Education in Cloud (LTEC)</t>
  </si>
  <si>
    <t>JUL 25-28, 2016</t>
  </si>
  <si>
    <t>Hagen, GERMANY</t>
  </si>
  <si>
    <t>There is agreement on the contribution of technology to teaching and learning. Given its potential we can find a number of features that promote learning as the possibility of establishing a two-way communication, the potential of the interaction between teachers and students, the ability to organize, adapt and be flexible with information based on the needs and requirements of students. Notwithstanding, there's not much information on the effects of using technology in the teaching and learning process or the elements we should consider to analyze the use of technology in teaching and learning. In order to answer these questions, the work presented here aims to assess the current state of the research in the area of ICT skills and media literacy in Chilean students.</t>
  </si>
  <si>
    <t>chavez, jorge/JUF-2443-2023</t>
  </si>
  <si>
    <t>Chavez, jorge/0000-0001-7603-4766</t>
  </si>
  <si>
    <t>1865-0929</t>
  </si>
  <si>
    <t>1865-0937</t>
  </si>
  <si>
    <t>978-3-319-42147-6; 978-3-319-42146-9</t>
  </si>
  <si>
    <t>10.1007/978-3-319-42147-6_3</t>
  </si>
  <si>
    <t>WOS:000387432000003</t>
  </si>
  <si>
    <t>Loyola, M</t>
  </si>
  <si>
    <t>Loyola, Manuel</t>
  </si>
  <si>
    <t>The friends association for the Soviet Union in Chile 1927-1943</t>
  </si>
  <si>
    <t>ESTUDOS IBERO-AMERICANOS</t>
  </si>
  <si>
    <t>Using official archives and printed sources, this paper investigates the Friends Association for the Soviet Union, a communist organization that was founded in Chile during the first half of the 20th century. Considering the Russian Revolution of 1917 and the development of the Soviet Union as milestones in the construction of the identity and image of the Chilean communist militancy, the approach proposed here analyzes how Soviet ideas were present in the internal politics during that period.</t>
  </si>
  <si>
    <t>0101-4064</t>
  </si>
  <si>
    <t>1980-864X</t>
  </si>
  <si>
    <t>JAN-APR</t>
  </si>
  <si>
    <t>10.15448/1980-864X.2016.1.21647</t>
  </si>
  <si>
    <t>WOS:000383557300017</t>
  </si>
  <si>
    <t>Muermann, MO; Arancibia, PG</t>
  </si>
  <si>
    <t>Orellana Muermann, Marcela; Giovanetti Arancibia, Paula</t>
  </si>
  <si>
    <t>Elaboration of Remembrance and Identity Under Political Violence: Ashanika Narratives in the Peruvian Amazon</t>
  </si>
  <si>
    <t>TALLER DE LETRAS</t>
  </si>
  <si>
    <t>Between the years 1980 and 2000, the Republic of Peru experienced' violent years of internal conflicts, leaving deep wounds in its population. After three years of field work and gathering narrations on this period by Amazons communities-of Ashaninka ethnicity, located by the Tambo river in the Region of Ucayali-, this article seeks to understand the modes of remembrance characteristic of these communities. From two types of narration registered-testimony and myth-we analyze the relationship between memory and identity, the importance of form and genre particularities that their narrations adopt, and the function that each one of these literary forms have for the Ashaninka communities.</t>
  </si>
  <si>
    <t>0716-0798</t>
  </si>
  <si>
    <t>WOS:000390071800008</t>
  </si>
  <si>
    <t>Ortega, L</t>
  </si>
  <si>
    <t>Ortega, Luis</t>
  </si>
  <si>
    <t>DEVELOPMENT POLICIES IN A TRANSITIONING SOCIETY: CHALLENGES AND OBSTACLES. CHILE DURING THE FIRST HALF OF THE 20TH CENTURY</t>
  </si>
  <si>
    <t>ATENEA</t>
  </si>
  <si>
    <t>From the critical years in the mid-1920s, and for the next five decades, the state played a crucial role in shaping the economic and social processes in Chile. The central structure of the public sector, was reformed on several occasions, while regulatory bodies were created. Then, from 1926 onwards, a sort of sub-structure of agencies designed to boost production and support specific projects, was set up. At the same time, a copious legislation was enacted aimed at two objectives: first, to improve the performance of the public sector; second, to create adequate conditions for economic growth through the implementation of specifically designed public policies.</t>
  </si>
  <si>
    <t>0718-0462</t>
  </si>
  <si>
    <t>WOS:000397838700002</t>
  </si>
  <si>
    <t>Traverso, DB</t>
  </si>
  <si>
    <t>Barria Traverso, Diego</t>
  </si>
  <si>
    <t>Bureaucratic Features of the Administrative Reforms in Chile in the 1880s</t>
  </si>
  <si>
    <t>In the 1880s, Chile experienced important changes in different social spheres that questioned the operating efficiency of state institutions. In order to cope with these difficulties, a broad process of administrative reform was initiated, especially with respect to the adoption of bureaucracy as the way to design public administration. In this regard, the article analyzes the organizational design of a series of institutions so as to evaluate how the characteristics of said system were adopted in Chilean public administration. Based on the study of different documents, it concludes that a series of bureaucratic characteristics functional division, formal rules and specialization were adopted for the purpose of overcoming the operational difficulties experienced throughout the decade.</t>
  </si>
  <si>
    <t>Barria Traverso, Diego/0000-0001-8906-9220</t>
  </si>
  <si>
    <t>10.7440/histcrit56.2015.03</t>
  </si>
  <si>
    <t>WOS:000356752700004</t>
  </si>
  <si>
    <t>Cussen, F</t>
  </si>
  <si>
    <t>Cussen, Felipe</t>
  </si>
  <si>
    <t>WHEN A SWEET FLUTE WAS FOUND WITH A BOOK OF NEO BAROQUE POETRY AND MANY OTHER THINGS WORTH KNOWING</t>
  </si>
  <si>
    <t>REVISTA CHILENA DE LITERATURA</t>
  </si>
  <si>
    <t>0718-2295</t>
  </si>
  <si>
    <t>APR</t>
  </si>
  <si>
    <t>10.4067/S0718-22952015000100014</t>
  </si>
  <si>
    <t>WOS:000369753700014</t>
  </si>
  <si>
    <t>Letelier, MF; Siginer, DA; Stockle, J</t>
  </si>
  <si>
    <t>ASME</t>
  </si>
  <si>
    <t>Letelier, Mario F.; Siginer, Dennis A.; Stockle, Juan</t>
  </si>
  <si>
    <t>SECONDARY FLOWS IN STRAIGHT NON-CIRCULAR TUBES - GIESEKUS FLUID</t>
  </si>
  <si>
    <t>PROCEEDINGS OF THE ASME INTERNATIONAL MECHANICAL ENGINEERING CONGRESS AND EXPOSITION, 2013, VOL 7A</t>
  </si>
  <si>
    <t>ASME International Mechanical Engineering Congress and Exposition (IMECE2013)</t>
  </si>
  <si>
    <t>NOV 15-21, 2013</t>
  </si>
  <si>
    <t>San Diego, CA</t>
  </si>
  <si>
    <t>Flow of Giesekus fluids in straight, arbitrary but axially-symmetric non-circular tubes is investigated. The cross-sectional shapes are obtained through a one-to-one continuous mapping of the circular base contour. The primary longitudinal and the secondary fields are elucidated up to and including the third order in the Weissenberg number Wi.</t>
  </si>
  <si>
    <t>978-0-7918-5631-4</t>
  </si>
  <si>
    <t>V07AT08A023</t>
  </si>
  <si>
    <t>WOS:000359959700023</t>
  </si>
  <si>
    <t>Modak, B; Rivas, A; Vallejos, E; Sandino, AM; Spencer, E</t>
  </si>
  <si>
    <t>Modak, Brenda; Rivas, Andrea; Vallejos, Eva; Maria Sandino, Ana; Spencer, Eugenio</t>
  </si>
  <si>
    <t>Antiviral activity in vitro and in vivo of natural flavonoids isolated from Heliotropium sinuatum against infectious salmon anemia virus (ISAV)</t>
  </si>
  <si>
    <t>BOLETIN LATINOAMERICANO Y DEL CARIBE DE PLANTAS MEDICINALES Y AROMATICAS</t>
  </si>
  <si>
    <t>The infectious salmon anemia virus (ISAV) of Orthomyxoviridae family, is responsible for heavy losses in industry aquaculture around the world, affecting several commercial aquatic organisms, mainly Salmo salar. Therefore, it is important to find effective antiviral therapies. In this work we evaluated in vitro and in vivo the antiviral activity of three natural flavonoids isolated from the resinous exudates of the plant Heliotropium sinuatum (Heliotropiaceae) against ISAV. The results show that 7-O-methyleriodictyol was able to inhibit the infectivity of ISAV in vitro assay with EC 50 of 0.20 mu g/mL. Despite having a citotoxicity expressed as CC50 of 12.80 mu g/mL, the in vivo study showed that this compound protected 100% to the fish infected with ISAV keeping 100% fish viability. These results allow the proposal of 7-O-methyleriodictyol as a good candidate to be used as antiviral therapy for ISAV in salmon industry.</t>
  </si>
  <si>
    <t>Vallejos-Vidal, Eva/R-9606-2019</t>
  </si>
  <si>
    <t>Spencer, Eugenio/0000-0001-6109-140X</t>
  </si>
  <si>
    <t>0717-7917</t>
  </si>
  <si>
    <t>WOS:000306704900010</t>
  </si>
  <si>
    <t>Undurraga, MFU</t>
  </si>
  <si>
    <t>Ugarte Undurraga, Maria Francisca</t>
  </si>
  <si>
    <t>POWERFUL AND EVIL: THE WORLD OF SERVICE IN EL OBSCENO PAJARO DE LA NOCHE</t>
  </si>
  <si>
    <t>0048-7651</t>
  </si>
  <si>
    <t>WOS:000310816900009</t>
  </si>
  <si>
    <t>Rubio, MA; Lissi, E; Herrera, N; Pérez, V; Fuentes, N</t>
  </si>
  <si>
    <t>Rubio, Maria A.; Lissi, Eduardo; Herrera, Natalia; Perez, Viviana; Fuentes, Natalia</t>
  </si>
  <si>
    <t>Phenol and nitrophenols in the air and dew waters of Santiago de Chile</t>
  </si>
  <si>
    <t>CHEMOSPHERE</t>
  </si>
  <si>
    <t>Phenol, nitrophenols and dinitrophenols were measured in air and dews in downtown Santiago de Chile. In both systems, phenol, 2-nitrophenol (2-NP), and 4-nitrophenol (4-NP) were the compounds found in higher concentrations and with major frequency. Temporal profiles in air were compatible with a significant direct incorporation from mobile sources. The data can be explained in terms of a faster removal of 2-NP than 4-NP, with the former predominating in fresh air masses and 4-NP in more aged samples. All these compounds, as well as dinitrophenols, were found in dew waters. Simultaneous measurements in air and dew indicate that phenol present in dew exceeds that expected in equilibrated samples, while the opposite occurs with 4-NP. This last result is associated to mass transfer limitations for the highly water soluble nitroderivative. (C) 2011 Elsevier Ltd. All rights reserved.</t>
  </si>
  <si>
    <t>Bajo, Maria/ABF-6991-2020; Fuentes, Natalia/KIG-8791-2024</t>
  </si>
  <si>
    <t>Fuentes Jorquera, Natalia/0000-0001-8623-8244</t>
  </si>
  <si>
    <t>0045-6535</t>
  </si>
  <si>
    <t>1879-1298</t>
  </si>
  <si>
    <t>MAR</t>
  </si>
  <si>
    <t>10.1016/j.chemosphere.2011.11.046</t>
  </si>
  <si>
    <t>WOS:000302277600010</t>
  </si>
  <si>
    <t>Letelier, MF; Stockle, JS; Siginer, DA</t>
  </si>
  <si>
    <t>Letelier, Mario F.; Stockle, Juan S.; Siginer, Dennis A.</t>
  </si>
  <si>
    <t>CONDUIT FLOW CONTROL THROUGH MAGNETORHEOLOGY</t>
  </si>
  <si>
    <t>PROCEEDINGS OF THE ASME INTERNATIONAL MECHANICAL ENGINEERING CONGRESS AND EXPOSITION, 2011, VOL 6, PTS A AND B</t>
  </si>
  <si>
    <t>ASME International Mechanical Engineering Congress and Exposition (IMECE)</t>
  </si>
  <si>
    <t>NOV 11-17, 2011</t>
  </si>
  <si>
    <t>Denver, CO</t>
  </si>
  <si>
    <t>Amer Soc Mech Engn</t>
  </si>
  <si>
    <t>In this paper it is addressed the problem of flow stability in conduits when an essentially steady flow is perturbed by undesirable fluctuations of the pressure gradient. This problem may arise when working conditions in conduit systems induce sporadic or permanent oscillations of the pressure at the end of some conduits. In cases where the flow occurs in closed circuits and it is important to reduce or eliminate flow fluctuations, it is possible to impose flow control by making use of the magnetorheological properties of some fluids. An analytical model is presented in which the working fluid is assumed to be affected by a magnetic field whose strength is proportional to the instantaneous rate of flow. In this way, it is shown that oscillatory perturbations of an otherwise constant pressure gradient can be damped away through the synchronized oscillations of the yield stress generated in the fluid by the magnetic field. The paper includes the solution of the analytical model and several examples of applications.</t>
  </si>
  <si>
    <t>978-0-7918-5492-1</t>
  </si>
  <si>
    <t>WOS:000324959400026</t>
  </si>
  <si>
    <t>Henríquez, HR</t>
  </si>
  <si>
    <t>Henriquez, Hernan R.</t>
  </si>
  <si>
    <t>Existence of solutions of non-autonomous second order functional differential equations with infinite delay</t>
  </si>
  <si>
    <t>In this paper the existence of solutions of a non-autonomous abstract retarded functional differential equation of second order with infinite delay is considered. Assuming the existence of an evolution operator corresponding to the associate abstract Cauchy problem of second order, we establish the existence of mild solutions of the functional equation. Furthermore, we study the existence of classical solutions of the abstract Cauchy problem of second order and we apply these results to establish the existence of classical solutions of the functional equation. Finally, we apply our results to study the existence of solutions of the non-autonomous wave equation with delay. (C) 2011 Elsevier Ltd. All rights reserved.</t>
  </si>
  <si>
    <t>10.1016/j.na.2011.02.010</t>
  </si>
  <si>
    <t>WOS:000289191800022</t>
  </si>
  <si>
    <t>Lacoste, P; Yuri, JA; Aranda, M; Castro, A; Quinteros, K; Solar, M; Soto, N; Chávez, C; Gaete, J; Rivas, J</t>
  </si>
  <si>
    <t>Lacoste, P.; Yuri, J. A.; Aranda, M.; Castro, A.; Quinteros, K.; Solar, M.; Soto, N.; Chavez, C.; Gaete, J.; Rivas, J.</t>
  </si>
  <si>
    <t>Geography of the fruit growing in Chile and Cuyo (1700-1850)</t>
  </si>
  <si>
    <t>Different from other regions of the Spanish Empire, the kingdom of Chile developed an intensive agriculture that included fruit production. The article discusses which, where, and how intense different species were cultivated. Four main regions were examined: North, Center, South and East (Argentina's Cuyo province). Twenty species were investigated in these jurisdictions: pomes (apple, pear, and quince), stone fruit (peach, apricot, plum, tart cherry, and sweet cherry), nuts (walnut, almond, and chestnut), citrus (orange, lemon, citron, and lime), and others such as olive, fig, passion fruit, lucuma, and cherimoya. A database with more than 190,000 fruit species were elaborated from goods inventories and other notary and judges archives. Subsequently, geographical mapping of these species were elaborated.</t>
  </si>
  <si>
    <t>Lacoste, Pablo/0000-0003-1876-8141</t>
  </si>
  <si>
    <t>WOS:000301627200005</t>
  </si>
  <si>
    <t>Sepúlveda, F</t>
  </si>
  <si>
    <t>Sepulveda, Facundo</t>
  </si>
  <si>
    <t>Training and productivity: evidence for US manufacturing industries</t>
  </si>
  <si>
    <t>OXFORD ECONOMIC PAPERS-NEW SERIES</t>
  </si>
  <si>
    <t>We use a panel of two digit manufacturing industries to examine the role of formal training programs in productivity growth and wage growth. We find evidence for positive and decreasing effects of on-the-job training (OJT) in human capital accumulation, and therefore productivity. We find however weak evidence that OJT affects wage growth, suggesting that the firm appropriates most of the benefits from OJT programs. Off-the-job training on the other hand has no effects on industrial productivity or wages.</t>
  </si>
  <si>
    <t>0030-7653</t>
  </si>
  <si>
    <t>1464-3812</t>
  </si>
  <si>
    <t>10.1093/oep/gpp028</t>
  </si>
  <si>
    <t>WOS:000279582900004</t>
  </si>
  <si>
    <t>De La Cerda, OG; Cerda, LL</t>
  </si>
  <si>
    <t>Garcia De La Cerda, Osvaldo; Laulie Cerda, Lyonel</t>
  </si>
  <si>
    <t>The CLEHES-MOOD: An Enactive Technology Towards Effective and Collaborative Action</t>
  </si>
  <si>
    <t>SYSTEMS RESEARCH AND BEHAVIORAL SCIENCE</t>
  </si>
  <si>
    <t>The present paper shows the creation of an enactive technology of self-observation that facilitates the search of effective and collaborative action strategies for any observer that belongs to an organization or human activity system, with the experience of the user as the cornerstone of design. The technology is based in the observation of moods using the ontological tool CLEHES(C) for opening different distinctions, re-configures microidentities and enhance awareness. For that, the technology was proved in a sample of executives and administrative personnel whom described their own experiences and learnings by the use of the CLEHES-MOOD. Copyright (C) 2010 John Wiley &amp; Sons, Ltd.</t>
  </si>
  <si>
    <t>Cerdà-Alabern, Llorenç/Z-5790-2019</t>
  </si>
  <si>
    <t>1092-7026</t>
  </si>
  <si>
    <t>1099-1743</t>
  </si>
  <si>
    <t>MAY-JUN</t>
  </si>
  <si>
    <t>10.1002/sres.1009</t>
  </si>
  <si>
    <t>WOS:000280912900006</t>
  </si>
  <si>
    <t>Galotto, MJ; Anfossi, SA; Guarda, A</t>
  </si>
  <si>
    <t>Galotto, M. J.; Anfossi, S. A.; Guarda, A.</t>
  </si>
  <si>
    <t>Oxygen Absorption Kinetics of Sheets and Films Containing a Commercial Iron-based Oxygen Scavenger</t>
  </si>
  <si>
    <t>FOOD SCIENCE AND TECHNOLOGY INTERNATIONAL</t>
  </si>
  <si>
    <t>Absorption kinetics of three different forms of the same iron-based oxygen scavenger were studied. Oxygen scavengers were used as pellet, sheet, and film materials. Two scavenger concentrations were used for sheet and film forms. Scavenger samples were analyzed at 75 or 100% relative humidities and stored at 5, 15, and 25 degrees C. Oxygen concentration in the headspace was measured as a function of time. Absorption kinetics was best described by the Chapman-Richards empirical growth model rather than by a first-order reaction. Arrhenius behavior was observed for variations in the final absorption rate with temperature. Absorption capacities, final absorption rates, and activation energies were evaluated and discussed. Scavenger concentration, relative humidity, and temperature effects on kinetic parameters were studied for each experimental condition. Temperature was the most important factor that affected kinetic parameters. At the relative humidity levels studied, any important effect on kinetic parameters was not observed, except on absorption capacities.</t>
  </si>
  <si>
    <t>1082-0132</t>
  </si>
  <si>
    <t>10.1177/1082013208106207</t>
  </si>
  <si>
    <t>WOS:000267440100006</t>
  </si>
  <si>
    <t>Tanter, É; Fabry, J; Douence, R; Noyé, J; Südholt, M</t>
  </si>
  <si>
    <t>ACM</t>
  </si>
  <si>
    <t>Tanter, Eric; Fabry, Johan; Douence, Remi; Noye, Jacques; Suedholt, Mario</t>
  </si>
  <si>
    <t>Expressive Scoping of Distributed Aspects</t>
  </si>
  <si>
    <t>AOSD'09: 8TH INTERNATIONAL CONFERENCE ON ASPECT-ORIENTED SOFTWARE DEVELOPMENT</t>
  </si>
  <si>
    <t>8th ACM International Conference on Aspect-Oriented Software Development</t>
  </si>
  <si>
    <t>MAR 02-06, 2009</t>
  </si>
  <si>
    <t>Univ Virginia, Charlottesville, VA</t>
  </si>
  <si>
    <t>ACM SIGPLAN,ACM SIGSOFT,Software Engn Inst</t>
  </si>
  <si>
    <t>Univ Virginia</t>
  </si>
  <si>
    <t>Dynamic deployment of aspects brings greater flexibility and reuse potential, but requires proper means for scoping aspects. Scoping issues are particularly crucial in a distributed context: adequate treatment of distributed scoping is necessary to enable the propagation of aspect instances across host boundaries and to avoid inconsistencies due to unintentional spreading of data and computations in a distributed system. We motivate the need for expressive scoping of dynamically-deployed distributed aspects by an analysis of the deficiencies of current approaches for distributed aspects. Extending recent work on deployment strategies for non-distributed aspects, we then introduce a set of high-level strategies for specifying locality of aspect propagation and activation, and illustrate the corresponding gain in expressiveness. We present the operational semantics of our proposal using Scheme interpreters, first introducing a model of distributed aspects that covers the range of current proposals, and then extending it with dynamic aspect deployment. This work shows that, given some extensions to their original execution model, deployment strategies are directly applicable to the expressive scoping of distributed aspects.</t>
  </si>
  <si>
    <t>Douence, Remi/KGL-9014-2024; Tanter, Éric/A-7955-2008</t>
  </si>
  <si>
    <t>Fabry, Johan/0000-0002-7533-9354</t>
  </si>
  <si>
    <t>978-1-60558-442-3</t>
  </si>
  <si>
    <t>WOS:000275120700003</t>
  </si>
  <si>
    <t>Rabagliati, FM; Mardones, GV; Muñoz, HE; Rodríguez, FJ</t>
  </si>
  <si>
    <t>Rabagliati, Franco M.; Mardones, Gabriela V.; Munoz, Hector E.; Rodriguez, Francisco J.</t>
  </si>
  <si>
    <t>Styrene/substituted styrene copolymerization by Ph2Zn-metallocene-MAO systems:: homo-and copolymerization of p-methoxystyrene with styrene</t>
  </si>
  <si>
    <t>POLYMER INTERNATIONAL</t>
  </si>
  <si>
    <t>BACKGROUND: The present work is part of a general study regarding the homo- and copolymerization of styrene using diphenylzine -additive initiator systems, with the aim of improving the properties of commercial atactic polystyrene. The study is focused on syndiotactic polystyrene and/or copolymers of styrene (S) with substituted styrene, styrene derivatives or various alpha -olefins. This research has been ongoing over the last 15 years. RESULTS: The reported experiments show that binary metallocene-methylaluminoxane (NIAO) and ternary Ph2Zn-metallocene-NIAO, depending on the metallocene employed, are capable of inducing both homo- and copolymerization of styrene and p-methoxystyrene (p-MeOS). The results indicate that for a styrene/p-MeOS mole ratio with p-MeOS &gt; 25% the product obtained has only a minor incorporation of styrene units. The efficiency of the metallocenes studied follows the order bis(n-butylcyclopentadienyl)titanium dichloride ((n-BUCp)(2)TiCl2) &gt; indenyltitanium trichloride (IndTiCl(3)) &gt; Cp2TiCl2. CONCLUSION: Metallocenes (n-BuCp)(2)TiCl2, Cp2TiCl2 and IndTiCl(3) in binary systems combined with NIAO, as well as in ternary systems combined with Ph2Zn and NIAO, induce the homopolymerization of p-MeOS and its copolymerization with styrene. The styrene/p-MeOS copolymer obtained was enriched in p-MeOS with respect to the initial feed, in agreement with the I+ inductive effect of the methoxy group in the para position of styrene. As already reported, the role of Ph-2 Zn was nullified by its complexation with the p-MeOS comonomer. (c) 2008 Society of Chemical Industry</t>
  </si>
  <si>
    <t>Rodríguez, Francisco/I-5283-2018</t>
  </si>
  <si>
    <t>Rodriguez-Mercado, Francisco/0000-0002-0530-6653</t>
  </si>
  <si>
    <t>0959-8103</t>
  </si>
  <si>
    <t>1097-0126</t>
  </si>
  <si>
    <t>MAY</t>
  </si>
  <si>
    <t>10.1002/pi.2404</t>
  </si>
  <si>
    <t>WOS:000255313300011</t>
  </si>
  <si>
    <t>Troncoso, E; Pedreschi, F</t>
  </si>
  <si>
    <t>Troncoso, Elizabeth; Pedreschi, Franco</t>
  </si>
  <si>
    <t>Modeling of textural changes during drying of potato slices</t>
  </si>
  <si>
    <t>JOURNAL OF FOOD ENGINEERING</t>
  </si>
  <si>
    <t>The objective of this research was to study the kinetics of textural changes during convection drying of potato slices by using different mathematical models. The following four models were proposed to validate texture experimental data: (i) two irreversible serial chemical reactions; (ii) two irreversible serial chemical reactions with k(2) = 0, which means that only the tissue softening stage is considered; (iii) fractional conversion; (iv) first-order kinetics. These models link the dimensionless textural parameter, maximum force F-(MAX) with drying time. Experimental textural changes were followed during drying of potato slices at different air temperatures (50, 60, 70 and 80 degrees C). Regardless of the different drying temperatures, the trend of F*(max) with drying time was almost the same, showing a progressive and significant decrease in its value as the exposure time increased. However, F*(MAX) of potato slices during drying decreases as the moisture content and temperature decreases, reflecting a clear softening of the potato tissue. A satisfactory agreement between experimental and predicted values was observed for two irreversible serial chemical reactions, with k(2)not equal 0 and k(2) = 0, and fractional conversion models, with root mean square error values (RMS's) in the range of 4.0-9.1%, 3.0-7.4% and 2.0-7.3%, respectively. These RMS's values are much better than 5.6-23.4% obtained with the traditional first order kinetics. The temperature dependence of model parameters was described by Arrhenius-type relationship and the activation energy for tissue softening ranged between -6565 and 3562 J/mol. (C) 2007 Elsevier Ltd. All rights reserved.</t>
  </si>
  <si>
    <t>pedreschi, franco/F-8844-2013</t>
  </si>
  <si>
    <t>Troncoso, Elizabeth/0000-0002-6749-774X</t>
  </si>
  <si>
    <t>0260-8774</t>
  </si>
  <si>
    <t>1873-5770</t>
  </si>
  <si>
    <t>10.1016/j.jfoodeng.2007.03.015</t>
  </si>
  <si>
    <t>WOS:000247169600020</t>
  </si>
  <si>
    <t>Reyes, EG</t>
  </si>
  <si>
    <t>Reyes, Enrique G.</t>
  </si>
  <si>
    <t>On nonlocal symmetries of some shallow water equations</t>
  </si>
  <si>
    <t>JOURNAL OF PHYSICS A-MATHEMATICAL AND THEORETICAL</t>
  </si>
  <si>
    <t>A recent construction of nonlocal symmetries for the Korteweg-de Vries, Camassa-Holm and Hunter-Saxton equations is reviewed, and it is pointed out that - in the Camassa-Holm and Hunter-Saxton case - these symmetries can be considered as ( nonlocal) symmetries of integro-differential equations.</t>
  </si>
  <si>
    <t>Reyes, Enrique/AAD-1308-2019</t>
  </si>
  <si>
    <t>Reyes, Enrique G./0000-0001-8460-444X</t>
  </si>
  <si>
    <t>1751-8113</t>
  </si>
  <si>
    <t>1751-8121</t>
  </si>
  <si>
    <t>APR 27</t>
  </si>
  <si>
    <t>10.1088/1751-8113/40/17/004</t>
  </si>
  <si>
    <t>WOS:000246085400010</t>
  </si>
  <si>
    <t>Casorzo, CA; Alfaro, MD; González, JI</t>
  </si>
  <si>
    <t>Bhatt, B; Tewarie, B; Lazakidou, A; Siasiakos, K</t>
  </si>
  <si>
    <t>Casorzo, Carlo A.; Alfaro, Miguel D.; Gonzalez, Javier I.</t>
  </si>
  <si>
    <t>A mathematical model for the simulation of the income of Chilean universities to aid their strategic decision making process</t>
  </si>
  <si>
    <t>PROCEEDINGS OF THE 9TH WSEAS INTERNATIONAL CONFERENCE ON MATHEMATICAL AND COMPUTATIONAL METHODS IN SCIENCE AND ENGINEERING (MACMESE '07)/ DNCOCO '07</t>
  </si>
  <si>
    <t>Electrical and Computer Engineering Series</t>
  </si>
  <si>
    <t>Joint Conference 9th WSEAS Int Conf on Mathematical and Computational Methods in Sci and Engineering/6th WSEAS Int Conf on Data Networks, Commununications, Computers</t>
  </si>
  <si>
    <t>NOV 05-07, 2007</t>
  </si>
  <si>
    <t>Port Spain, TRINID &amp; TOBAGO</t>
  </si>
  <si>
    <t>WSEAS</t>
  </si>
  <si>
    <t>The Chilean universities that belong to the Council Board of Rectors of Chilean Universities are subject to direct and indirect fiscal money contributions, that depend on performance measures among other factors, and thus, their income is affected by these two contributions plus the student body's payment. The prediction of future income and the selection of strategic policies of these universities is a non trivial task. This paper presents a mathematical model of the Chilean universities dynamic system, used to create a simulation tool that gives these universities the capability to predict their income under different scenarios, created to aid their decision making process.</t>
  </si>
  <si>
    <t>978-960-6766-11-4</t>
  </si>
  <si>
    <t>WOS:000254146000042</t>
  </si>
  <si>
    <t>Sáez-Godoy, L</t>
  </si>
  <si>
    <t>Saez-Godoy, Leopoldo</t>
  </si>
  <si>
    <t>Canon, prerogative and Royalty in Chilean Spanish</t>
  </si>
  <si>
    <t>ESTUDIOS FILOLOGICOS</t>
  </si>
  <si>
    <t>A confrontation between the Chilean government and the powerful private mining companies that work copper mines ended in 2004. The discussion about a law that wanted to tax them was widely known through the dailies. It in necessary to find a name for the payment made to the government for the exploitation of mines that belong to the whole country. In linguistic terms three possibilities are present: two patrimonial ones, that is to say, canon and prerogative, and one anglicism, royalty. The use of this concepts is present in Chilean Spanish taking into account and original data base: an integral corpus of Chilean Spanish and he records of texts from the Real Academia Espahola: Crea and Corde.</t>
  </si>
  <si>
    <t>0071-1713</t>
  </si>
  <si>
    <t>0717-6171</t>
  </si>
  <si>
    <t>WOS:000240853700015</t>
  </si>
  <si>
    <t>Rojas, W; Solar, M; Chacón, M; Ferland, J</t>
  </si>
  <si>
    <t>Parmee, IC</t>
  </si>
  <si>
    <t>An efficient genetic algorithm to solve the manufacturing cell formation problem</t>
  </si>
  <si>
    <t>ADAPTIVE COMPUTING IN DESIGN AND MANUFACTURE VI</t>
  </si>
  <si>
    <t>6th Evolutionary/Adaptive Computing Conference</t>
  </si>
  <si>
    <t>Univ W England, Bristol, ENGLAND</t>
  </si>
  <si>
    <t>UK Engn Phys Sci Res Council,UK Network Adapt Comp Design MFG</t>
  </si>
  <si>
    <t>Univ W England</t>
  </si>
  <si>
    <t>A fundamental stage in the design of manufacturing systems is the simultaneous formation of machine cells and families of parts. This problem has been addressed using a number of approaches, but genetic algorithms have had the most success. This paper presents an innovative integer genetic algorithm based on a partial definition of solutions together with a recursive fitness function based on Baldwin effect. The proposed algorithm was tested on a number of problems taken from the literature, and the comparative results are presented.</t>
  </si>
  <si>
    <t>Solar, Mauricio/AAE-9673-2020</t>
  </si>
  <si>
    <t>1-85233-829-6</t>
  </si>
  <si>
    <t>10.1007/978-0-85729-338-1_15</t>
  </si>
  <si>
    <t>WOS:000189506200015</t>
  </si>
  <si>
    <t>Mery, D</t>
  </si>
  <si>
    <t>Explicit geometric model of a radioscopic imaging system</t>
  </si>
  <si>
    <t>NDT &amp; E INTERNATIONAL</t>
  </si>
  <si>
    <t>In this paper a new explicit model of a radioscopic imaging system is presented. The model includes three parts: X-ray projection, image intensifier and CCD camera. The X-ray projection is modelled as a linear central projection. The image intensifier is modelled using a new explicit model that considers the curved input screen and the non-linear projection caused by electromagnetic fields. The CCD camera is modelled according to a general 2D projective transformation of the output screen of the image intensifier. Thus, the back-projection, required for 3D reconstruction, can be expressed in a closed-form. The model is compared to seven other known models. The presented model achieves high accuracy. (C) 2003 Elsevier Ltd. All rights reserved.</t>
  </si>
  <si>
    <t>Mery, Domingo/D-1385-2014</t>
  </si>
  <si>
    <t>Mery, Domingo/0000-0003-4748-3882</t>
  </si>
  <si>
    <t>0963-8695</t>
  </si>
  <si>
    <t>10.1016/S0963-8695(03)00084-7</t>
  </si>
  <si>
    <t>WOS:000185662900006</t>
  </si>
  <si>
    <t>Díaz, EM; Herborn, JP; Rubinstein, GC</t>
  </si>
  <si>
    <t>Primary prevention of traffic accidents:: Driver training and traffic safety campaigns</t>
  </si>
  <si>
    <t>REVISTA MEXICANA DE PSICOLOGIA</t>
  </si>
  <si>
    <t>Chile has one of the lowest traffic accident rates in Latin America, but still five times higher than those of developed countries, with 52,166 persons involved and 1,955 deaths in 1999. The present review proposes two possible ways to prevent traffic accidents: driver training and generalized road safety campaigns. The literature concerning driver training models is scarce and it is focused in the young (18-25 years old) and the elderly (65 and more). In Chile training for professional drivers is now Compulsory. Traffic safety campaigns complement such actions as driver training and should be based upon scientific psychological knowledge and the use of mass media. Various actions are recommended for driver training and campaign development.</t>
  </si>
  <si>
    <t>0185-6073</t>
  </si>
  <si>
    <t>JUN</t>
  </si>
  <si>
    <t>WOS:000183589900010</t>
  </si>
  <si>
    <t>Lay-Son, L</t>
  </si>
  <si>
    <t>Thrombosis of the cerebral venous sinuses following ligature of the internal jugular vein</t>
  </si>
  <si>
    <t>REVISTA DE NEUROLOGIA</t>
  </si>
  <si>
    <t>0210-0010</t>
  </si>
  <si>
    <t>FEB 15</t>
  </si>
  <si>
    <t>10.33588/rn.3604.2002422</t>
  </si>
  <si>
    <t>WOS:000181268000022</t>
  </si>
  <si>
    <t>Bustos, R; Romo, L; Yáñez, K; Díaz, G; Romo, C</t>
  </si>
  <si>
    <t>Oxidative stability of carotenoid pigments and polyunsaturated fatty acids in microparticulate diets containing krill oil for nutrition of marine fish larvae</t>
  </si>
  <si>
    <t>6th Karlsruhe Nutrition Symposium</t>
  </si>
  <si>
    <t>OCT 21-23, 2001</t>
  </si>
  <si>
    <t>KARLSRUHE, GERMANY</t>
  </si>
  <si>
    <t>Stability of omega-3 polyunsaturated fatty acids (PUFAs) and astaxanthin pigments in a aqueous suspension of krill oil/chitosan microcapsules was studied. Physically stable and homogeneous microcapsuies were obtained with chitosan of different molecular weight. PUFAs were stable during the first 15 days of the study retaining over 95% of the eicosapentaenoic acid and docosahexaenoic acid originally present in the oil. Astaxanthin and its ethers were not as stable as the PUFAs, however low.molecular weight chitosan showed a better protective effect than high molecular weight chitosan. The potential application of this micro-particulate system for PUFAs and liposoluble vitamin supplementation of processed human food and aquafeed is discussed. (C) 2002 Elsevier Science Ltd. All rights reserved.</t>
  </si>
  <si>
    <t>Bustos, Ruben/AAM-2029-2020</t>
  </si>
  <si>
    <t>Bustos, Ruben/0000-0003-0183-0324</t>
  </si>
  <si>
    <t>2-3</t>
  </si>
  <si>
    <t>PII S0260-8774(02)00272-8</t>
  </si>
  <si>
    <t>10.1016/S0260-8774(02)00272-8</t>
  </si>
  <si>
    <t>WOS:000179507400034</t>
  </si>
  <si>
    <t>S</t>
  </si>
  <si>
    <t>Ordenes, MC; Eugenín, J; Llona, I</t>
  </si>
  <si>
    <t>Pequignot, JM; Gonzalez, C; Nurse, CA; Prabhakar, NR; Dalmaz, Y</t>
  </si>
  <si>
    <t>Ventilatory response to CO2 in new born mouse</t>
  </si>
  <si>
    <t>CHEMORECEPTION: FROM CELLULAR SIGNALLING TO FUNCTIONAL PLASTICITY</t>
  </si>
  <si>
    <t>ADVANCES IN EXPERIMENTAL MEDICINE AND BIOLOGY</t>
  </si>
  <si>
    <t>15th International Symposium on Arterial Chemoreception</t>
  </si>
  <si>
    <t>NOV 18-22, 2002</t>
  </si>
  <si>
    <t>LYON, FRANCE</t>
  </si>
  <si>
    <t>CNRS,INSERM,Univ Claude Bernard Lyon I,Inst Rech Int Serv,Reg Rhone Alpes,Ville Lyon,Conseil Gen Rhone</t>
  </si>
  <si>
    <t>0065-2598</t>
  </si>
  <si>
    <t>0-306-47868-4</t>
  </si>
  <si>
    <t>WOS:000188998400069</t>
  </si>
  <si>
    <t>Herrera, C; Gaete, L</t>
  </si>
  <si>
    <t>Evaluation of an ultrasonic field effect on Pyrex compression fracture</t>
  </si>
  <si>
    <t>REVISTA MEXICANA DE FISICA</t>
  </si>
  <si>
    <t>12th Chilean Symposium of Physics</t>
  </si>
  <si>
    <t>NOV 22-24, 2000</t>
  </si>
  <si>
    <t>SANTIAGO, CHILE</t>
  </si>
  <si>
    <t>The effect of an ultrasonic field (23 kHz) on surface fracture topography of Pyrex cylindrical samples tested under compression has been studied. The stress to fracture the sample under an ultrasonic field was lower. The clasically observed patterns in brittle fracture were found. Direct measurements of the surface roughness by profilometry showing that the Rq roughness is less in the tests with ultrasound suggest that the ultrasonic fields can affect the crack propagation dynamics improving the fracture process.</t>
  </si>
  <si>
    <t>0035-001X</t>
  </si>
  <si>
    <t>WOS:000180065500048</t>
  </si>
  <si>
    <t>Moyano, PC; Ríoseco, VK; González, PA</t>
  </si>
  <si>
    <t>Kinetics of crust color changes during deep-fat frying of impregnated french fries</t>
  </si>
  <si>
    <t>The objective of this work was to study the kinetics of crust browning during deep-fat frying of impregnated and control potato strips (Solanum tuberosum L., Desiree variety) by using a dynamic method and, with the obtained kinetics parameters, to predict the color change during frying. Blanched potato strips were impregnated at 25 degreesC by soaking in solutions of corn syrup DE 42-NaCl, 50-3% by weight, and NaCl 3% by weight. After rinsing and air drying, the strips were deep fried in sunflower oil at 160, 170 and 180 degreesC. A control treatment, consisting of potato strips blanched but not soaked was also conducted. Experimental data of surface temperature, mean moisture content of potato strips and crust color changes during frying were fit to empirical relationships, with correlation coefficients greater than 99.0%. A first-order rate equation was used to model the kinetics of color change. In all cases, the Arrhenius activation energy decreased alongside with decreasing mean moisture content, suggesting a possible color development rate control from a chemical step to a diffusional one. The kinetic parameters were employed to predict the color change during the deep-fat frying with RMS's values in the range of 5.1-10.5%. (C) 2002 Elsevier Science Ltd. All rights reserved.</t>
  </si>
  <si>
    <t>PII S0260-8774(01)00211-4</t>
  </si>
  <si>
    <t>10.1016/S0260-8774(01)00211-4</t>
  </si>
  <si>
    <t>WOS:000176775900009</t>
  </si>
  <si>
    <t>Altbir, D; Vargas, P</t>
  </si>
  <si>
    <t>Magnetoresistance in granular materials and size effects</t>
  </si>
  <si>
    <t>XIth Southern Workshop on Solid State Physics</t>
  </si>
  <si>
    <t>OCT 22-25, 1997</t>
  </si>
  <si>
    <t>VILLARRICA, CHILE</t>
  </si>
  <si>
    <t>Ctr Latinamer Fis,Comis Nacl Ciencia &amp; Tecnol,Soc Chilena Fis,Univ La Frontera, Fac Ingn,Univ La Frontera, Dept Phys,Univ Concepcion, Fac Ciencias Fis &amp; Matemat,Pontificia Univ Catolica Chile, Fac Fis,Univ Santiago Chile, Fac Ciencias,Univ Bio Bio, Fac Ciencias,Univ Diego Portales, Fac Ciencias Ingn</t>
  </si>
  <si>
    <t>Considering dipolar interactions between magnetic grains, the effect of cluster size distributions in the magnetoresistance of granular metallic systems is analyzed. In particular, the reduced magnetoresistance and magnetization are studied for different systems, and it is shown that when a broad grain size distribution is considered, strong effects are observed. However, the dipole-dipole short range correlation at zero field does not change, when a cluster size distribution is considered. Therefore the reduced magnetoresistance value at zero field is not affected.</t>
  </si>
  <si>
    <t>Vargas, Patricio/AAL-2633-2020; Altbir, Dora/R-6781-2018</t>
  </si>
  <si>
    <t>Altbir, Dora/0000-0002-2945-4909; vargas, patricio/0000-0001-9235-9747</t>
  </si>
  <si>
    <t>WOS:000076407000020</t>
  </si>
  <si>
    <t>Parker, C</t>
  </si>
  <si>
    <t>Modern popular religion - A complex object of study for sociology</t>
  </si>
  <si>
    <t>INTERNATIONAL SOCIOLOGY</t>
  </si>
  <si>
    <t>Popular religion is a widespread phenomenon among peasants of the Third World, but it is the vitality and force of popular religious expressions in the urban popular milieu of developing countries that pose serious questions for classical secularization theories. The religious sense produced by the lower strata of the urban populace in contexts of subjugation in urbanization and globalization is complex and depends on several factors. in order to analyse it, sociology must abandon its rationalist and erudite background to move forward to new paradigms that allow us to understand how it is that contemporary popular religion - including seemingly more primitive religious expressions pertains to modernity and is able to be understood as part of the dialectic of current globalization. This article proposes a different way of understanding popular life and faith another view of the people's religious creativity, syncretism and religious heterogeneity, an appreciation of a 'different logic' of the people and the countercultural character of the rationality that they acquire in various contexts.</t>
  </si>
  <si>
    <t>Parker G., Cristian/J-4947-2017</t>
  </si>
  <si>
    <t>Parker G., Cristian/0000-0001-8041-9642</t>
  </si>
  <si>
    <t>0268-5809</t>
  </si>
  <si>
    <t>WOS:000074869700004</t>
  </si>
  <si>
    <t>Garin, JL; Mannheim, RL</t>
  </si>
  <si>
    <t>Manufacturing of Mo-25 Re and Mo-50 Re alloys by means of powder sintering at medium temperatures</t>
  </si>
  <si>
    <t>MATERIALS AND MANUFACTURING PROCESSES</t>
  </si>
  <si>
    <t>Powder mixtures of molybdenum and rhenium were sintered at various temperatures to fabricate Mo-25% Re and Mo-50% Re alloys. For this purpose, stoichiometric mixtures of the component powder metals with particle sizes of 1 to 5 mu m average, were first homogenized in a planetary mill and then compacted at 300, 400, 500 and 600 MPa, to the shape of tablets and small billets for rolling to thin foils. The obtained pieces were subjected to sintering at various temperatures in the range of 1400 to 1700 degrees C, under argon-hydrogen protecting atmosphere. The solid solution of rhenium in the molybdenum matrix was followed by means of x-ray diffraction. It was found that at all sintering temperatures rhenium was totally dissolved in the Mo-25% Re alloy, while small amounts of an intermediate phase were detected in the case of the Mo-50% Re alloy, in goad agreement with the corresponding phase diagram. The densification of sintered parts increased with temperature and compaction pressure up to values less than 90%. Owing to the fine particle size of the powders, the sintering temperature can be lower than those normally utilized in the refractory metals industry.</t>
  </si>
  <si>
    <t>1042-6914</t>
  </si>
  <si>
    <t>10.1080/10426919808935295</t>
  </si>
  <si>
    <t>WOS:000075627800007</t>
  </si>
  <si>
    <t>Vergara, L</t>
  </si>
  <si>
    <t>Baryon asymmetry persistence in the standard model with a singlet</t>
  </si>
  <si>
    <t>PHYSICAL REVIEW D</t>
  </si>
  <si>
    <t>We carefully review the possibility of avoiding baryon washout in the context of the standard model with a complex scalar singlet. Baryon asymmetry persistence occurs even for a Higgs boson;mass of 80 GeV, and top-quark masses around 180 GeV.</t>
  </si>
  <si>
    <t>Vergara, Lautaro/V-2736-2019</t>
  </si>
  <si>
    <t>0556-2821</t>
  </si>
  <si>
    <t>10.1103/PhysRevD.55.5248</t>
  </si>
  <si>
    <t>WOS:A1997WV25000079</t>
  </si>
  <si>
    <t>Guzman, AM; Moraga, NO; Munoz, GO; Amon, CH</t>
  </si>
  <si>
    <t>ElGenk, MS</t>
  </si>
  <si>
    <t>Pulsatile non-Newtonian flow in a converging-diverging tube</t>
  </si>
  <si>
    <t>HEAT TRANSFER - BALTIMORE 1997</t>
  </si>
  <si>
    <t>AICHE SYMPOSIUM SERIES</t>
  </si>
  <si>
    <t>32nd National Heat Transfer Conference</t>
  </si>
  <si>
    <t>AUG 10-12, 1997</t>
  </si>
  <si>
    <t>BALTIMORE, MD</t>
  </si>
  <si>
    <t>Amer Inst Chem Engineers</t>
  </si>
  <si>
    <t>This work reports numerical simulations of the non-Newtonian time-dependent flow behavior in a variable cross-section circular tube. The flow dynamics results are obtained by direct numerical simulations of the time-dependent, incompressible momentum and continuity equations using both a finite volume method and a spectral element method. The axisymmetric computational model corresponds to a tube with rigid walls and two converging-diverging regions, which models a human artery with two deformed regions or aneurysms. A pulsatile volumetric inflow rate, which models a typical cardiac pulse, is applied to the computational model. Vector velocities and shear stresses are sued to characterize the flow pattern as well as the temporal adn spatial flow behavior. A computational code based on the finite volume method in implemented and validated studying three asymptotic cases that takes into account aspects such as geometric inhomogeneities, pulsatile flow and non-Newtonian fluid. Computational simulations are performed for a Reynolds number of Re-m=500, using the Ostwald-de-Waele power law with 0.8 n-index power and a geometric aspect ratio of radii 1.375.</t>
  </si>
  <si>
    <t>Mercado, Alvaro/AAI-9719-2020</t>
  </si>
  <si>
    <t>0065-8812</t>
  </si>
  <si>
    <t>0-8169-0739-0</t>
  </si>
  <si>
    <t>WOS:A1997BJ88E00043</t>
  </si>
  <si>
    <t>Pereda, J; Soto, M</t>
  </si>
  <si>
    <t>Motta, PM</t>
  </si>
  <si>
    <t>Ultracytochemical approach to the study of primordial germ cells during the migratory phase in human embryos</t>
  </si>
  <si>
    <t>MICROSCOPY OF REPRODUCTION AND DEVELOPMENT : A DYNAMIC APPROACH: A DYNAMIC APPROACH</t>
  </si>
  <si>
    <t>2nd International Malpighi Symposium</t>
  </si>
  <si>
    <t>SEP 14-16, 1995</t>
  </si>
  <si>
    <t>UNIV ROME LA SAPIENZA, ROME, ITALY</t>
  </si>
  <si>
    <t>UNIV ROME LA SAPIENZA</t>
  </si>
  <si>
    <t>The existence of glycoconjugates in the cell surface of human primordial germ cells (PGCs) during the migratory phase has been studied by ultracytochemical techniques. Seven human embryos, ranging in age between 30 and 35 days of gestation (Carnegie Stages 14, 15 and 16) were collected during salpingectomies performed on patients with ectopic tubal pregnancies. Embryos were fixed in 3% glutaraldehyde in 0.1 M phosphate buffer pH 7.4. Fragments of the allantois-hindgut and the mesonephros were also analyzed. After secb tioning they were separated in two groups. Some specimens were embedded in Epon 812, cult in 60 nm thick sections and stained with silver methenamine. 40 mu m frozen sections were obtained from the rest of the material and stained using Hale's colloidal iron method. Streptomyces hyaluronidase and chondroitinase ABC were used as controls. All the material was processed according to conventional techniques for transmission electron microscopy. Human migratory PGCs are big and irregular in shape and show ameboid-like processes. They are usually surrounded and/or closely associated to adjacent somatic cells. PGCs also showed both a silver methenamine and colloidal iron positive reaction during the migratory phase. After treatment with Streptomyces hyaluronidase and chondroitinase ABC the positive colloidal iron reaction is abolished at different locations of the cell surface. This study revealed glycoproteins, hyaluronic acid and chondroitin and/or dermatan sulfate on the cell surface of migratory PGCs. Since these macromolecules are normally involved in cell recognition, cell adhesion and cell movement, these results may be relevant to phenomena associated to morphogenetic processes.</t>
  </si>
  <si>
    <t>88-7287-155-7</t>
  </si>
  <si>
    <t>WOS:000072975000041</t>
  </si>
  <si>
    <t>Terraza, CA; Rabagliati, FM</t>
  </si>
  <si>
    <t>Further studies on styrene polymerization using diphenylzinc-additive systems</t>
  </si>
  <si>
    <t>POLYMER BULLETIN</t>
  </si>
  <si>
    <t>Diphenylzinc-water-organic monochloride systems, Ph(2)Zn-H2O-RCl with n-, sec- and tert-butyl chloride (t-BuCl) and benzyl chloride (BzCl), were used to induce styrene polymerization. Improvement in polymer conversion is in concordance with the enthalpy of dissociation of the organic chloride employed. Polymerization results suggest that systems with t-BuCl and BzCl proceed by coordinate cationic propagation. Obtained polystyrene was atactic with up to 75% syndiotactic triads detected by H-1-NMR spectroscopy.</t>
  </si>
  <si>
    <t>Terraza, Claudio/0000-0002-6326-8771</t>
  </si>
  <si>
    <t>0170-0839</t>
  </si>
  <si>
    <t>10.1007/BF00315062</t>
  </si>
  <si>
    <t>WOS:A1996TZ31300009</t>
  </si>
  <si>
    <t>Aspee, A; Lissi, E</t>
  </si>
  <si>
    <t>Interfacial free energy of alkanols in aqueous solutions: Dependence with hydrophobicity and topology of the solute</t>
  </si>
  <si>
    <t>JOURNAL OF COLLOID AND INTERFACE SCIENCE</t>
  </si>
  <si>
    <t>The free energy of transfer from the bulk solution to the interface for several alkanols of different hydrophobicity and topology is obtained from the change in the surface tension of the solution with the alkanol concentration. Values of the free energy of transfer were obtained at total surface coverage of the alkanol both at zero surface pressure and at the surface pressure of saturation. The first values (Delta G(0)) were defined at constant surface area, while the latter values (Delta G(0))'' were defined at constant surface pressure. Although both parameters are primarily determined by the hydrophobicity of the solute, they are significantly affected by the topology of the alkanol. Plots of both parameters versus the solute hydrophobicity show that, while displacing the hydroxyl group toward the center of the alkanol and branching decrease the value of (Delta G(0)), the opposite is observed regarding (Delta G(0))'' values. The results are explained in terms of the tendency of the alkanols to cover the interface and their surface area. (C) 1996 Academic Press, Inc.</t>
  </si>
  <si>
    <t>0021-9797</t>
  </si>
  <si>
    <t>MAR 1</t>
  </si>
  <si>
    <t>10.1006/jcis.1996.0117</t>
  </si>
  <si>
    <t>WOS:A1996TZ72300032</t>
  </si>
  <si>
    <t>GODOY, X; ABUIN, E; LISSI, E; LEON, A</t>
  </si>
  <si>
    <t>PHOTOPHYSICAL STUDY OF POLY-(METHYL METHACRYLATE) CONTAINING INDOLIC GROUPS</t>
  </si>
  <si>
    <t>3-(3-indoyl)-propyl methacrylate (IPM) was prepared and subsequently copolymerized with methylmethacrylate (MMA) in order to obtain a poly-(methyl methacrylate) containing fluorescent indolic groups (PMMI). 3-(3-indoyl)-propyl isobutyrate (IPI), was also synthetized as a model compound. Characterization of the polymer gave a molecular weight of 200,000 and a mean average number of 2.5 indolic units per chain. The model compound and the polymer showed the same absorption spectra, with a maximum at 280 nm. The emission spectra for both compounds were strongly dependent on the solvent, with a shift of the emission wavelengths towards the red in polar solvents. In a given solvent, both polymer and model emit at the same wavelength, the only exception for this was observed when 1-propanol was employed as solvent. This was attributed to a ''chain effect'' exerted by the strongly folded macromolecule, shifting the emission wavelength toward values corresponding to polarities lower than the bulk solution. In solvent mixtures, the maximum emission wavelength shifts can be considered as indicative of the probe environment, reflecting a sort of preferential adsorption of the component with the highest thermodynamic power onto the macromolecular chains. Finally, a number of quenching experiments were performed in pure solvents and solvent mixtures, showing that the deactivation process is diffusion-controlled. The lower values found for the polymer could indicate that the quencher finds a certain resistance to penetrate the polymer coil, which might be due to steric effects or a higher local viscosity within the macromolecular coil.</t>
  </si>
  <si>
    <t>10.1016/0014-3057(94)90130-9</t>
  </si>
  <si>
    <t>WOS:A1994PP68000004</t>
  </si>
  <si>
    <t>BUSTAMANTE, R; GIACAMAN, G; BARRA, M</t>
  </si>
  <si>
    <t>Warren, GW</t>
  </si>
  <si>
    <t>SIMULATION AND ANIMATION OF A COPPER SMELTER</t>
  </si>
  <si>
    <t>EPD CONGRESS 1994</t>
  </si>
  <si>
    <t>EPD Congress 1994, at the TMS Annual Meeting</t>
  </si>
  <si>
    <t>FEB 27-MAR 03, 1993</t>
  </si>
  <si>
    <t>SAN FRANCISCO, CA</t>
  </si>
  <si>
    <t>MINERALS MET &amp; MAT SOC, EXTRACT &amp; PROC DIV</t>
  </si>
  <si>
    <t>0-87339-262-0</t>
  </si>
  <si>
    <t>WOS:A1994BZ87P00038</t>
  </si>
  <si>
    <t>MONTES, S; FUENTES, L; PESSE, R; PEREZ, D; ZAGAL, JH</t>
  </si>
  <si>
    <t>HYDROGEN PERMEATION THROUGH CARBON-STEELS - EFFECT OF ARSENICUM</t>
  </si>
  <si>
    <t>BOLETIN DE LA SOCIEDAD CHILENA DE QUIMICA</t>
  </si>
  <si>
    <t>We have studied the behavior of three types of steels (1010, 1020, 1045) with electrolytically incorporated hydrogen at room temperature (20-degrees-C). The apparent diffusion coefficients are compared with results obtained in the presence of arsenicum (as arsenite) dissolved in alkali. Arsenite acts as a promoter of hydrogen entry into the metal. These results have been compared with those obtained with high purity iron. The metal samples were previously baked at 600-degrees-C for 2 hrs.</t>
  </si>
  <si>
    <t>zagal, jose/L-9648-2014</t>
  </si>
  <si>
    <t>0366-1644</t>
  </si>
  <si>
    <t>WOS:A1992KH70700015</t>
  </si>
  <si>
    <t>RUBIO, MA; LEMP, E; ENCINAS, MV; LISSI, EA</t>
  </si>
  <si>
    <t>FACTORS CONTROLLING THE REACTIVITY OF ANTHRACENE-DERIVATIVES WITH SINGLET OXYGEN IN AQUEOUS-SOLUTIONS AND IN UNILAMELLAR VESICLES</t>
  </si>
  <si>
    <t>The reaction between anthracene derivatives and singlet oxygen is extremely dependent upon the solvent characteristics. This dependence is considered to be due to occurrence of a mechanism comprising substantial charge transfer at the critical configuration. The reaction rate in aqueous solution increases by a factor 2.5 in the presence of 2 M tetramethylammonium chloride. This result is interpreted in terms of the stabilization of the charge transfer complex. The reaction in vesicles is determined by the intravesicular oxygen concentration and the microproperties of the media. Addition of n-octanol decreases the reactivity of the anthracene derivatives towards singlet oxygen. This effect, that is contrary to that expected due to the increased intravesicular oxygen concentration, emphasizes the strong dependence of the aromatic reactivity with the microproperties of the reaction media.</t>
  </si>
  <si>
    <t>Encinas, Maria/L-9686-2014</t>
  </si>
  <si>
    <t>WOS:A1992HQ07500007</t>
  </si>
  <si>
    <t>URZUA, A; MENDOZA, L</t>
  </si>
  <si>
    <t>DIHYDROPINIFOLIC ACID C-19-METHYL-ESTER, FROM THE RESINOUS EXUDATE OF HAPLOPAPPUS-VELUTINUS</t>
  </si>
  <si>
    <t>WOS:A1989AQ10300009</t>
  </si>
  <si>
    <t>ESCUDEY, M; MOYA, SA</t>
  </si>
  <si>
    <t>USE OF VOLCANIC-ASH-DERIVED SOIL AS IRON-OXIDE SUPPORTED CATALYSTS</t>
  </si>
  <si>
    <t>COLLOIDS AND SURFACES</t>
  </si>
  <si>
    <t>0166-6622</t>
  </si>
  <si>
    <t>JUL 28</t>
  </si>
  <si>
    <t>10.1016/0166-6622(89)80113-1</t>
  </si>
  <si>
    <t>WOS:A1989AM15100013</t>
  </si>
  <si>
    <t>PASTORE, GF</t>
  </si>
  <si>
    <t>TRANSMISSION INTERFERENCE SPECTROMETRIC DETERMINATION OF THE THICKNESS AND REFRACTIVE-INDEX OF BARRIER FILMS FORMED ANODICALLY ON ALUMINUM</t>
  </si>
  <si>
    <t>THIN SOLID FILMS</t>
  </si>
  <si>
    <t>0040-6090</t>
  </si>
  <si>
    <t>10.1016/0040-6090(85)90036-7</t>
  </si>
  <si>
    <t>WOS:A1985AHR2500002</t>
  </si>
  <si>
    <t>MATSUHIRO, B</t>
  </si>
  <si>
    <t>POLYSACCHARIDES FROM CHILEAN SEAWEEDS .12. STUDIES ON THE SOLUBLE POLYSACCHARIDE FROM CERAMIUM-PACIFICUM</t>
  </si>
  <si>
    <t>BOTANICA MARINA</t>
  </si>
  <si>
    <t>Aqueous extraction of the red seaweed C. pacificum afforded a polysaccharide which on acid hydrolysis gave D-galactose, xylose and glucose in the proportion 7.2:1.1:1.0. From the methanolysate, 3,6-anhydro-L-galactose dimethyl acetal and methyl .alpha.-D-galacto-pyranoside were isolated.</t>
  </si>
  <si>
    <t>0006-8055</t>
  </si>
  <si>
    <t>1437-4323</t>
  </si>
  <si>
    <t>10.1515/botm.1982.25.3.139</t>
  </si>
  <si>
    <t>WOS:A1982NL25900006</t>
  </si>
  <si>
    <t>ABUIN, E; LISSI, E</t>
  </si>
  <si>
    <t>PARTITION-COEFFICIENT OF NAPHTHALENE BETWEEN WATER AND CETYLTRIMETHYLAMMONIUM BROMIDE MICELLES</t>
  </si>
  <si>
    <t>JOURNAL OF PHYSICAL CHEMISTRY</t>
  </si>
  <si>
    <t>0022-3654</t>
  </si>
  <si>
    <t>10.1021/j100457a025</t>
  </si>
  <si>
    <t>WOS:A1980KK17300025</t>
  </si>
  <si>
    <t>Estévez, R; Quijada-Maldonado, E; Romero, J; Abejón, R</t>
  </si>
  <si>
    <t>Estevez, Rodrigo; Quijada-Maldonado, Esteban; Romero, Julio; Abejon, Ricardo</t>
  </si>
  <si>
    <t>Additive Manufacturing and Chemical Engineering: Looking for Synergies from a Bibliometric Study</t>
  </si>
  <si>
    <t>APPLIED SCIENCES-BASEL</t>
  </si>
  <si>
    <t>Additive manufacturing must be highlighted as an innovative technology with the capacity to produce objects with complex and customized geometries using a diverse range of raw materials. Despite its significant potential, research compiling and evaluating the specific contributions of additive manufacturing in the field of chemical engineering was scarce in both quantitative and qualitative terms. Similarly, the application of chemical engineering tools to additive manufacturing has not been specifically reviewed. Therefore, this work conducted a comprehensive review of the scientific literature covering these issues using bibliometric analysis. The search encompassed the entirety of the scientific literature up to the year 2023, yielding 3761 documents in the Scopus database. The principal findings of this bibliometric analysis indicated an exponential growth in the number of publications, which suggests a rising scientific interest in this field. The analysis revealed that English was the dominant language in the documents, and articles constituted the most common document type, indicating the quality and maturity of the research. The thematic distribution proved to be multidisciplinary, with a primary focus on engineering and materials science, as well as basic sciences. The United States was the foremost contributor to scientific production, followed by China and Germany. Keyword analysis and scrutiny of the most cited documents enabled the identification of the main topics, which were found to include biofabrication and biomedical applications. Moreover, bibliometric network analysis using the software SciMAT (v 1.1.06) yielded the corresponding strategic diagrams, evolution maps, and thematic networks, which provided a comprehensive overview of trends and research gaps. The considerable interest in the application of additive manufacturing to biofabrication and other biomedical purposes has overshadowed the specific applications within the chemical engineering field, while the potential contributions that chemical engineering could make to the field of additive manufacturing have been eclipsed too. On the one hand, applications focused on process intensification in chemical engineering could benefit from additive manufacturing to design advanced microreactors and other miniaturized devices or to produce more efficient heat exchangers, catalysts, and adsorbents with complex geometries and separation membranes with innovative materials and structures. On the other hand, life cycle assessment and optimization are established chemical engineering tools that should be more extensively employed in the context of additive manufacturing to ensure a more sustainable outcome.</t>
  </si>
  <si>
    <t>2076-3417</t>
  </si>
  <si>
    <t>MAR 10</t>
  </si>
  <si>
    <t>10.3390/app15062962</t>
  </si>
  <si>
    <t>WOS:001453551600001</t>
  </si>
  <si>
    <t>Quintero, K; Valles, GA; Reyes, DN</t>
  </si>
  <si>
    <t>Restrepo Quintero, Katherine; Gonzalez Valles, Gabriela Alejandra; Benitez Reyes, Damaris Nayelli</t>
  </si>
  <si>
    <t>Norma Peralta. The Story of a Pioneer of the Accounting Academy in Chile</t>
  </si>
  <si>
    <t>GENDER WORK AND ORGANIZATION</t>
  </si>
  <si>
    <t>The literature on gender and accounting has focused on the participation of women in the accounting profession, documenting the barriers to entry, the problems of professional promotion, and issues related to gender roles, which shows a lack of historical works that narrate the life experiences of women within the accounting academy, particularly in Chile. Therefore, the purpose of this work is to tell the story of Professor Norma Peralta, who was one of the first women to graduate from undergraduate studies and enter the accounting academy in the case of the Universidad Santiago de Chile (USACH). This work of historical reconstruction gathered information through various conversations with Norma and interviews that have documented her passage through the academy from its beginnings until her retirement from her Alma Mater, which helps to show the contribution in the field of accounting education made by this pioneer.</t>
  </si>
  <si>
    <t>0968-6673</t>
  </si>
  <si>
    <t>1468-0432</t>
  </si>
  <si>
    <t>2025 JAN 23</t>
  </si>
  <si>
    <t>10.1111/gwao.13228</t>
  </si>
  <si>
    <t>JAN 2025</t>
  </si>
  <si>
    <t>WOS:001402665200001</t>
  </si>
  <si>
    <t>Arancibia, C; Paredes-Toledo, J; Riquelme, N</t>
  </si>
  <si>
    <t>Arancibia, C.; Paredes-Toledo, J.; Riquelme, N.</t>
  </si>
  <si>
    <t>Oral structural breakdown and sensory perception of plant-based emulsions</t>
  </si>
  <si>
    <t>FOOD HYDROCOLLOIDS</t>
  </si>
  <si>
    <t>Emulsion-based matrices correspond to an interesting structure for designing healthy and plant-based foods since they can simulate the texture of traditional foods, protect lipids from oxidation, and carry bioactive compounds. However, oral processing could modify their structure, affecting their sensory performance. So, it is necessary to understand the changes that occur during food consumption and their relationship with sensory perception. For that purpose, this research aimed to study the effect of droplet size and thickener type of plant-based emulsions on their structural breakdown under oral conditions and their sensory perception. Four oil-in-water (O/W) emulsions with different droplet sizes (nanoemulsions and conventional emulsions) and thickener types (starch and xanthan gum) were prepared. In vitro oral structural breakdown of emulsions was characterized using a rheological approach (saliva + sharing). The samples were later subjected to a sensory evaluation of aroma, flavor, consistency, and creaminess intensity by multiple paired comparison test (n = 50). Results showed different oral breakdown patterns due to droplet size and thickener type. Xanthan gum matrices were less susceptible to structure breakdown than starch-based matrices, particularly those with microscale droplet size (emulsions), due mainly to salivary alpha-amylase activity. Regarding sensory perception, xanthan gum-based matrices were perceived to have a higher consistency (nanoemulsion) and creaminess (conventional emulsion) than starch-based ones. Meanwhile, starch-based samples showed higher flavor (nanoemulsion) and aroma intensities (conventional emulsion). Therefore, the sensory characteristics of plant-based emulsions can be modulated by thickener type and droplet size. For example, xanthan gum-based nanoemulsions can increase the perceived consistency, while starch-based emulsions can increase the perceived flavor intensity.</t>
  </si>
  <si>
    <t>Arancibia, Carla/AAN-2290-2020</t>
  </si>
  <si>
    <t>Riquelme Hinojosa, Natalia Andrea/0000-0003-3490-1045; Paredes-Toledo, Javier/0000-0003-1354-2434</t>
  </si>
  <si>
    <t>0268-005X</t>
  </si>
  <si>
    <t>1873-7137</t>
  </si>
  <si>
    <t>10.1016/j.foodhyd.2024.110291</t>
  </si>
  <si>
    <t>JUN 2024</t>
  </si>
  <si>
    <t>WOS:001253793100001</t>
  </si>
  <si>
    <t>Herceg, JS</t>
  </si>
  <si>
    <t>Herceg, JOSe S. A. N. T. O. S.</t>
  </si>
  <si>
    <t>Militias in the Chilean october: the front line of protest</t>
  </si>
  <si>
    <t>KAMCHATKA-REVISTA DE ANALISIS CULTURAL</t>
  </si>
  <si>
    <t>This text seeks to argue that the First Line, which was deployed during the Social Outbreak in Chile, can be conceived as a Militia and its participants as militiamen. It is intended to show that, although it has particular characteristics, it shares essential elements with the classic medieval militias. With this objective in mind, the text focuses on the following characteristics of the First Line. First, the fact that it was self-convened. Secondly, it was an emergent phenomenon in both senses (abrupt emergence and imperative necessity). Thirdly, in the fact that it was ephemeral. Fourthly, in that the need to which itresponds with its emergence isfundamentallydefensive. Fifthly, in that its constitution is extremely diverse (diverse participants, diverse forms of participation). Finally, it is an eminently belligerent structure.</t>
  </si>
  <si>
    <t>2340-1869</t>
  </si>
  <si>
    <t>10.7203/KAM.24.27761</t>
  </si>
  <si>
    <t>WOS:001411162000016</t>
  </si>
  <si>
    <t>Opazo, RD</t>
  </si>
  <si>
    <t>Opazo, Renato Dinamarca</t>
  </si>
  <si>
    <t>What place did the southern cone present in the academic reflection on the transition? The Alternativas/Opciones magazine and the reception of intellectual production on political transitions in Santiago, 1983-1989</t>
  </si>
  <si>
    <t>SI SOMOS AMERICANOS-REVISTA DE ESTUDIOS TRANSFRONTERIZOS</t>
  </si>
  <si>
    <t>The historiographical literature on the political transition, which has sought to counter methodological nationalism, has focused on the links between the national process and actors from the First World. In contrast, this research aims to contribute to the field by focusing on the reception of transitional processes in the Southern Cone region. In order to do this, we analyze this process in the journal Alternativas/Opciones using theoretical and methodological tools from intellectual history. We identify two periods: the first (1983-1984), in which the main reception mechanism was the publication of articles by Guillermo O'Donnell and academics belonging to his research project, addressing a set of issues related to transitional processes. In the second period (1985-1989), the main mechanism of reception was the publication of articles by academics who, considering the knowledge production of neighboring countries, sought to provide answers to questions arising in the national political process.</t>
  </si>
  <si>
    <t>Dinamarca, Renato/LFT-5104-2024</t>
  </si>
  <si>
    <t>0718-2910</t>
  </si>
  <si>
    <t>0719-0948</t>
  </si>
  <si>
    <t>10.61303/07190948.v24i.1135</t>
  </si>
  <si>
    <t>WOS:001266771500002</t>
  </si>
  <si>
    <t>Retamal, C</t>
  </si>
  <si>
    <t>Retamal, Christian</t>
  </si>
  <si>
    <t>Dystopia as the Spirit of our Times: Crisis of Modernity and the Utopian Imaginary</t>
  </si>
  <si>
    <t>CO-HERENCIA</t>
  </si>
  <si>
    <t>This article analyzes how the contemporary dystopian imaginary expresses a profound crisis of the Enlightenment ideals of modernity. Dystopia, as a representation of oppressive societies, concentrates various widespread social fears that question the promises of emancipation of modernity. Originally, modernity was based on utopian conceptions and the notion of progress as a historical driving force. But the internal contradictions of modernity eroded the utopian imagination. In its place arose dystopian imaginaries that globalized anxieties about totalitarianism, the ecological crisis, the loss of individuality, etc. The pandemic and the daily experience of climate change intensified the feeling of imminent catastrophe. The article examines the social and philosophical problems implied in the current preeminence of dystopia. It addresses issues such as uncertainty, existential anxiety, the questioning of identity, and the emergence of new nihilisms. It analyzes the expression of dystopia in mass culture, its political manifestations, and its impact on the vision of the future. Likewise, it explores philosophical problems such as the crisis of the notion of progress, the breakdown of historical teleology, and the extension of left-wing melancholy. Overall, this analysis aims to elucidate how dystopia erodes the emancipatory ideals of the Enlightenment project of modernity. Despite this, it analyzes how dystopia contains a weak inverted utopianism waiting to be developed.</t>
  </si>
  <si>
    <t>Retamal, Christian/AEU-1883-2022</t>
  </si>
  <si>
    <t>Retamal, Christian/0000-0003-3445-4433</t>
  </si>
  <si>
    <t>1794-5887</t>
  </si>
  <si>
    <t>2539-1208</t>
  </si>
  <si>
    <t>10.17230/co-herencia.21.40.6</t>
  </si>
  <si>
    <t>WOS:001278542900001</t>
  </si>
  <si>
    <t>Duran, JP</t>
  </si>
  <si>
    <t>Duran, Jessica Pujol</t>
  </si>
  <si>
    <t>The violent in the new': pre- and post-Coup experimentations in the first poetic works of Cecilia Vicuña, Claudio Bertoni, Juan Luis Martínez and Raúl Zurita</t>
  </si>
  <si>
    <t>BULLETIN OF SPANISH STUDIES</t>
  </si>
  <si>
    <t>ResumenLas primeras obras de Cecilia Vicuna, Claudio Bertoni, Juan Luis Martinez y Raul Zurita se adscriben a las nuevas corrientes vanguardistas de los anos 60 y 70 no solo por sus tematicas, sino tambien por sus caracteristicas intermediales. Sin embargo, a cincuenta anos del Golpe de Pinochet, todavia falta esclarecer en que sentido estas publicaciones se vieron afectadas por la sacudida militar. Este estudio pretende complejizar lo que entendemos por experimentacion poetica a principios de la decada de los 70 en Chile, y como esta experimentacion hace suyo y expande el sentido de lo 'violento en lo nuevo' que describe Theodor Adorno en su Teoria estetica (1970). The first works of Cecilia Vicuna, Claudio Bertoni, Juan Luis Martinez and Raul Zurita belong to the new avant-garde currents of the 1960s and 1970s not only because of their themes, but also for their intermedial characteristics. However, fifty years after Pinochet's Coup, the effect of the military shock upon their first publications is still to be determined. This study aims to add complexity to what we understand by poetic experimentation at the beginning of the 1970s in Chile, and how this experimentation endorses and expands the sense of the 'violence of the new' that Theodor Adorno describes in his Aesthetic Theory (1970).</t>
  </si>
  <si>
    <t>Duran, Jessica/AAQ-2025-2021</t>
  </si>
  <si>
    <t>1475-3820</t>
  </si>
  <si>
    <t>1478-3428</t>
  </si>
  <si>
    <t>AUG 9</t>
  </si>
  <si>
    <t>10.1080/14753820.2023.2247823</t>
  </si>
  <si>
    <t>NOV 2023</t>
  </si>
  <si>
    <t>WOS:001107058500001</t>
  </si>
  <si>
    <t>Olavarria-Gambi, M</t>
  </si>
  <si>
    <t>Olavarria-Gambi, Mauricio</t>
  </si>
  <si>
    <t>Introduction: Experiences and Challenges of Subnational Governments in Latin America and the Caribbean</t>
  </si>
  <si>
    <t>PUBLIC ORGANIZATION REVIEW</t>
  </si>
  <si>
    <t>Olavarria-Gambi, Mauricio/K-9521-2019</t>
  </si>
  <si>
    <t>Olavarria-Gambi, Mauricio/0000-0001-5997-2873</t>
  </si>
  <si>
    <t>1566-7170</t>
  </si>
  <si>
    <t>1573-7098</t>
  </si>
  <si>
    <t>10.1007/s11115-023-00740-2</t>
  </si>
  <si>
    <t>AUG 2023</t>
  </si>
  <si>
    <t>WOS:001045158300002</t>
  </si>
  <si>
    <t>Maldonado, C; Méndez, F</t>
  </si>
  <si>
    <t>Maldonado, Carlos; Mendez, Fernando</t>
  </si>
  <si>
    <t>Dark matter in a bi-metric universe</t>
  </si>
  <si>
    <t>INTERNATIONAL JOURNAL OF MODERN PHYSICS D</t>
  </si>
  <si>
    <t>We study the possibility to describe dark matter in a model of the universe with two-scale factors and a nonstandard Poisson bracket structure characterized by the deformation parameter kappa. The dark matter evolution is analyzed in the early stages of the universe, and its relic density is obtained via the Freeze-In and Freeze-Out mechanism. We show that by fixing kappa and the initial ratio of energy densities present in the different sectors of the universe, the space of thermal average annihilation cross-sections and dark matter masses compatible with the standard cosmology prior to Big Bang Nucleosynthesis (BBN), is enlarged. This feature of the model is compatible with nonstandard cosmology.</t>
  </si>
  <si>
    <t>Maldonado, Carlos/0000-0001-7929-1733; Mendez, Fernando/0000-0002-9257-9552</t>
  </si>
  <si>
    <t>0218-2718</t>
  </si>
  <si>
    <t>1793-6594</t>
  </si>
  <si>
    <t>JUL 1</t>
  </si>
  <si>
    <t>10.1142/S0218271823500591</t>
  </si>
  <si>
    <t>JUN 2023</t>
  </si>
  <si>
    <t>WOS:001014899800001</t>
  </si>
  <si>
    <t>Pérez, ATE; Vásquez, OC</t>
  </si>
  <si>
    <t>Perez, Andrea Teresa Espinoza; Vasquez, Oscar C.</t>
  </si>
  <si>
    <t>How to Measure Sustainability in the Supply Chain Design: An Integrated Proposal from an Extensive and Systematic Literature Review</t>
  </si>
  <si>
    <t>The increase in the world population and resource scarcity has led to the introduction of environmental concepts such as sustainability and sustainable supply chain design (SSCD). However, there is a lack of consensus among researchers on how to measure sustainability in SSCD. Therefore, the authors propose a novel approach to measuring sustainability in the context of SSCD by developing an integrated, tractable, and representative metrics framework. The methodology corresponds to a quantitative approach involving bibliographic examination and statistical techniques. First, the authors conducted a systematic literature review by formulating research questions and a search protocol, searched for relevant articles, and conducted a quality assessment on full-text reviews to obtain metrics for measuring sustainability in SSCD from the literature. Then, they defined aggregation criteria representing their inclusion relationship by merging associated metrics. The authors then used Cluster Analysis (CA), a multivariate statistical technique, for grouping the metrics. Consequently, twelve clusters were distinguished from 541 research articles, grouping 51 metrics from different sustainability dimensions. It shows the strong connection among the sustainability dimensions, i.e., they must be assessed holistically. Then, we proposed reducing the 51 metrics to 5 to evaluate sustainability in the SSCD, allowing us to focus on a reduced number of indicators.</t>
  </si>
  <si>
    <t>APR 24</t>
  </si>
  <si>
    <t>10.3390/su15097138</t>
  </si>
  <si>
    <t>WOS:000987762100001</t>
  </si>
  <si>
    <t>Cabrera, J; Loyola, MS; Magaña, I; Rojas, R</t>
  </si>
  <si>
    <t>Rojas, I; Valenzuela, O; Ruiz, FR; Herrera, LJ; Ortuno, F</t>
  </si>
  <si>
    <t>Cabrera, Johana; Loyola, M. Soledad; Magana, Irene; Rojas, Rodrigo</t>
  </si>
  <si>
    <t>Ethical Dilemmas, Mental Health, Artificial Intelligence, and LLM-Based Chatbots</t>
  </si>
  <si>
    <t>BIOINFORMATICS AND BIOMEDICAL ENGINEERING, IWBBIO 2023, PT II</t>
  </si>
  <si>
    <t>Lecture Notes in Bioinformatics</t>
  </si>
  <si>
    <t>10th International Work-Conference on Bioinformatics and Biomedical Engineering (IWBBIO)</t>
  </si>
  <si>
    <t>JUL 12-14, 2023</t>
  </si>
  <si>
    <t>SPAIN</t>
  </si>
  <si>
    <t>Univ Granada, CITIC, Dept Comp Engn Automat &amp; Robot,Int Soc Computat Biol</t>
  </si>
  <si>
    <t>The present study analyzes the bioethical dilemmas related to the use of chatbots in the field of mental health. A rapid review of scientific literature and media news was conducted, followed by systematization and analysis of the collected information. A total of 24 moral dilemmas were identified, cutting across the four bioethical principles and responding to the context and populations that create, use, and regulate them. Dilemmas were classified according to specific populations and their functions in mental health. In conclusion, bioethical dilemmas inmental health can be categorized into four areas: quality of care, access and exclusion, responsibility and human supervision, and regulations and policies for LLM-based chatbot use. It is recommended that chatbots be developed specifically formental health purposes, with tasks complementary to the therapeutic care provided by human professionals, and that their implementation be properly regulated and has a strong ethical framework in the field at a national and international level.</t>
  </si>
  <si>
    <t>Cabrera Medina, Johana/IUO-1859-2023</t>
  </si>
  <si>
    <t>Magana, Irene/0000-0002-0096-2432; Cabrera-Medina, Johana/0000-0002-5444-688X</t>
  </si>
  <si>
    <t>2366-6323</t>
  </si>
  <si>
    <t>1611-3349</t>
  </si>
  <si>
    <t>978-3-031-34959-1; 978-3-031-34960-7</t>
  </si>
  <si>
    <t>10.1007/978-3-031-34960-7_22</t>
  </si>
  <si>
    <t>WOS:001313789700022</t>
  </si>
  <si>
    <t>Ibacache, LT</t>
  </si>
  <si>
    <t>Ibacache, Lenissett Toro</t>
  </si>
  <si>
    <t>Racist Ideas in the representation of Latin America in the Journal of Race Development (1909-1919)</t>
  </si>
  <si>
    <t>ENCRUCIJADA AMERICANA</t>
  </si>
  <si>
    <t>The purpose of this research is to identify and describe the ideas about Latin America portrayed in the articles published in the Journal of Race Development between 1909 and 1919, as well as to analyse the main exponents of these ideas. Through this study, we aim to understand the representation of Latin America and the influence of its authors as key actors in shaping United States' international relations during a complex period when Northern interests advanced over the Central and South American regions. This analysis highlights that international relations of the United States cannot only be studied from the perspective of power, a common approach in the discipline, but also from the perspective of racial ideas. This approach not only represents a relevant historical theme but also holds contemporary significance in the global context.</t>
  </si>
  <si>
    <t>0719-3432</t>
  </si>
  <si>
    <t>0718-5766</t>
  </si>
  <si>
    <t>WOS:001046680900006</t>
  </si>
  <si>
    <t>Jeftanovic, A; Martínez, MPL</t>
  </si>
  <si>
    <t>Jeftanovic, Andrea; Lobos Martinez, Macarena P.</t>
  </si>
  <si>
    <t>SYSTEMS TO GO BACK: MIGRATION, IDENTITIES AND ARCHIVES AT FLAVIA COMPANY AND ALEJANDRA COSTAMAGNA1</t>
  </si>
  <si>
    <t>REVISTA IBEROAMERICANA</t>
  </si>
  <si>
    <t>0034-9631</t>
  </si>
  <si>
    <t>2154-4794</t>
  </si>
  <si>
    <t>WOS:000959606500001</t>
  </si>
  <si>
    <t>Lobos, LC; Cruz, AM</t>
  </si>
  <si>
    <t>Lobos, Lucia Castillo; Cruz, Alonso Martinez</t>
  </si>
  <si>
    <t>Blessed are the migrant mothers, for theirs will be the Kingdom of God</t>
  </si>
  <si>
    <t>CULTURA Y RELIGION</t>
  </si>
  <si>
    <t>Latin American migrant mothers in Chile tend to occupy poor subsistence spaces that shape the upbringing of their childhoods in conditions that stress their expectations, resulting in uprooting and frustration. The objective is to analyze the representations of religious beliefs in the discourses of a group of migrant mothers in Santiago de Chile subjected to thematic content analysis according to the assumptions of the theology of migration. It was theorized around the categories: a bastion of hope, biblical hermeneutics, and revelation. The stories obtained enunciate the vicissitudes of migration and its resistance through faith and its relationship with God in a narrative of liberation that connects, in the salvation of God, the biblical idea of the blessed to establish them as a theological place, because in them the face of God is revealed, manifesting his prophetic and eschatological presence.</t>
  </si>
  <si>
    <t>0718-5472</t>
  </si>
  <si>
    <t>0718-4727</t>
  </si>
  <si>
    <t>10.61303/07184727.v18i.1162</t>
  </si>
  <si>
    <t>WOS:001402099700001</t>
  </si>
  <si>
    <t>Contreras, E; Flores, R; Gutiérrez, A; Cerro, D; Sepúlveda, LA</t>
  </si>
  <si>
    <t>Contreras, Elsa; Flores, Rodrigo; Gutierrez, Anibal; Cerro, Daniela; Sepulveda, Luisa A.</t>
  </si>
  <si>
    <t>Agro-industrial wastes revalorization as feedstock: production of lignin-modifying enzymes extracts by solid-state fermentation using white rot fungi</t>
  </si>
  <si>
    <t>PREPARATIVE BIOCHEMISTRY &amp; BIOTECHNOLOGY</t>
  </si>
  <si>
    <t>The purpose of the study was to evaluate the production of lignin-modifying enzyme extracts and delignified biomass from agro-industrial wastes using white rot fungi (Inonotus sp. Sp2, Stereum hirsutum Ru-104, Bjerkandera sp. BOS55, Pleurotus eryngii IJFM 169 and Phanerochaete chrysosporium BKM-F-1767). These were screened based on their adaptability and colonization ability on different substrates, as well as by the Laccase, Manganese peroxidase, and Lignin peroxidase enzymatic production. Native strains (Inonotus sp. Sp2 and S. hirsutum Ru-104) showed the highest growth kinetics under the solid-substrate fermentation conditions and the growth rate parameters of the kinetic logistic model for the different substrates were between 0.39-0.81 (1/d) and 0.42-0.83 (1/d), respectively; the determination coefficients were &gt;= 0.99. Inonotus sp. Sp2 was subsequently cultured in static flasks to produce crude enzyme extracts, obtaining manganese peroxidase activity levels of 18.5 and 31.3 (U/g) when growing in corn cob husk and spent tea leaves, respectively. Besides, it was to establish that the best conditions for lignin-modifying enzymes production using corn cob husk are 70% of initial moisture and 2.12 mm of particle size; reaching after 30 incubation days a manganese peroxidase activity of 21 +/- 6 (U/g) under these conditions; enzyme that showed a suitable thermostability.</t>
  </si>
  <si>
    <t>1082-6068</t>
  </si>
  <si>
    <t>1532-2297</t>
  </si>
  <si>
    <t>MAY 2</t>
  </si>
  <si>
    <t>10.1080/10826068.2022.2109048</t>
  </si>
  <si>
    <t>AUG 2022</t>
  </si>
  <si>
    <t>WOS:000841855400001</t>
  </si>
  <si>
    <t>El Aiss, H; Barbosa, KA</t>
  </si>
  <si>
    <t>El Aiss, Hicham; Barbosa, Karina A.</t>
  </si>
  <si>
    <t>Observer-based control of Takagi-Sugeno descriptor system with time-varying delay: Free-weighting matrix</t>
  </si>
  <si>
    <t>OPTIMAL CONTROL APPLICATIONS &amp; METHODS</t>
  </si>
  <si>
    <t>This article investigates the stability/stabilization problem for Takagi-Sugeno (T-S) descriptor systems with time-varying delay. A transformation-based model has been employed through a two-term approximation, and the input-output approach has been investigated using the small gain Theorem. A novel free-weighting matrix method, in combination with a new construct Lyapunov-Krasovskii functional (LKF), has been developed. Delay-dependent conditions have been obtained in a set of linear matrix inequalities (LMIs). To estimate the system states T-S fuzzy descriptor observer-based controller has been introduced. The gains have been designed using a new design strategy. Finally, three examples have been borrowed to test the merit and the validity of the proposed method.</t>
  </si>
  <si>
    <t>Barbosa, Karina/A-2236-2014; El Aiss, Hicham/AAD-6510-2022</t>
  </si>
  <si>
    <t>Barbosa, Karina A./0000-0001-7183-2662</t>
  </si>
  <si>
    <t>0143-2087</t>
  </si>
  <si>
    <t>1099-1514</t>
  </si>
  <si>
    <t>10.1002/oca.2897</t>
  </si>
  <si>
    <t>MAY 2022</t>
  </si>
  <si>
    <t>WOS:000790673100001</t>
  </si>
  <si>
    <t>Friz, C; Neira, H</t>
  </si>
  <si>
    <t>Friz, Cristobal; Neira, Hernan</t>
  </si>
  <si>
    <t>THE CONCEPT OF PUBLIC APPLIED TO THE UNIVERSITY</t>
  </si>
  <si>
    <t>The concept ofpublic has been blurred. This is the framework within which some private universities pretend to be public, as well as the state owned ones, and that they must receive similar public subventions. The exegesis of the concept ofpublic, based on the political arguments about religious liberty during the early years of Christianity and the contrast with some philosophical modern and contemporary texts wreck this pretention. It is possible to illuminate some aspects of the difference between what is public and what is private. This also illustrates that the exaltation of the blurred frontiers of the concept of public hides some normative pretentions on behalf of private universities market.</t>
  </si>
  <si>
    <t>WOS:000906806200008</t>
  </si>
  <si>
    <t>Espinosa-Méndez, C</t>
  </si>
  <si>
    <t>Espinosa-Mendez, Christian</t>
  </si>
  <si>
    <t>Civil unrest and herding behavior: evidence in an emerging market</t>
  </si>
  <si>
    <t>ECONOMIC RESEARCH-EKONOMSKA ISTRAZIVANJA</t>
  </si>
  <si>
    <t>This investigation is the first to analyze how civil unrest impacts herding behavior in an emerging economy. Using series of prices and daily traded volumes of the companies that make up the IGPA of the Santiago Stock Exchange between 2010 and 2020, it was found that civil unrest causes reverse herding behavior in the Chilean stock market. Thus, herding behavior and inverse herding behavior are more complex behaviors than the financial literature has reported to date, especially in a period of civil unrest. Different robustness tests support the findings.</t>
  </si>
  <si>
    <t>Espinosa-Méndez, Christian/G-5177-2019</t>
  </si>
  <si>
    <t>Espinosa-Mendez, Christian/0000-0001-6499-2414</t>
  </si>
  <si>
    <t>1331-677X</t>
  </si>
  <si>
    <t>1848-9664</t>
  </si>
  <si>
    <t>DEC 31</t>
  </si>
  <si>
    <t>10.1080/1331677X.2021.1962382</t>
  </si>
  <si>
    <t>JUL 2021</t>
  </si>
  <si>
    <t>WOS:000684155400001</t>
  </si>
  <si>
    <t>Bustos, O; Allende, R; Leiva, R; Sánchez, C</t>
  </si>
  <si>
    <t>Bustos, Oscar; Allende, Rodrigo; Leiva, Ricardo; Sanchez, Christian</t>
  </si>
  <si>
    <t>Effect of magnetic stirring, grain modification and refinement on the solidification structure of an A356 aluminum alloy</t>
  </si>
  <si>
    <t>MATERIA-RIO DE JANEIRO</t>
  </si>
  <si>
    <t>The effect of the application of forced convection during the continuous solidification of Al-Si alloys has been presented in this work. The investigation has been made on the hypothesis that as an alloy solidifies under the action of a rotating magnetic field, a nondendritic casting structure would be obtained. The Al-Si alloy has been studied in its three different states (original, modified, and modified with a grain refiner), using a magnetic stirring equipment with permanent magnets, a device that has allowed the study of the effect of the rotational speed (degree of stirring) on the micro- and macro-solidification structure, as well as on the material's mechanical properties. With the purpose of validating the hypothesis, different analyses and tests have been carried out, such as thermal analysis of the solidification process, micro- and macrostructural analysis, and hardness measurements for the different process conditions studied. The results have shown that magnetic stirring affects the cooling curves, expanding the solidification range. A microstructural evolution of the alloys has also been observed, from a 100% dendritic structure to a mature rosette type structure, in addition to a notable decreasing of grain size, which results in the improvement of the material's mechanical behavior.</t>
  </si>
  <si>
    <t>Allende, Rodrigo/N-5507-2017</t>
  </si>
  <si>
    <t>Allende, Rodrigo/0000-0002-2115-8160; Sanchez, Christian/0000-0001-5435-9201</t>
  </si>
  <si>
    <t>1517-7076</t>
  </si>
  <si>
    <t>e12927</t>
  </si>
  <si>
    <t>10.1590/S1517-707620210001.1227</t>
  </si>
  <si>
    <t>WOS:000630285200015</t>
  </si>
  <si>
    <t>Cordero, S; Adasme, P</t>
  </si>
  <si>
    <t>Cordero L, Sergio; Adasme, Pablo</t>
  </si>
  <si>
    <t>Simulating Radio Coverage with polar Coordinates for Wireless Networks</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</si>
  <si>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</si>
  <si>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</si>
  <si>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</si>
  <si>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</si>
  <si>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</si>
  <si>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This paper presents a simulation study of polar coverage signaling which can be applied to different current wireless communication systems. In particular, we use the Polar Radio Coverage feature of Radio Mobile software version 11.6.6 in order to perform an empirical study in real geographical areas including Las Condes and Valparaiso which are two locations in Chile. In this predictive study, all parameters are configured for both the radio base stations (RBS) and mobile stations (MS) located in certain points of the proposed coverage area. This allows obtaining the signal strength and visualizing the range in the covered maps. Subsequently, the data is exported to Google Earth Pro in order to identify the areas without coverage where it is not possible to establish of a point-to-point link communication. Consequently, the establishment of coverage in a given area will guarantee certain signal levels in the receiving equipment while considering different values for the coverage radius and azimuth. Finally, the proposed approach can be applied in all wireless communications systems allowing additionally Path Loss and E-field strength analysis.</t>
  </si>
  <si>
    <t>Adasme, Pablo/U-1735-2019</t>
  </si>
  <si>
    <t>978-1-6654-4225-1</t>
  </si>
  <si>
    <t>10.1109/SACVLC53127.2021.9652280</t>
  </si>
  <si>
    <t>WOS:000760247000013</t>
  </si>
  <si>
    <t>Urrea, C; Garrido, F; Kern, J</t>
  </si>
  <si>
    <t>Urrea, Claudio; Garrido, Felipe; Kern, John</t>
  </si>
  <si>
    <t>Design and Implementation of Intelligent Agent Training Systems for Virtual Vehicles</t>
  </si>
  <si>
    <t>SENSORS</t>
  </si>
  <si>
    <t>This paper presents the results of the design, simulation, and implementation of a virtual vehicle. Such a process employs the Unity videogame platform and its Machine Learning-Agents library. The virtual vehicle is implemented in Unity considering mechanisms that represent accurately the dynamics of a real automobile, such as motor torque curve, suspension system, differential, and anti-roll bar, among others. Intelligent agents are designed and implemented to drive the virtual automobile, and they are trained using imitation or reinforcement. In the former method, learning by imitation, a human expert interacts with an intelligent agent through a control interface that simulates a real vehicle; in this way, the human expert receives motion signals and has stereoscopic vision, among other capabilities. In learning by reinforcement, a reward function that stimulates the intelligent agent to exert a soft control over the virtual automobile is designed. In the training stage, the intelligent agents are introduced into a scenario that simulates a four-lane highway. In the test stage, instead, they are located in unknown roads created based on random spline curves. Finally, graphs of the telemetric variables are presented, which are obtained from the automobile dynamics when the vehicle is controlled by the intelligent agents and their human counterpart, both in the training and the test track.</t>
  </si>
  <si>
    <t>Urrea, Claudio/0000-0001-7197-8928</t>
  </si>
  <si>
    <t>1424-8220</t>
  </si>
  <si>
    <t>10.3390/s21020492</t>
  </si>
  <si>
    <t>WOS:000611718700001</t>
  </si>
  <si>
    <t>Cruz, N; González, E; Palma, G</t>
  </si>
  <si>
    <t>Cruz, Norman; Gonzalez, Esteban; Palma, Guillermo</t>
  </si>
  <si>
    <t>Exact analytical solution for an Israel-Stewart cosmology</t>
  </si>
  <si>
    <t>GENERAL RELATIVITY AND GRAVITATION</t>
  </si>
  <si>
    <t>In this article we report a novel analytic solution describing a cosmological model with a matter content represented by a one dissipative fluid component, in the framework of the causal Israel-Stewart theory. The dissipative fluid is described by a barotropic equation of state p = (gamma - 1)rho and the bulk viscosity has been assumed of the form xi = xi 0 rho(s). We study within the parameter space which label the solution, a suited region compatible with an accelerated expansion of the universe for late times, as well as stability properties of the solution at the critical parameter value gamma = 1 and for s = 1/2. We study as well the consequences that arise from the positiveness of the entropy production along the time evolution. We found that the solution for pressureless dark matter, gamma = 1, can well describe a universe with a transition from a decelerated expansion to an accelerated one at late times, but with a very large non-adiabatic contribution to speed of sound. Finally, the kinematics and thermodynamics properties of the solutions are discussed in terms of the type of expansion and entropy production.</t>
  </si>
  <si>
    <t>González, Esteban/AGF-1575-2022</t>
  </si>
  <si>
    <t>Cruz, Norman/0000-0002-0737-3497; Palma, Guillermo/0000-0001-7326-964X; Gonzalez Banda, Esteban/0000-0001-6769-5722</t>
  </si>
  <si>
    <t>0001-7701</t>
  </si>
  <si>
    <t>1572-9532</t>
  </si>
  <si>
    <t>JUN 24</t>
  </si>
  <si>
    <t>10.1007/s10714-020-02712-z</t>
  </si>
  <si>
    <t>WOS:000544256600001</t>
  </si>
  <si>
    <t>Vallejos, RA</t>
  </si>
  <si>
    <t>Alvarez Vallejos, Rolando</t>
  </si>
  <si>
    <t>Stalinization and Stalinism in Chile's Communist Party. A debate around its political traditions</t>
  </si>
  <si>
    <t>AVANCES DEL CESOR</t>
  </si>
  <si>
    <t>This article analyzes the impact of Stalinism in the political culture of the Communist Party of Chile (CP). Contrary to interpretations that depict this political culture as the result of abrupt and watershed transformations, this article proposes that the CP combined and successfully synthetized diverse political traditions throughout its history. These were related to the CP's origins as the Socialist Workers Party, to the influx of the Bolshevik Revolution, and to the impact of the Stalinization process. This article argues that the Stalinization of the CP manifested itself in three different levels: ideological discourse; political practice; and internal organization. Nevertheless, the Stalinization of the CP did not lead to the disappearance of the previous political traditions of the party. The process of Stalinization began in the 1930s and achieved wide success around 1940, leading to the apogee of Stalinism in the CP, which lasted until 1956, when the USSR denounced the legacy of Stalinism and stimulated the de-stalinization of the International Communist Movement.</t>
  </si>
  <si>
    <t>1514-3899</t>
  </si>
  <si>
    <t>2422-6580</t>
  </si>
  <si>
    <t>WOS:000557875200005</t>
  </si>
  <si>
    <t>Gallegos, CA; Henríquez, HR</t>
  </si>
  <si>
    <t>Gallegos, Claudio A.; Henriquez, Hernan R.</t>
  </si>
  <si>
    <t>Fixed points of multivalued maps under local Lipschitz conditions and applications</t>
  </si>
  <si>
    <t>PROCEEDINGS OF THE ROYAL SOCIETY OF EDINBURGH SECTION A-MATHEMATICS</t>
  </si>
  <si>
    <t>In this work we are concerned with the existence of fixed points for multivalued maps defined on Banach spaces. Using the Banach spaces scale concept, we establish the existence of a fixed point of a multivalued map in a vector subspace where the map is only locally Lipschitz continuous. We apply our results to the existence of mild solutions and asymptotically almost periodic solutions of an abstract Cauchy problem governed by a first-order differential inclusion. Our results are obtained by using fixed point theory for the measure of noncompactness.</t>
  </si>
  <si>
    <t>Gallegos, Claudio A./0000-0002-6410-8470</t>
  </si>
  <si>
    <t>0308-2105</t>
  </si>
  <si>
    <t>1473-7124</t>
  </si>
  <si>
    <t>PII S0308210518001518</t>
  </si>
  <si>
    <t>10.1017/prm.2018.151</t>
  </si>
  <si>
    <t>WOS:000527721800017</t>
  </si>
  <si>
    <t>Cañete, L; San Juan, E; Adasme, P</t>
  </si>
  <si>
    <t>Canete, Lucio; San Juan, Enrique; Adasme, Pablo</t>
  </si>
  <si>
    <t>Communication with small fatty organisms: an application of visible light for the efficiency of biodiesel reactors submerged in the sea</t>
  </si>
  <si>
    <t>2020 SECOND SOUTH AMERICAN COLLOQUIUM ON VISIBLE LIGHT COMMUNICATIONS (IEEE SACVC 2020)</t>
  </si>
  <si>
    <t>2nd South American Colloquium on Visible Light Communications (IEEE SACVLC)</t>
  </si>
  <si>
    <t>JUN 04-05, 2020</t>
  </si>
  <si>
    <t>IEEE Chile Sect,Univ Santiago Chile,IEEE,IEEE Commun,Gobierno Chile, Minist Educ, Fondo Nacl Desarrollo Cientifico Tecnologico,Gobierno Chile, Minist Educ, Fondo Fomento Desarrollo Cientifico Tecnologico,Gobierno Chile, Minist Educ, Programa Cooperac Int</t>
  </si>
  <si>
    <t>The initiative to take advantage of algae bloom as inputs of submerged reactors for the production of biodiesel that is useful for the navy in National Security, requires a system of selection of those organisms that contain a satisfactory lipid content. Since not all organisms carried by marine currents entering these reactors are appropriate for the process, these artifacts could use lights to attract the fittest and to repel the others. As a result, this paper at conceptual level presents a mathematical model of the attraction of a marine organism to artificial lights and the distribution of these eletromagnetic energy sources. Then, this article shows a new application about underwater communication through visible light between automatic devices and non-human living beings.</t>
  </si>
  <si>
    <t>Arratia, Lucio/AAV-6112-2020; Adasme, Pablo/U-1735-2019</t>
  </si>
  <si>
    <t>Canete Arratia, Lucio/0000-0002-1191-8728</t>
  </si>
  <si>
    <t>978-1-7281-6341-3</t>
  </si>
  <si>
    <t>WOS:000856038700014</t>
  </si>
  <si>
    <t>Compilations of Losses</t>
  </si>
  <si>
    <t>LOGOS-REVISTA DE LINGUISTICA FILOSOFIA Y LITERATURA</t>
  </si>
  <si>
    <t>The category compilations of losses refers to a series of books that compile literary, visual, cinematographic, photographic or musical works that we can't read, see or listen to. In this essay I gather a large number of them, in order to analyze their characteristics and interpret the effects they seek to provoke in the reader.</t>
  </si>
  <si>
    <t>0716-7520</t>
  </si>
  <si>
    <t>0719-3262</t>
  </si>
  <si>
    <t>10.15443/RL3002</t>
  </si>
  <si>
    <t>WOS:000546153800002</t>
  </si>
  <si>
    <t>Garay-Vera, C</t>
  </si>
  <si>
    <t>Garay-Vera, Cristian</t>
  </si>
  <si>
    <t>BIOCEANIC CORRIDOR</t>
  </si>
  <si>
    <t>WOS:000608865900021</t>
  </si>
  <si>
    <t>Pereira-Mendoza, J; Soto, I; Duran, E; Toledo-Mercado, E; Quiroz-Moreno, J; Zamorano-Illanes, R</t>
  </si>
  <si>
    <t>Velazquez, R</t>
  </si>
  <si>
    <t>Pereira-Mendoza, Jonathan; Soto, Ismael; Duran, Esteban; Toledo-Mercado, Esteban; Quiroz-Moreno, Juan; Zamorano-Illanes, Raul</t>
  </si>
  <si>
    <t>Noise reduction in a high power VLC signal with an hysteresis band control loop for M-FSK modulation</t>
  </si>
  <si>
    <t>2020 IEEE LATIN-AMERICAN CONFERENCE ON COMMUNICATIONS (LATINCOM 2020)</t>
  </si>
  <si>
    <t>IEEE Latin American Conference on Communications</t>
  </si>
  <si>
    <t>IEEE Latin-American Conference on Communications (LATINCOM)</t>
  </si>
  <si>
    <t>NOV 18-20, 2020</t>
  </si>
  <si>
    <t>ELECTR NETWORK</t>
  </si>
  <si>
    <t>In this work, we propose the application of Multiresolution Analysis (MRA) for reducing the noise in the signal generated by the FSK (Frequency Shift Keying) modulation used transmitting information through a VLC (Visible Light Communication) channel. In order to apply MRA, the Wavelets of Daubechies and Symlet are used. The effectiveness of this technique depends on the choice of the Wavelet, the decomposition levels of the signal to be analyzed and the threshold level used to eliminate the noise of the detail part. Finally, there is a significant noise reduction in the analyzed signal. To measure this reduction, we use the Mean Square Error (RMS).</t>
  </si>
  <si>
    <t>Quiroz, Juan/IUO-1104-2023</t>
  </si>
  <si>
    <t>Zamorano-Illanes, Raul/0000-0002-3995-697X; Pereira-Mendoza, Jonathan/0009-0006-9752-7555</t>
  </si>
  <si>
    <t>2330-989X</t>
  </si>
  <si>
    <t>978-1-7281-8903-1</t>
  </si>
  <si>
    <t>WOS:000926136200034</t>
  </si>
  <si>
    <t>Lizama, C; Zamorano, S</t>
  </si>
  <si>
    <t>Lizama, Carlos; Zamorano, Sebastian</t>
  </si>
  <si>
    <t>Controllability results for the Moore-Gibson-Thompson equation arising in nonlinear acoustics</t>
  </si>
  <si>
    <t>JOURNAL OF DIFFERENTIAL EQUATIONS</t>
  </si>
  <si>
    <t>We show that the Moore-Gibson-Thomson equation tau partial derivative(ttt) y+ alpha partial derivative(tt) y - c(2)Delta y - b Delta partial derivative(t) y = K partial derivative(tt) (y(2) ) + chi(omega)(t)(u), is controlled by a force that is supported on an moving subset omega (t) of the domain, satisfying a geometrical condition. Using the concept of approximately outer invertible map, a generalized implicit function theorem and assuming that gamma := alpha-tau c(2)/b 0, the local null controllability in the nonlinear case is established. Moreover, the analysis of the critical value gamma = 0 for the linear equation is included. (C) 2018 Elsevier Inc. All rights reserved.</t>
  </si>
  <si>
    <t>Zamorano, Sebastián/AAY-2547-2020; Lizama, Carlos/E-5909-2011</t>
  </si>
  <si>
    <t>Lizama, Carlos/0000-0002-9807-1100; Zamorano, Sebastian/0000-0001-5592-9085</t>
  </si>
  <si>
    <t>0022-0396</t>
  </si>
  <si>
    <t>1090-2732</t>
  </si>
  <si>
    <t>JUN 5</t>
  </si>
  <si>
    <t>10.1016/j.jde.2018.12.017</t>
  </si>
  <si>
    <t>WOS:000461785900003</t>
  </si>
  <si>
    <t>Aesthetics of silence. Gestures, maps and colors</t>
  </si>
  <si>
    <t>10.4067/S0718-22952019000100416</t>
  </si>
  <si>
    <t>WOS:000465556000021</t>
  </si>
  <si>
    <t>Guerrero, G; Fernández, R; Watson, G; Espinoza, L</t>
  </si>
  <si>
    <t>Editorial Universidad de Santiago de Chile</t>
  </si>
  <si>
    <t>Guerrero, Gonzalo; Fernandez, Rocio; Watson, Gisela; Espinoza, Lorena</t>
  </si>
  <si>
    <t>Associative research in the context of initial teacher training</t>
  </si>
  <si>
    <t>INVESTIGANDO JUNTOS: Experiencias Asociativas entre Escuelas y la Universidad de Santiago de Chile. Associative Experiences between Schools and the University of Santiago de Chile</t>
  </si>
  <si>
    <t>The main purpose of associative research is to construct a new and non-existent type of knowledge, which is not the sum of the academic or theoretical knowledge of the university, with the practical knowledge of teachers and their schools. It is a knowledge that is built from the observation, description, analysis and joint reflection of problems-phenomena of teaching. Through a process of dialogical and dialectical work from different perspectives and resources, we develop insights in which methods, techniques and tools from both academic and school cultures are put to work.</t>
  </si>
  <si>
    <t>espinoza, lorena/I-2215-2015</t>
  </si>
  <si>
    <t>978-956-303-420-2</t>
  </si>
  <si>
    <t>WOS:000886992800002</t>
  </si>
  <si>
    <t>Castillo, SR</t>
  </si>
  <si>
    <t>Ramon Castillo, Santiago</t>
  </si>
  <si>
    <t>Causality and emergency</t>
  </si>
  <si>
    <t>CRITICA-REVISTA HISPANOAMERICANA DE FILOSOFIA</t>
  </si>
  <si>
    <t>I propose to understand the mind-body relationship on the basis of emergentism, although this proposal has not been without difficulties. The efforts of emergentist physicalism to find mental causal powers have resulted in either an eliminativist stance regarding the mental or in its acceptance as a supervenient phenomenon. This article sets out to present the mental as an emerging stage of the physical but without any loss of properties, necessarily passing through the biological as another stage of physical. So mental and biological properties are not restricted to an area separate from the physical world, but represent different kinds of pure physicality.</t>
  </si>
  <si>
    <t>0011-1503</t>
  </si>
  <si>
    <t>10.22201/iifs.18704905e.2018.14</t>
  </si>
  <si>
    <t>WOS:000514116500002</t>
  </si>
  <si>
    <t>Aujogue, JB</t>
  </si>
  <si>
    <t>Aujogue, Jean-Baptiste</t>
  </si>
  <si>
    <t>A Short Proof of the Characterization of Model Sets by Almost Automorphy</t>
  </si>
  <si>
    <t>CANADIAN MATHEMATICAL BULLETIN-BULLETIN CANADIEN DE MATHEMATIQUES</t>
  </si>
  <si>
    <t>The aim of this note is to provide a conceptually simple demonstration of the fact that repetitive model sets are characterized as the repetitive Meyer sets with an almost automorphic associated dynamical system.</t>
  </si>
  <si>
    <t>0008-4395</t>
  </si>
  <si>
    <t>1496-4287</t>
  </si>
  <si>
    <t>10.4153/CMB-2017-061-4</t>
  </si>
  <si>
    <t>WOS:000442702900003</t>
  </si>
  <si>
    <t>Montenegro, JE; Villalobos, CM; Singh, DP</t>
  </si>
  <si>
    <t>Enriquez Montenegro, Javier; Manquian Villalobos, Carolina; Singh, Dinesh Pratap</t>
  </si>
  <si>
    <t>Ethylene glycol mediated facile and controlled growth of ultralong hexagonal silver molybdate microrods</t>
  </si>
  <si>
    <t>MATERIALS LETTERS</t>
  </si>
  <si>
    <t>A controlled growth of nano/micro rods with defined morphologies are of great interest due to its special and unique properties. Here we report ethylene glycol mediated facile and controlled synthesis of ultralong (similar to 100 mu m) perfect hexagon shaped microrods of silver molybdate by a cost effective method of hydrothermal. The exact conditions are optimized by varying the effective parameters. The synthesis involves the mixing of different concentration of silver nitrate solution (0.025, 0.075, 0.125 M) with ammonium molybdate in the presence of 10 ml of ethylene glycol and then post hydrothermal treatment at 150 degrees C for 12 hrs. Only 0.075 M conc. of silver nitrate results perfect hexagons whereas the lower and higher concentrations result the formation of distorted edge shaped and longer microrods of Ag6Mo10O33. The magnetic measurement shows the perfect diamagnetic behavior of these mircorods. (C) 2017 Elsevier B.V. All rights reserved.</t>
  </si>
  <si>
    <t>; SINGH, DINESH/A-2509-2011</t>
  </si>
  <si>
    <t>ENRIQUEZ, JAVIER/0000-0002-2502-5787; Manquian Villalobos, Carolina/0000-0003-1329-7790; SINGH, DINESH/0000-0002-2893-7749</t>
  </si>
  <si>
    <t>0167-577X</t>
  </si>
  <si>
    <t>1873-4979</t>
  </si>
  <si>
    <t>MAR 15</t>
  </si>
  <si>
    <t>10.1016/j.matlet.2017.12.068</t>
  </si>
  <si>
    <t>WOS:000424709600035</t>
  </si>
  <si>
    <t>Joglar, C; Rojas, SP; Rojas, AR</t>
  </si>
  <si>
    <t>Chova, LG; Martinez, AL; Torres, IC</t>
  </si>
  <si>
    <t>Joglar, C.; Rojas, S. P.; Rojas, A. R.</t>
  </si>
  <si>
    <t>RELIVING THE PRACTICE IN A VIRTUAL REALITY ENVIRONMENT. INNOVATIVE SPACES TO PROMOTE REFLECTION IN CHEMISTRY AND BIOLOGY PRE SERVICE TEACHERS</t>
  </si>
  <si>
    <t>11TH INTERNATIONAL CONFERENCE OF EDUCATION, RESEARCH AND INNOVATION (ICERI2018)</t>
  </si>
  <si>
    <t>ICERI Proceedings</t>
  </si>
  <si>
    <t>11th Annual International Conference of Education, Research and Innovation (ICERI)</t>
  </si>
  <si>
    <t>NOV 12-14, 2018</t>
  </si>
  <si>
    <t>Seville, SPAIN</t>
  </si>
  <si>
    <t>Science teacher training in Chile still focuses on the observation of others, where the figure of the expert teacher is a guide and benchmark for good practice for the pre service teachers, enabling in many cases, the maintenance of naturalized, inherited, and almost never questioned practices. We need to develop a critical and proactive reflection of teaching action onto trainee teachers, through which they can identify innovative teaching methodologies and develop scientific thinking in their students. This study aimed to identify how innovative virtual reality spaces promote the reflection about and from the practice, generating practical theoretical and contextual knowledge during the initial chemistry and biology teachers training. The methodology of research is qualitative, with an interpretative and transforming of reality approach, where by means of discourse analysis, an attempt was made to identify the transit of 14 chemistry and biology trainee teachers, whose microteaching were recorded in 360 videos. The reliving of the practice comprised two stages: self-analysis and cross analysis, whose levels of meta-reflection increased throughout the answers to five instruments over a period of four weeks. For the self-analysis if the microteaching, virtual reality glasses, the transcription of the class, and three protocols were used. The stage of cross analysis was carried out with peers and two protocols. The results showed that trainee teachers moved from an acritical analysis of the microteaching toward an analysis centered in critical reflection, leading them to the formulation of proposals focused on the development of scientific thinking skills in students through the improvement of the questions in their interactions, and the cognitive levels of the same. The study allowed us to perceive a marked change in trainee teachers regarding their concern about the pedagogical action and their teaching role.</t>
  </si>
  <si>
    <t>ROJAS, SANDRA/AAU-5018-2020</t>
  </si>
  <si>
    <t>2340-1095</t>
  </si>
  <si>
    <t>978-84-09-05948-5</t>
  </si>
  <si>
    <t>WOS:000568991702063</t>
  </si>
  <si>
    <t>Garrido-Donoso, L</t>
  </si>
  <si>
    <t>Garrido-Donoso, Lorena</t>
  </si>
  <si>
    <t>TOWARDS AN AESTHETIC OF DISABILITY: DISEASE AND FEMININE SUBJECTIVITY IN THE POETRY OF SWEET MARIA LOYNAZ</t>
  </si>
  <si>
    <t>CHASQUI-REVISTA DE LITERATURA LATINOAMERICANA</t>
  </si>
  <si>
    <t>0145-8973</t>
  </si>
  <si>
    <t>2327-4247</t>
  </si>
  <si>
    <t>WOS:000416892100003</t>
  </si>
  <si>
    <t>González, FC; Cortés, FC</t>
  </si>
  <si>
    <t>Castaneda Gonzalez, Francisco; Contreras Cortes, Franco</t>
  </si>
  <si>
    <t>The Determinants of Corporate Debt Maturity Structure. The case of Chile</t>
  </si>
  <si>
    <t>TRIMESTRE ECONOMICO</t>
  </si>
  <si>
    <t>Background: The aim of this article is to provide an empirical examination of the determinants of debt maturity over a one year term for Chile. The debt to be considered is that issued as fixed income by Chilean companies listed on the Santiago Stock Exchange. This research is conducted within a theoretical framework of agency costs, tax hypothesis, and debt signaling hypothesis. Methods: To carry out the analysis, we will employ a panel of data based on annual financial information for the period between 2002 and 2012 obtained from Bloomberg. With this, we perform a pooled regression, a model with fixed-effects, and another with random-effects. Results: After analyzing a sample of 434 observations for 50 companies with 52.8% of their debt having a maturity greater than one year, an asset maturity of 29.26 years, and an effective tax rate of 18.2%, we find the following results. The ratio between the market value and the book value is statistically significant and has the expected negative sign. We find that both size and regulation are statistically significant and have a positive sign. The results obtained for the tax variable indicate that it is not statistically significant, which is consistent with international evidence. Furthermore, the estimated coefficient for the maturity of assets is not statistically significant, which contradicts some of the ideas proposed by Myers (1977). The quality variable is statistically significant at the 5 percent level of significance in all of the regressions; however, it does not have the expected negative sign. Finally, most of the results are consistent with the international evidence; hence, the determinants of debt maturity in Chile are similar to those found in other countries, such as the US, the UK and Spain. Conclusions: Large firms (and/or those whose size is regulated) with low growth opportunities have a greater proportion of their debt with a maturity of more than one year. The evidence also suggests that firms exposed to high information asymmetries issue proportionally more short-term than long-term debt. Meanwhile, we found no conclusive evidence that firms seek to match the maturity of their assets with that of their debt, or that they seek to issue debt with a maturity of more than one year in order to take advantage of tax benefits.</t>
  </si>
  <si>
    <t>0041-3011</t>
  </si>
  <si>
    <t>10.20430/ete.v84i334.306</t>
  </si>
  <si>
    <t>WOS:000400805200005</t>
  </si>
  <si>
    <t>Estenssoro, F</t>
  </si>
  <si>
    <t>Estenssoro, Fernando</t>
  </si>
  <si>
    <t>The environmental factor in the ideological debates surrounding the development of Latin America</t>
  </si>
  <si>
    <t>HISTORIA UNISINOS</t>
  </si>
  <si>
    <t>This article provides historical background on how the concept of development has played a key role in the political-ideological debate both in the international system as locally, from the end of Second World War on, particularly associated with the environmental debate since its beginning, as well as how it has been expressed this phenomenon in Latin America. It is noted that critical ideas to the concept of development are born within US neo-Malthusian elites and they simultaneously become a structural part of the ecological thought in the World War I. Finally, this study exposed how these ideas of criticism have been strengthened and how they have an interesting presence in the ideological debate in Latin America in the twenty-first century.</t>
  </si>
  <si>
    <t>1519-3861</t>
  </si>
  <si>
    <t>2236-1782</t>
  </si>
  <si>
    <t>10.4013/htu.2017.211.02</t>
  </si>
  <si>
    <t>WOS:000406919200002</t>
  </si>
  <si>
    <t>Galaz, BA; Acevedo, RH</t>
  </si>
  <si>
    <t>Galaz, Belfor Antonio; Acevedo, Rodrigo Hernan</t>
  </si>
  <si>
    <t>OPTIMIZATION OF A PIXEL-TO-PIXEL CURVE-FITTING METHOD FOR POROELASTOGRAPHY IMAGING</t>
  </si>
  <si>
    <t>ULTRASOUND IN MEDICINE AND BIOLOGY</t>
  </si>
  <si>
    <t>Ultrasound poroelastography is an imaging modality used to characterize the temporal behavior of soft tissue that can be modeled as a solid permeated by interconnected pores filled with liquid (poroelastic medium). It could be useful in the stage classification of lymphedema. Generally, time-constant models are applied to strain images, and precision of the fitting process, computational cost and versatility in response to changes in tissues properties are crucial aspects of clinical applications. In the work described here, we performed creep experiments on poroelastic phantoms and used rheologic models to visualize the changes in viscoelastic response associated with fluid mobility. We used the Levenberg-Marquardt algorithm as a fitting tool and performed parametric studies to improve its performance. On the basis of these studies, we proposed an optimization schema for the pixel-to-pixel curve-fitting process. We determined that the bimodal Kelvin-Voigt model describes efficiently the temporal evolution of the strain images in heterogeneous phantoms. (E-mail: belfor.galaz@usach.clorbgalazd@gmail.com) (C) 2016 World Federation for Ultrasound in Medicine &amp; Biology.</t>
  </si>
  <si>
    <t>0301-5629</t>
  </si>
  <si>
    <t>1879-291X</t>
  </si>
  <si>
    <t>10.1016/j.ultrasmedbio.2016.09.005</t>
  </si>
  <si>
    <t>WOS:000389549600028</t>
  </si>
  <si>
    <t>Pizarro, J; Vergara, PM; Cerda, S; Briones, D</t>
  </si>
  <si>
    <t>Pizarro, Jaime; Vergara, Pablo M.; Cerda, Sergio; Briones, Daniela</t>
  </si>
  <si>
    <t>Cooling and eutrophication of southern Chilean lakes</t>
  </si>
  <si>
    <t>SCIENCE OF THE TOTAL ENVIRONMENT</t>
  </si>
  <si>
    <t>Understanding the impacts of global warming and human-disturbances on lakes is required for implementing management strategies aimed at mitigating the decline of the quality and availability of water for humans. We assessed temporal trends in water parameters, and the contribution of land use to the eutrophication of the largest lakes of central-southern Chile. The mean values of water parameters varied seasonally, with lakes Chapo and Caburgua exhibiting lower pH, temperature, and N/P ratio values. Over the assessed period (19 years), we found a temporal reduction in water conductivity and temperature of the lakes. The concentration of NO3--N, PO43 -P and dissolved oxygen increased in all the lakes, but pH increased in eight out of the ten lakes. The negative temporal trend in temperature was more pronounced as he depth level increased. Lakes whose basins had a higher percentage of forest. plantation and urban areas had larger values of Chlorophyll a and pH, as well as, smaller values of dissolved oxygen. Lakes whose basins included larger percentages of native forest had smaller nutrient. (NO3--N, -P) concentrations. Our findings suggest. that decreased rainfall in central-southern Chile due to climate change may cause a decrease of particulate material that is carried by tributaries into the lakes. The observed temporal decrease in temperature, especially at the deeper levels, may be explained by he rapid melting of glaciers. Although the studied lakes are classified as oligotrophic, deforestation and expansion of urban areas around the lakes have led to increased nutrient. input, thus accelerating their eutrophication. (C) 2015 Elsevier B.V. All rights reserved.</t>
  </si>
  <si>
    <t>Vergara, Pablo/F-2519-2010</t>
  </si>
  <si>
    <t>Vergara, Pablo/0000-0002-0024-1678</t>
  </si>
  <si>
    <t>0048-9697</t>
  </si>
  <si>
    <t>1879-1026</t>
  </si>
  <si>
    <t>JAN 15</t>
  </si>
  <si>
    <t>10.1016/j.scitotenv.2015.09.105</t>
  </si>
  <si>
    <t>WOS:000365289300073</t>
  </si>
  <si>
    <t>Bustos, RO; Alberti, FV; Matiacevich, SB</t>
  </si>
  <si>
    <t>Bustos C., Ruben O.; Alberti R., Francesca V.; Matiacevich, Silvia B.</t>
  </si>
  <si>
    <t>Edible antimicrobial films based on microencapsulated lemongrass oil</t>
  </si>
  <si>
    <t>JOURNAL OF FOOD SCIENCE AND TECHNOLOGY-MYSORE</t>
  </si>
  <si>
    <t>Edible films and coatings have been proposed as viable alternatives for the preservation of fresh food such as fruit, meat, fish and cheese. They can be designed to contain natural antioxidants, vitamins and antimicrobials in order to extend shelf life of the product keeping the natural sensorial properties. Essential oils have been targeted as potential active principles for edible films and coatings given their well-recognized antioxidant, antimicrobial and sensory properties. In the present work, lemongrass oil (LMO) microcapsules were prepared by the emulsification-separation method using sodium caseinate as wall material. Microcapsules had an average size of 22 mu m and contained over 51 % oil in their nucleus. The release kinetics of the LMO components was studied for both, microcapsules and microcapsule containing films. Experimental data for the controlled release of LMO components showed good correlation with Peppas and Weibull models. The effect of the alginate matrix on the release parameters of the mathematical models could be detected by the modification of the b constant of the Weibull equation which changed from 0.167 for the microcapsules to 0.351 for the films. Films containing LMO at concentrations of 1250, 2500 and 5000 ppm were able to inhibit growth of Escherichia coli ATCC 25922 and Listeria monocytogenes ISP 65-08 in liquid cultures. A possible future application of these films for shelf life extension of fresh food is discussed.</t>
  </si>
  <si>
    <t>0022-1155</t>
  </si>
  <si>
    <t>0975-8402</t>
  </si>
  <si>
    <t>10.1007/s13197-015-2027-5</t>
  </si>
  <si>
    <t>WOS:000368039600079</t>
  </si>
  <si>
    <t>Camarero, H; Loyola, M</t>
  </si>
  <si>
    <t>Red reads: Communist books and pamphlets in Chile, 1920 and 1926</t>
  </si>
  <si>
    <t>POLITICA Y CULTURA EN LOS SECTORES POPULARES Y DE LAS IZQUIERDAS LATINOAMERICANAS EN EL SIGLO XX</t>
  </si>
  <si>
    <t>4th International Conference in Science, Technologies and Culture</t>
  </si>
  <si>
    <t>OCT 09-12, 2015</t>
  </si>
  <si>
    <t>Univ Santiago</t>
  </si>
  <si>
    <t>978-956-8416-42-3</t>
  </si>
  <si>
    <t>WOS:000382300000001</t>
  </si>
  <si>
    <t>Contreras, N; Vidal, J; Berríos, C; Villegas, L; Salazar, R</t>
  </si>
  <si>
    <t>Contreras, Nicole; Vidal, Jorge; Berrios, Cristhian; Villegas, Loreto; Salazar, Ricardo</t>
  </si>
  <si>
    <t>Degradation of Antihypertensive Hydrochlorothiazide in Water from Pharmaceutical Formulations by Electro-Oxidation Using a BDD Anode</t>
  </si>
  <si>
    <t>INTERNATIONAL JOURNAL OF ELECTROCHEMICAL SCIENCE</t>
  </si>
  <si>
    <t>The electrochemical oxidation (EO) of hydrochlorothiazide (HCTZ) in water has been carried out at applying constant current in an electrochemical cell containing a boron-doped diamond (BDD) anode and a stainless steel cathode. The effect of initial pH of the solution and the applied current density were evaluated in the HCTZ concentration decay and total organic carbon abatement during the electrolysis. A qualitative analysis of the degradation by-products was made by chromatography and photometric assays. Finally, EO was applied for the HCTZ degradation from commercial formulations. Thus, HCTZ can be degraded by EO at neutral pH, applying low current densities due to the attack of. OH electro-generated on the BDD surface. Aromatic intermediates, aliphatic carboxylic acids, and inorganic anions were detected as main products during the mineralization of HCTZ to CO2. Solutions prepared from commercial formulations of HCTZ were completely mineralized by EO, which can be an interesting step towards the applicability of the EO processes for the treatment of wastewater containing these kinds of drugs as raw materials or pharmaceutical formulations.</t>
  </si>
  <si>
    <t>Salazar-Gonzalez, Ricardo/0000-0003-2180-6022; Vidal, Jorge/0000-0002-1334-377X</t>
  </si>
  <si>
    <t>1452-3981</t>
  </si>
  <si>
    <t>WOS:000366177700038</t>
  </si>
  <si>
    <t>Plaza, A; Romero, J; Silva, W; Morales, E; Torres, A; Aguirre, MJ</t>
  </si>
  <si>
    <t>Plaza, Andrea; Romero, Julio; Silva, Wladimir; Morales, Elizabeth; Torres, Alejandra; Aguirre, Maria J.</t>
  </si>
  <si>
    <t>Extraction and quantification of SO2 content in wines using a hollow fiber contactor</t>
  </si>
  <si>
    <t>Sulfites (SO32-) or sulfur dioxide (SO2) is a preservative widely used in fruits and fruit-derived products. This study aims to propose a membrane contactor process for the selective removal and recovery of SO2 from wines in order to obtain its reliable quantification. Currently, the aspiration and Ripper methods offer a difficult quantification of the sulfite content in red wines because they involve evaporation steps of diluted compounds and a colorimetric assay, respectively. Therefore, an inexpensive and accurate methodology is not currently available for continuous monitoring of SO2 in the liquids food industry. Red wine initially acidified at pH&lt;1 was treated by membrane extraction at 25?. This operation is based on a hydrophobic Hollow Fiber Contactor, which separates the acidified red wine in the shell side and a diluted aqueous sodium hydroxide solution as receiving solution into the lumenside in countercurrent. Sulfite and bisulfite in the acidified red wine become molecular SO2, which is evaporated through the membrane pores filled with gas. Thus, SO2 is trapped in a colorless solution and the membrane contactor controls its transfer, decreasing experimental error induced in classical methods. Experimental results using model solutions with known concentration values of show an average extraction percentage of 98.91 after 4 min. On the other hand, two types of Chilean Cabernet Sauvignon wines were analyzed with the same system to quantify the content of free and total sulfites. Results show a good agreement between these methods and the proposed technique, which shows a lower experimental variability.</t>
  </si>
  <si>
    <t>Romero, Julio/I-6705-2013; Aguirre, Maria/A-3935-2013</t>
  </si>
  <si>
    <t>Plaza, Andrea/0000-0001-9475-007X; Aguirre, Maria/0000-0003-1134-4469; Romero, Julio/0000-0002-1229-1592</t>
  </si>
  <si>
    <t>1532-1738</t>
  </si>
  <si>
    <t>10.1177/1082013213494900</t>
  </si>
  <si>
    <t>WOS:000342002700003</t>
  </si>
  <si>
    <t>Kaschel, H; Mardones, J; Quezada, G</t>
  </si>
  <si>
    <t>Kaschel, Hector; Mardones, Jose; Quezada, Gustavo</t>
  </si>
  <si>
    <t>Safety in Wireless Sensor Networks: Types of Attacks and Solutions</t>
  </si>
  <si>
    <t>STUDIES IN INFORMATICS AND CONTROL</t>
  </si>
  <si>
    <t>Wireless Sensor Networks (WSN) are highly vulnerable in their security. They are generally deployed in hostile environments to collect different kinds of data, so they are exposed to serious physical and software attacks. Therefore, developing methods to increase security becomes an essential aspect of the study of these networks. WSNs are used in military, medical and biological applications, among others. This paper analyzes the security requirements of WSNs, the main attacks, and their main characteristics; finally it reviews some security methods currently proposed or implemented in these networks, and identifies the possible types of security attacks that can affect the layers of the OSI Reference Model.</t>
  </si>
  <si>
    <t>Mardones, Jose/0000-0002-1523-6062; Kaschel, Hector/0000-0002-0868-7834</t>
  </si>
  <si>
    <t>1220-1766</t>
  </si>
  <si>
    <t>WOS:000325234800009</t>
  </si>
  <si>
    <t>Tello, M; Saavedra, JM; Spencer, E</t>
  </si>
  <si>
    <t>Tello, Mario; Miguel Saavedra, Jose; Spencer, Eugenio</t>
  </si>
  <si>
    <t>Analysis of the use of codon pairs in the HE gene of the ISA virus shows a correlation between bias in HPR codon-pair use and mortality rates caused by the virus</t>
  </si>
  <si>
    <t>VIROLOGY JOURNAL</t>
  </si>
  <si>
    <t>Background: Segment 6 of the ISA virus codes for hemoagglutinin-esterase (HE). This segment is highly variable, with more than 26 variants identified. The major variation is observed in what is called the high polymorphism region (HPR). The role of the different HPR zones in the viral cycle or evolution remains unknown. However viruses that present the HPR0 are avirulent, while viruses with important deletions in this region have been responsible for outbreaks with high mortality rates. In this work, using bioinformatic tools, we examined the influence of different HPRs on the adaptation of HE genes to the host translational machinery and the relationship to observed virulence. Methods: Translational efficiency of HE genes and their HPR were estimated analyzing codon-pair bias (CPB), adaptation to host codon use (codon adaptation index - CAI) and the adaptation to available tRNAs (tAI). These values were correlated with reported mortality for the respective ISA virus and the Delta G of RNA folding. tRNA abundance was inferred from tRNA gene numbers identified in the Salmo salar genome using tRNAScan-SE. Statistical correlation between data was performed using a non-parametric test. Results: We found that HPR0 contains zones with codon pairs of low frequency and low availability of tRNA with respect to salmon codon-pair usage, suggesting that HPR modifies HE translational efficiency. Although calculating tAI was impossible because one third of tRNAs (similar to 60.000) were tRNA-ala, translational efficiency measured by CPB shows that as HPR size increases, the CPB value of the HE gene decreases (P = 2x10(-7),. = -0.675, n = 63) and that these values correlate positively with the mortality rates caused by the virus (rho = 0.829, P = 2x10(-7), n = 11). The mortality associated with different virus isolates or their corresponding HPR sizes were not related with the Delta G of HPR RNA folding, suggesting that the secondary structure of HPR RNA does not modify virulence. Conclusions: Our results suggest that HPR size affects the efficiency of gene translation, which modulates the virulence of the virus by a mechanism similar to that observed in production of live attenuated vaccines through deoptimization of codon-pair usage.</t>
  </si>
  <si>
    <t>Muñoz Saavedra, Judith/MEQ-2000-2025; Tello, Mario/N-4198-2019</t>
  </si>
  <si>
    <t>Spencer, Eugenio/0000-0001-6109-140X; Tello, Mario/0000-0003-4573-6460</t>
  </si>
  <si>
    <t>1743-422X</t>
  </si>
  <si>
    <t>JUN 6</t>
  </si>
  <si>
    <t>10.1186/1743-422X-10-180</t>
  </si>
  <si>
    <t>WOS:000320455200001</t>
  </si>
  <si>
    <t>Canete, L</t>
  </si>
  <si>
    <t>Canete, L.</t>
  </si>
  <si>
    <t>Bio-inspired Sensory Systems in Automata for Hazardous Environments</t>
  </si>
  <si>
    <t>INTERNATIONAL JOURNAL OF COMPUTERS COMMUNICATIONS &amp; CONTROL</t>
  </si>
  <si>
    <t>Every automaton in dynamic and complex environments requires sensory systems with an appropriate level of attention on the hazardous environment. This property in any efficient automaton is analogous to that observed in animal sensory systems. In this context, it is noted that to ensure its viability, the sensory systems of animals must maintain a continuous state of alertness or attention to the environment. However, the state consumes energy so it is impossible to keep a constant level over time. In this regard, biologists have designed models for explaining the variation in the level of surveillance in two vital activities of animals: Work and Rest. In an alternating pattern between Work and Rest, the Attention Level V(t) declines and increases as the animal works and rests respectively along the time. For each of the two states, there is one relation: dV/dt = -alpha * V while working and dV/dt = beta*(1-V) while resting. In this model alpha is the loss rate of surveillance that depends on the difficulty of the work and beta is the recovery rate which depends on the quality of rest. In the case of automata, this phenomenon is analogous to that observed in the Animal Kingdom. Even if the automatic machines have relief structures to monitor their environments, they always require that its sensory system recovers the alertness after being hit by the inexorable entropy. If the task is hard (alpha is large), the Attention Level decreases rapidly. Once the level has dropped below a threshold of tolerance, it must be recovered. If rest is poor, the automaton will take a lot of time to achieve the desired level. Obviously, machines do not rest, but in analogous terms, this phenomenon is emulated in the way of maintenance activities. Parameter beta represents the quality of these maintenances. This model has been tested with computer simulations to study the performance of automatic machines in hostile environments. After tests, it was possible to quantify alpha and beta for each kind of task-environment and each kind of maintenance. The bio-inspired model showed to have explicative and predictive applications to the conquest of hostile scenarios by means of automata. Indeed it is an interesting conceptual tool for increasing the performance of machines.</t>
  </si>
  <si>
    <t>1841-9836</t>
  </si>
  <si>
    <t>WOS:000312043600004</t>
  </si>
  <si>
    <t>Gambi, MO</t>
  </si>
  <si>
    <t>Olavarria Gambi, Mauricio</t>
  </si>
  <si>
    <t>From the Formulation to the Implementation of Transantiago: Analysis of the Political Process of a Public Policy</t>
  </si>
  <si>
    <t>GESTION Y POLITICA PUBLICA</t>
  </si>
  <si>
    <t>This article inquires on the political process leading to the approval and implementation of the urban transport reform plan of the capital city of Chile, popularly known as Transantiago. The analysis is based on information from 30 interviews to key actors of this reform plan, official reports and documents, press clipping from the period 2000-2007, and academic literature. The article finds that despite there was no citizen's demand for such reform, the plan enter the government agenda due to aspiration of President Lagos to bequeath a work implying the modernization of the urban transport system of Santiago. The justification of the plan lied on the negative externalities of the transport system existing by the decade of 2000 and on the desire of authorities to transform Santiago in a world-class city. Those who impelled the plan moved forward using the presidential administrative capacity The article also finds that the institutional weakness of the plan fostered conflicts within the impelling group, and that the lack of supervision, the subscription of contracts with no clear incentives to transport passengers as well as the lack of visible products in key stages of the plan generated a situation that suggested to postpone the beginning of the implementation. In addition, there was a change of priority with the installation of the new administration. While for President Lagos Transantiago was a high priority and he involved himself in its formulation, for President Bachelet the plan did not have the same priority and, as a consequence, the sectorial Ministry took the leadership of the implementation. Thus, the confluence of these factors determines the failure of the implementation of Transantiago.</t>
  </si>
  <si>
    <t>1405-1079</t>
  </si>
  <si>
    <t>WOS:000323293800003</t>
  </si>
  <si>
    <t>García, FM</t>
  </si>
  <si>
    <t>Moraga Garcia, F.</t>
  </si>
  <si>
    <t>SUBJECT POLICIES AND KNOWLEDGE IN THE POETRY OF CONTEMPORARY MAPUCHE WOMEN</t>
  </si>
  <si>
    <t>INSULA-REVISTA DE LETRAS Y CIENCIAS HUMANAS</t>
  </si>
  <si>
    <t>0020-4536</t>
  </si>
  <si>
    <t>WOS:000312746200005</t>
  </si>
  <si>
    <t>Godoy, LS</t>
  </si>
  <si>
    <t>Saez Godoy, Leopoldo</t>
  </si>
  <si>
    <t>The lexicon of Chilean Spanish: Dictionary of Chilean Spanish usage</t>
  </si>
  <si>
    <t>There is no cultural patrimony more important than the language of a national community. A dialectal dictionary is a work of great social significance. Even if one does not want it, it always gets a normative value. For the user, its definitions amount to an undebatable truth. More so if it has been produced by a prestigious entity and is indorsed by important cultural institutions. The DUECh is the latest inventory of this kind. This article discusses some of its criteria for selecting lemmas. Collection by means of some surveys is put to test: vocabulary of social and political life, verbal phrases, procedures for the creation of neologisms (acronyms, N+N and N+Adj. appositions, V+N compounds). Some of the partially or totally debatable definitions are analyzed and other meanings, homonyms and variants are proposed.</t>
  </si>
  <si>
    <t>WOS:000316863200009</t>
  </si>
  <si>
    <t>Pradenas, GA; Paillavil, BA; Reyes-Cerpa, S; Pérez-Donoso, JM; Vásquez, CC</t>
  </si>
  <si>
    <t>Pradenas, Gonzalo A.; Paillavil, Braulio A.; Reyes-Cerpa, Sebastian; Perez-Donoso, Jose M.; Vasquez, Claudio C.</t>
  </si>
  <si>
    <t>Reduction of the monounsaturated fatty acid content of Escherichia coli results in increased resistance to oxidative damage</t>
  </si>
  <si>
    <t>MICROBIOLOGY-SGM</t>
  </si>
  <si>
    <t>Reactive oxygen species (ROSs) affect several macromolecules and cellular components in eukaryotic and prokaryotic cells. In this work, the effect of various ROS-generating compounds on the Escherichia coli membrane was studied. Membrane fatty acid profiles, oxidative damage levels and bacterial resistance to these toxicants were determined. Studies included wild-type cells as well as a strain exhibiting a modified monounsaturated fatty acid (MUFA) profile (accomplished by overexpressing the beta-hydroxyacyl acyl carrier protein dehydratase-encoding gene, fabA). Levels of membrane MUFAs and oxidative damage markers decreased slightly upon toxicant exposure with a concomitant increase in cell resistance to these ROS-generating compounds. A direct relationship between MUFAs and lipid peroxidation was observed. The lower the MUFA the lower the peroxide levels, suggesting that MUFAs are targets for membrane lipid oxidation.</t>
  </si>
  <si>
    <t>; Perez-Donoso, Jose/G-3668-2013</t>
  </si>
  <si>
    <t>Reyes, Sebastian/0000-0002-7676-1266; Perez-Donoso, Jose/0000-0002-9506-1716</t>
  </si>
  <si>
    <t>1350-0872</t>
  </si>
  <si>
    <t>10.1099/mic.0.056903-0</t>
  </si>
  <si>
    <t>WOS:000305375900014</t>
  </si>
  <si>
    <t>Rodríguez-Tirado, C; Maisey, K; Rodríguez, FE; Reyes-Cerpa, S; Reyes-López, FE; Imarai, M</t>
  </si>
  <si>
    <t>Rodriguez-Tirado, Carolina; Maisey, Kevin; Rodriguez, Felipe E.; Reyes-Cerpa, Sebastian; Reyes-Lopez, Felipe E.; Imarai, Monica</t>
  </si>
  <si>
    <t>Neisseria gonorrhoeae induced disruption of cell junction complexes in epithelial cells of the human genital tract</t>
  </si>
  <si>
    <t>MICROBES AND INFECTION</t>
  </si>
  <si>
    <t>Pathogenic microorganisms, such as Neisseria gonorrhoeae, have developed mechanisms to alter epithelial barriers in order to reach subepithelial tissues for host colonization. The aim of this study was to examine the effects of gonococci on cell junction complexes of genital epithelial cells of women. Polarized Ishikawa cells, a cell line derived from endometrial epithelium, were used for experimental infection. Infected cells displayed a spindle-like shape with an irregular distribution, indicating potential alteration of cell-cell contacts. Accordingly, analysis by confocal microscopy and cellular fractionation revealed that gonococci induced redistribution of the adherens junction proteins E-cadherin and its adapter protein beta-catenin from the membrane to a cytoplasmic pool, with no significant differences in protein levels. In contrast, gonococcal infection did not induce modification of either expression or distribution of the tight junction proteins Occludin and ZO-1. Similar results were observed for Fallopian tube epithelia. Interestingly, infected Ishikawa cells also showed an altered pattern of actin cytoskeleton, observed in the form of stress fibers across the cytoplasm, which in turn matched a strong alteration on the expression of fibronectin, an adhesive glycoprotein component of extracellular matrix. Interestingly, using western blotting, activation of the ERK pathway was detected after gonococcal infection while p38 pathway was not activated. All effects were pili and Opa independent. Altogether, results indicated that gonococcus, as a mechanism of pathogenesis, induced disruption of junction complexes with early detaching of E-cadherin and beta-catenin from the adherens junction complex, followed by a redistribution and reorganization of actin cytoskeleton and fibronectin within the extracellular matrix. (C) 2011 Published by Elsevier Masson SAS on behalf of Institut Pasteur.</t>
  </si>
  <si>
    <t>Reyes-López, Felipe/S-1760-2018; Maisey, Kevin/AAP-2886-2021; Rodriguez Tirado, Carolina/GRF-6133-2022</t>
  </si>
  <si>
    <t>Reyes, Sebastian/0000-0002-7676-1266; Maisey, Kevin/0000-0002-7423-6329; Rodriguez-Tirado, Felipe/0000-0002-6554-8187; Reyes-Lopez, Felipe E./0000-0002-5001-457X; Rodriguez-Tirado, Carolina/0000-0002-3853-7909; Imarai, Monica/0000-0001-8767-9180</t>
  </si>
  <si>
    <t>1286-4579</t>
  </si>
  <si>
    <t>10.1016/j.micinf.2011.11.002</t>
  </si>
  <si>
    <t>WOS:000301701100010</t>
  </si>
  <si>
    <t>Rabagliati, FM; Pérez, MA; Rodríguez, FJ; Cancino, RA; Crispel, N; Mardones, GA; Muñoz, HE; Saavedra, MA; Vidal, M; Muñoz, LA</t>
  </si>
  <si>
    <t>Costamagna, J; Rabagliati, FM; Rivas, BL</t>
  </si>
  <si>
    <t>Rabagliati, Franco M.; Perez, Monica A.; Rodriguez, Francisco J.; Cancino, Rodrigo A.; Crispel, Nocolas; Mardones, Gabriela A.; Munoz, Hector E.; Saavedra, Marcela A.; Vidal, Manuel; Munoz, Lisa A.</t>
  </si>
  <si>
    <t>Further Studies on Homo- and Copolymerization of Styrene through Metallocenic Initiator Systems</t>
  </si>
  <si>
    <t>MACROMOLECULAR COMPLEXES</t>
  </si>
  <si>
    <t>Macromolecular Symposia</t>
  </si>
  <si>
    <t>13th IUPAC International Symposium on Macromoleculer Complexes (MMC)</t>
  </si>
  <si>
    <t>NOV 15-17, 2009</t>
  </si>
  <si>
    <t>Termas de Chillan, CHILE</t>
  </si>
  <si>
    <t>IUPAC</t>
  </si>
  <si>
    <t>Binary metallocene-MAO and ternary diphenylzinc-metallocene-MAO initiator systems have been tested as initiators in the homopolymerization of styrene and also in its copolymerization with several diverse comonomers including substituted styrenes, styrene derivatives, alpha-olefins and dienes. Various titanocenes and zirconocenes and some exploratory experiment with hafnocene were carried out. The results indicate that titanocenes were more effective than zirconocenes in the homopolymerization of styrene while zirconocenes did better in alpha-olefin polymerization. It was found that titanocenes generated mainly syndiotactic polystyrene, s-PS, while zirconocenes yielded atactic polystyrene or, depending on the zirconocene, a low percentage of s-PS. For these types of initiators the polymerization process depends largely on the inductive effect of the substituents linked to the benzene ring of styrene and on its position (ortho, meta or para). Substituent multiplicity reduced markedly the effectiveness of these initiator systems. Styrene/isoprene polymerization was also studied using binary zirconocene-MAO initiator systems that yielded low conversions and also low molecular weight polymers.</t>
  </si>
  <si>
    <t>Saavedra Gonzalez, Marcela Andrea/0000-0001-6849-0796; munoz, lisa/0000-0002-4588-2620; Rodriguez-Mercado, Francisco/0000-0002-0530-6653</t>
  </si>
  <si>
    <t>1022-1360</t>
  </si>
  <si>
    <t>10.1002/masy.201150605</t>
  </si>
  <si>
    <t>WOS:000297026400005</t>
  </si>
  <si>
    <t>Reyes, A; Mahn, A; Huenulaf, P</t>
  </si>
  <si>
    <t>Reyes, A.; Mahn, A.; Huenulaf, P.</t>
  </si>
  <si>
    <t>Drying of Apple Slices in Atmospheric and Vacuum Freeze Dryer</t>
  </si>
  <si>
    <t>Atmospheric freeze drying (AFD) and vacuum freeze drying (VFD) of Fuji apples was investigated. A factorial design was used in each case, with particle size, freezing rate, infrared (IR) radiation, and air temperature as factors. The effect of these factors on moisture content, duration of drying, rehydration properties, color, and texture were determined. The drying curves were fitted with both the simplified constant diffusivity model (SCDM) and the modified Page model, and rehydration curves were tested with the Peleg model, resulting in R-2 higher than 0.96. Antioxidant capacity, polyphenols, and ascorbic acid content in the final product were determined and compared with those obtained in a tunnel dryer. A sensory evaluation was performed. The drying times obtained for VFD were shorter than the drying times obtained for AFD. The particle size and IR application were found to be the significant parameters that affect duration of drying for both AFD and VFD (duration of drying was proportional to particle size and inversely proportional to IR application). Air temperature affected drying time only during the secondary drying stage. Estimated D-eff values were on the order of 10(-10) (m(2)/s). In AFD, R-2 higher than 0.81 was obtained for the SCDM, and R-2 higher than 0.96 was obtained for the Page model. In VFD, a better fit was obtained (R-2 &gt; 0.97) for both models. AFD produced nutritional alterations similar to convective drying. Sensory quality was not altered by AFD or VFD.</t>
  </si>
  <si>
    <t>10.1080/07373937.2011.568657</t>
  </si>
  <si>
    <t>WOS:000294803500009</t>
  </si>
  <si>
    <t>Navarro, P; Vargas, C</t>
  </si>
  <si>
    <t>Navarro, P.; Vargas, C.</t>
  </si>
  <si>
    <t>Effect of the physical properites of activated carbon in the gold adsorption from cyanide media</t>
  </si>
  <si>
    <t>REVISTA DE METALURGIA</t>
  </si>
  <si>
    <t>The effect of the physical properties of an activated carbon such as pore size distribution, specific surface, pore average diameter, in the gold adsorption from cyanide solution with the gold to the Au (CN)(2)(-) form, was studied. To meet the proposed objectives two carbons were studied: carbon A with specific surface of 985 m(2) / g, 57 % of micropores and 1.85 nm as average diameter of pores and carbon B with specific surface of 786 m(2) / g, 27 % and pores of 2.35 nm as average diameter of pores; both granular carbons made from coconut shell. Batch adsorption tests were performed in a reactor of 500 ml of capacity with mechanical stirring at constant temperature. The effect of cations present in the aqueous solutions such as Ca(2+), Na(+), K+ and Li(+), the effect of pore size distribution, the effect of average pore diameter and surface area were evaluated in function of the rate and amount of gold adsorbed on the activated carbons denominated as A and B. The results to indicate that the physical properties of an activated carbon are an important factor in the gold adsorption process in terms of rate and amount of adsorbed gold. The carbon B with 786 m(2) / g of specific surface area reached a higher load per unit area (0.02 mg Au/m(2)) in relation to the carbon B of 985 m2 / g which had a load of 0.01 mg Au / m(2), after 6 h of contact carbon-solution. The rate adsorption of gold in both carbons is controlled by mass transfer in the liquid film surrounding the carbon particles to short times or small loads of gold in the particles, far from equilibrium. Applying a first order kinetic model, it was obtained that the ratio of the kinetic constants for carbons A and B, ie (k(B) / k(A)), fluctuates in a value of 3 for the different cations in study. In general it is possible to say that the rate adsorption and the amount of adsorbed gold increased with the increase in macropores and with the increasing pore average diameter. The presence of cations favors the gold adsorption in cyanide media, especially those of higher valence.</t>
  </si>
  <si>
    <t>Vargas, Cristian/0000-0002-7360-6201</t>
  </si>
  <si>
    <t>0034-8570</t>
  </si>
  <si>
    <t>10.3989/revmetalm.0929</t>
  </si>
  <si>
    <t>WOS:000282461300004</t>
  </si>
  <si>
    <t>Copper Workers, International Business, and Domestic Politics in Cold War Chile</t>
  </si>
  <si>
    <t>JOURNAL OF LATIN AMERICAN STUDIES</t>
  </si>
  <si>
    <t>0022-216X</t>
  </si>
  <si>
    <t>1469-767X</t>
  </si>
  <si>
    <t>10.1017/S0022216X10000593</t>
  </si>
  <si>
    <t>WOS:000280926400017</t>
  </si>
  <si>
    <t>Ochoa, G; Gutierrez, C; Ponce, I; Silva, JF; Páez, M; Pavez, J; Zagal, JH</t>
  </si>
  <si>
    <t>Ochoa, Gonzalo; Gutierrez, Cristian; Ponce, Ingrid; Francisco Silva, J.; Paez, Maritza; Pavez, Jorge; Zagal, Jose H.</t>
  </si>
  <si>
    <t>Reactivity trends of surface-confined Co-tetraphenyl porphyrins and vitamin B12 for the oxidation of 2-aminoethanethiol: Comparison with Co-phthalocyanines and oxidation of other thiols</t>
  </si>
  <si>
    <t>JOURNAL OF ELECTROANALYTICAL CHEMISTRY</t>
  </si>
  <si>
    <t>We have investigated the electrocatalytic activity of tetraphenyl porphyrin, of substituted tetraphenyl porphyrins and of vitamin B-12 for the electro-oxidation of 2-aminoethanethiol, with the catalysts confined on graphite electrodes. Several N4-macrocyclic were used in order to have a great variety of formal potentials of the catalysts and compare this parameter with the catalytic activity. The electrocatalytic activity. measured as current at constant potential, increases with the formal potential of the catalysts as follows: Co-pentafluorotetraphenylporphyrin &lt; Co-tetrahydroxytetraphenylporphyrin &lt; Co-tetraphenylporphyrin &lt; Co-tetrasulfophenylporphyrin &lt; 2,2',2 '',2'''-tetra-aminotetraphenylporphyrin &lt; tetra-methoxytetraphenylporphyrin &lt; vitamin B-12, Vitamin B-12 exhibits the maximum activity. A correlation of log I (at constant potential) vs. the formal potential E' of the catalysts gives a volcano correlation when data of Co-phthalocyanines studied in previous work is included in the comparison. This clearly shows that the search for better catalysts for this reaction point to those N-4-macrocyclic complexes with Co(II)/(I) formal potentials close to -1.0 V vs. SCE which corresponds to an optimum situation for the interaction of the thiol with the active site. When comparing reactivity trends of similar catalysts for the oxidation of other thiols (L-cysteine, mercaptoacetate and 2-mercaptoethanol) E' max correlates linearly with the pKa of the thiol. (C) 2009 Elsevier B.V. All rights reserved.</t>
  </si>
  <si>
    <t>zagal, jose/L-9648-2014; Paez, Maritza/M-2010-2014; Ponce, Ingrid/L-9679-2014; Gutierrez Ceron, Cristian/O-7236-2018; PAVEZ, JORGE/K-6904-2014</t>
  </si>
  <si>
    <t>Gutierrez Ceron, Cristian/0000-0001-6078-1572; PAVEZ, JORGE/0000-0002-5100-6707; Ponce Hormazabal, Ingrid/0000-0002-3896-9576; paez, maritza/0000-0001-5881-884X</t>
  </si>
  <si>
    <t>1572-6657</t>
  </si>
  <si>
    <t>1-2</t>
  </si>
  <si>
    <t>10.1016/j.jelechem.2009.11.027</t>
  </si>
  <si>
    <t>WOS:000275137400013</t>
  </si>
  <si>
    <t>Letelier, MF; Siginer, DA; Stockle, JS; Vera, C</t>
  </si>
  <si>
    <t>Letelier, Mario F.; Siginer, Dennis A.; Stockle, Juan S.; Vera, Carlos</t>
  </si>
  <si>
    <t>FRICTION LAW FOR BINGHAM FLUID FLOW IN CHANNELS OF ARBITRARY CROSS-SECTION SHAPES</t>
  </si>
  <si>
    <t>IMECE 2009: PROCEEDINGS OF THE ASME INTERNATIONAL MECHANICAL ENGINEERING CONGRESS AND EXPOSITION, VOL 9, PTS A-C</t>
  </si>
  <si>
    <t>ASME International Mechanical Engineering Congress and Exposition</t>
  </si>
  <si>
    <t>NOV 13-19, 2009</t>
  </si>
  <si>
    <t>Lake Buena Vista, FL</t>
  </si>
  <si>
    <t>In many biomedical and industrial technological applications it is necessary to drive fluids that exhibit plastic or elasto-plastic behaviour. Particularly for cases in which fast results are demanded, or only small fluid samples are available, micro-channels are used. These normally have cross-section geometries determined by the manufacturing procedures and may be of square, rectangular, triangular and other shapes. In order to obtain the expected results, such as protein separation, particle concentrations, and the like, the rate of flow and time-dependent pattern of it must be carefully determined. In this paper it is presented an analytically rigorous method for calculating the friction coefficient in channels of arbitrary cross-section contours for plastic flow that may be conveniently described by the Bingham model. Results are presented for a variety of shapes and for different values of the yield stress.</t>
  </si>
  <si>
    <t>Vera Vera, Carlos Felipe/0000-0003-2179-9467</t>
  </si>
  <si>
    <t>978-0-7918-4382-6</t>
  </si>
  <si>
    <t>WOS:000280196300016</t>
  </si>
  <si>
    <t>López-Sarrión, J; Arias, P; Gamboa, J</t>
  </si>
  <si>
    <t>Lopez-Sarrion, J.; Arias, Paola; Gamboa, J.</t>
  </si>
  <si>
    <t>SU(2) KINETIC MIXING TERMS AND SPONTANEOUS SYMMETRY BREAKING</t>
  </si>
  <si>
    <t>MODERN PHYSICS LETTERS A</t>
  </si>
  <si>
    <t>The non-Abelian generalization of the Holdom model, i.e. a theory with two gauge fields coupled to the kinetic mixing term (g)tr (F-mu nu(A)F-mu nu(B)) is considered. Contrarily to the Abelian case, the group structure G x G is explicitly broken to G. For SU(2) this fact implies that the residual gauge symmetry as well as the Lorentz symmetry is spontaneously broken. We show that this mechanism provides masses for the involved particles. Also, the model presents instanton solutions with a redefined coupling constant.</t>
  </si>
  <si>
    <t>Gamboa, Jorge/R-8744-2019; Arias, Paola/Q-5912-2017</t>
  </si>
  <si>
    <t>Lopez Sarrion, Justo Javier/0000-0002-2868-194X; Arias, Paola/0000-0001-5551-9182</t>
  </si>
  <si>
    <t>0217-7323</t>
  </si>
  <si>
    <t>OCT 10</t>
  </si>
  <si>
    <t>10.1142/S0217732309030898</t>
  </si>
  <si>
    <t>WOS:000271219600007</t>
  </si>
  <si>
    <t>Rocco, M; Rubio, MA</t>
  </si>
  <si>
    <t>Rocco, M.; Rubio, Maria. A.</t>
  </si>
  <si>
    <t>REINTERPRETATION OF THE FIRST STEP OF THE SEQUENTIAL EXTRACTION PROPOSED BY THE SMT</t>
  </si>
  <si>
    <t>JOURNAL OF THE CHILEAN CHEMICAL SOCIETY</t>
  </si>
  <si>
    <t>Samples of sediment from Estero Rungue, north of Santiago, were analyzed during January 2007. The studied zone is affected by acid contamination. Analysis of the sediment by XRD detected the presence of rozenite (FeSO(4)center dot 4H(2)O) and gypsum (CaSO(4)center dot 2H(2)O). The experiments were carried out according to the criterion established for the first Step of the sequential extraction proposed by the SMT, using Ca, Cu, Fe, Ni and Zn sulfates in the form of M(lambda)SO(4)alpha H(2)O as a model sediment. The results suggest that it is possible to extract up to similar to 99% of the sulfates because of the low pH (similar to 3). Analysis of the sediment by XRD before and after the first Step of the sequential extraction showed that the sulfates disappear after the treatment, extending the interpretation of the first Step of the sequential extraction to elements that are interchangeable, adsorbed on carbonates, and present as sulfates.</t>
  </si>
  <si>
    <t>Rocco, Marcelo/AAI-4918-2020; Bajo, Maria/ABF-6991-2020</t>
  </si>
  <si>
    <t>0717-9324</t>
  </si>
  <si>
    <t>10.4067/S0717-97072009000300025</t>
  </si>
  <si>
    <t>WOS:000269814100025</t>
  </si>
  <si>
    <t>Garin, JL; Mannheim, RL; Camus, MA</t>
  </si>
  <si>
    <t>Garin, Jorge L.; Mannheim, Rodolfo L.; Camus, Manuel A.</t>
  </si>
  <si>
    <t>Use of Rietveld Method in Quantitative Analysis of Weldments in Duplex Stainless Steels.</t>
  </si>
  <si>
    <t>ACTA CRYSTALLOGRAPHICA A-FOUNDATION AND ADVANCES</t>
  </si>
  <si>
    <t>2053-2733</t>
  </si>
  <si>
    <t>FA5-MS01-P</t>
  </si>
  <si>
    <t>S322</t>
  </si>
  <si>
    <t>10.1107/S0108767309093131</t>
  </si>
  <si>
    <t>WOS:000480362900686</t>
  </si>
  <si>
    <t>Ramirez, AJ; Guzman, AM; Escobar, RA</t>
  </si>
  <si>
    <t>Ramirez, Alvaro J.; Guzman, Amador M.; Escobar, Rodrigo A.</t>
  </si>
  <si>
    <t>FLOW DYNAMICS CHARACTERISTICS IN MICRO AND NANO LENGTH SCALES DEVICES WITH THE LATTICE-BOLTZMANN METHOD: THE AIR BEARING PROBLEM</t>
  </si>
  <si>
    <t>PROCEEDINGS OF THE ASME INTERNATIONAL MECHANICAL ENGINEERING CONGRESS AND EXPOSITION, VOL 13, PTS A AND B</t>
  </si>
  <si>
    <t>OCT 31-NOV 06, 2008</t>
  </si>
  <si>
    <t>Boston, MA</t>
  </si>
  <si>
    <t>Amer Soc Mech Engineers</t>
  </si>
  <si>
    <t>The Lattice-Boltzmann Method (LBM) has been used for investigating flow behavior and characteristics in mini, micro and nano channels with the objective of describing the transition among different length scales. In particular, we have used the LBM to describe the air bearing lubrication problem at very small scales. For doing this, first we Simulate and characterize the Poiseuille flow through different length scale and compare the LBM numerical results to existing experimental and numerical results. We put special attention on the application of the slip boundary condition on the channel wall for very small length scales. Our numerical results for the Poiseuille flow show an acceptable agreement with the Fukui &amp; Kaneko numerical solution for continuous and slip-velocity regimes. For both, the rarified flow regime and the free molecular flow regime our solutions do not show an acceptable agreement with the Fukui &amp; Kaneko Model. Then, we focus on the Couette flow characterization at very small length scales. The pressure distribution on both walls for different Knudsen numbers is obtained and compared to existing numerical results. Last, we concentrate in the air bearing problem. We have looked at the best simulation parameters for successfully describing this device flow dynamics, and particularly, for determining the pressure distribution and the net force with a good accuracy.</t>
  </si>
  <si>
    <t>Escobar, Rodrigo/JHU-7720-2023; Guzman, Amador/F-9260-2013</t>
  </si>
  <si>
    <t>Escobar, Rodrigo/0000-0001-9097-7461</t>
  </si>
  <si>
    <t>978-0-7918-4874-6</t>
  </si>
  <si>
    <t>WOS:000266546900077</t>
  </si>
  <si>
    <t>Contreras, A; Salinas, F; Ganga, A; Martínez, C</t>
  </si>
  <si>
    <t>Contreras, Angela; Salinas, Francisco; Ganga, Angelica; Martinez, Claudio</t>
  </si>
  <si>
    <t>POLYMERASE CHAIN REACTION CONFIRMATORY METHOD FOR MICROBIOLOGICAL DETECTION OF BRETTANOMYCES BRUXELLENSIS IN WINES</t>
  </si>
  <si>
    <t>JOURNAL OF RAPID METHODS AND AUTOMATION IN MICROBIOLOGY</t>
  </si>
  <si>
    <t>Brettanomyces bruxellensis is one of the major causes of contamination in wine and is an important source of economic losses in this industry. In this work we developed a specific polymerase chain reaction (PCR) assay for the detection of B. bruxellensis to be used in the confirmation stage of the microbiological analysis. From a random amplification analysis using 40 primers in various B. bruxellensis strains and other yeasts that are generally present in must and wine, we designed the primers E09F and E09R that amplified a 450 bp product only in B. bruxellensis strains. We determined that the concentration of the PCR components and the annealing temperature are relevant factors in the PCR reaction, which was optimized using the response surface methodology. The protocol developed confirmed the contamination by B. bruxellensis in wines obtained from cellars, showing the capacity and speed of the technique to specifically confirm the results of the microbiological analysis.</t>
  </si>
  <si>
    <t>Ganga, Maria/S-8176-2019; Martinez, Claudio/MGS-9961-2025; Salinas, Francisco/W-3269-2017; Contreras, Angela/AAD-7854-2019</t>
  </si>
  <si>
    <t>Martinez, Claudio/0000-0001-8564-9287</t>
  </si>
  <si>
    <t>1060-3999</t>
  </si>
  <si>
    <t>1745-4581</t>
  </si>
  <si>
    <t>10.1111/j.1745-4581.2008.00137.x</t>
  </si>
  <si>
    <t>WOS:000261365100004</t>
  </si>
  <si>
    <t>Palma, G; Zambrano, D</t>
  </si>
  <si>
    <t>Palma, G.; Zambrano, D.</t>
  </si>
  <si>
    <t>Cluster-algorithm renormalization-group study of universal fluctuations in the two-dimensional Ising model</t>
  </si>
  <si>
    <t>PHYSICAL REVIEW E</t>
  </si>
  <si>
    <t>In this paper we propose a method to study critical systems numerically, which combines collective-mode algorithms and renormalization group on the lattice. This method is an improved version of the Monte Carlo renormalization group in the sense that it has all the advantages of cluster algorithms. As an application we considered the 2D Ising model and studied whether scale invariance or universality are possible underlying mechanisms responsible for the approximate universal fluctuations close to a so-called bulk temperature T-*(L). Universal fluctuations were first proposed in the work of Bramwell, Holdsworth, and Pinton [Nature (London) 396, 552 (1998)] and stated that the probability density function of a global quantity for very dissimilar systems, such as a confined turbulent flow and a two-dimensional (2D) magnetic system, properly normalized to the first two moments, becomes similar to the universal distribution, originally obtained for magnetization in the 2D XY model in the low-temperature region. The results for the critical exponents and the renormalization-group flow of the probability density function are very accurate and show no evidence to support that the approximate common shape of the PDF should be related to both scale invariance or universal behavior.</t>
  </si>
  <si>
    <t>Zambrano, David/AHA-0029-2022</t>
  </si>
  <si>
    <t>Zambrano, David/0000-0003-2772-1169</t>
  </si>
  <si>
    <t>1539-3755</t>
  </si>
  <si>
    <t>1550-2376</t>
  </si>
  <si>
    <t>10.1103/PhysRevE.78.061134</t>
  </si>
  <si>
    <t>WOS:000262240300046</t>
  </si>
  <si>
    <t>Millán, D; Domínguez, M; Rezende, MC</t>
  </si>
  <si>
    <t>Millan, Daniela; Dominguez, Moises; Rezende, Marcos Caroli</t>
  </si>
  <si>
    <t>Solvatochromic hydrazone anions derived from chalcones</t>
  </si>
  <si>
    <t>DYES AND PIGMENTS</t>
  </si>
  <si>
    <t>The preparation and solvatochromism of anions derived from the 2,4-dinitrophenylhydrazones of 1,3-diphenylpropenone, 1-phenyl-3-(4-nitrophenyl)propenone and 1-phenyl-3-(2-thienyl)propenone are described and their behaviour was interpreted in terms of theoretical calculations of their internal charge-transfer transitions. (c) 2007 Elsevier Ltd. All fights reserved.</t>
  </si>
  <si>
    <t>Domínguez, Moisés/M-3457-2014; Millan, Daniela/ABD-4398-2021; Caroli, Marcos/H-3570-2019</t>
  </si>
  <si>
    <t>Dominguez, Moises/0000-0002-8444-3065; Millan, Daniela/0000-0002-4264-7967; Rezende, Marcos/0000-0003-2040-9009</t>
  </si>
  <si>
    <t>0143-7208</t>
  </si>
  <si>
    <t>1873-3743</t>
  </si>
  <si>
    <t>10.1016/j.dyepig.2007.07.011</t>
  </si>
  <si>
    <t>WOS:000251488600027</t>
  </si>
  <si>
    <t>Rivas, LLS; Segura, JP; Flores, RM</t>
  </si>
  <si>
    <t>Rivas, L. Lay-Son; Segura, J. Pizarro; Flores, R. Meza</t>
  </si>
  <si>
    <t>Use of levetiracetam in the management of post-anoxic myoclonias. A report of two cases</t>
  </si>
  <si>
    <t>NEUROLOGIA</t>
  </si>
  <si>
    <t>0213-4853</t>
  </si>
  <si>
    <t>1578-1968</t>
  </si>
  <si>
    <t>WOS:000252672600011</t>
  </si>
  <si>
    <t>Vidal, R</t>
  </si>
  <si>
    <t>Vidal, R.</t>
  </si>
  <si>
    <t>Microsatellte evolution in rainbow trout and Atlantic salmon from Chile</t>
  </si>
  <si>
    <t>AQUACULTURE</t>
  </si>
  <si>
    <t>9th International Symposium on Genetics in Aquaculture</t>
  </si>
  <si>
    <t>JUN 26-30, 2006</t>
  </si>
  <si>
    <t>Montpellier, FRANCE</t>
  </si>
  <si>
    <t>Inst Francais Rech Exploitat Mer,Inst Natl Rech Agron,Ctr Cooperat Int Rech Argon Dev,CNRS,Syndicat Select Avicoles Aquacoles Francais</t>
  </si>
  <si>
    <t>0044-8486</t>
  </si>
  <si>
    <t>S315</t>
  </si>
  <si>
    <t>S316</t>
  </si>
  <si>
    <t>10.1016/j.aquaculture.2007.07.196</t>
  </si>
  <si>
    <t>WOS:000252083500206</t>
  </si>
  <si>
    <t>Urra, J; Sepúlveda, L; Contreras, E; Palma, C</t>
  </si>
  <si>
    <t>Urra, J.; Sepulveda, L.; Contreras, E.; Palma, C.</t>
  </si>
  <si>
    <t>Screening of static culture and comparison of batch and continuous culture for the textile dye biological decolorization by Phanerochaete chrysosporium</t>
  </si>
  <si>
    <t>The production of manganese dependent peroxidase (MnP) by Phanerochaete chrysosporium and the level of decolorization of 13 dyes were evaluated using static and agitated batch cultures and continuous cultures. A screening carried out under static conditions showed that the oxidative system has a certain affinity for azoic structures. For concentrations of 100 mg l(-1) of Acid Black 1, Reactive Black 5, Reactive Orange 16 and Acid Red 27, decolorization percentages higher than 90% were obtained. In batch cultures with Acid Black I and Reactive Black 5 a significant increment in primary post-metabolism biomass was observed. For these last two dyes, it was possible to explore the response of the continuous system during 32 to 47 days, with concentrations between 25 to 400 mg l(-1), obtaining decolorization percentages greater than 70% for 400 mg l(-1).</t>
  </si>
  <si>
    <t>Toloza, C/H-5501-2015</t>
  </si>
  <si>
    <t>JUL-SEP</t>
  </si>
  <si>
    <t>10.1590/S0104-66322006000300002</t>
  </si>
  <si>
    <t>WOS:000239563800002</t>
  </si>
  <si>
    <t>Alfaro, MD; Sepulveda, JM</t>
  </si>
  <si>
    <t>Chaotic behavior in manufacturing systems</t>
  </si>
  <si>
    <t>INTERNATIONAL JOURNAL OF PRODUCTION ECONOMICS</t>
  </si>
  <si>
    <t>17th International Conference on Production Research</t>
  </si>
  <si>
    <t>AUG, 2003</t>
  </si>
  <si>
    <t>Virginia Polytech Inst &amp; State Univ, Blacksburg, VA</t>
  </si>
  <si>
    <t>Virginia Polytech Inst &amp; State Univ</t>
  </si>
  <si>
    <t>In this article, we present a methodology derived from non-linear dynamic systems (NLDS) theory for analyzing the dynamic behavior of manufacturing systems. Some simple production systems are simulated, for which a chaotic behavior can be observed under certain dispatching rules and utilization levels. The dynamic behavior of a reactive system is studied; i.e., a system in which there is no previous schedule but jobs and operations are assigned to machines according to the state of the system. A discrete event model is used to represent the manufacturing system. (c) 2005 Elsevier B.V. All rights reserved.</t>
  </si>
  <si>
    <t>Sepulveda, Juan M./0000-0003-3755-0981; Alfaro, Miguel/0000-0002-1633-8853</t>
  </si>
  <si>
    <t>0925-5273</t>
  </si>
  <si>
    <t>10.1016/j.ijpe.2005.05.012</t>
  </si>
  <si>
    <t>WOS:000234645400012</t>
  </si>
  <si>
    <t>Sotes, GJ; Urzúa, A; Sebastián, B</t>
  </si>
  <si>
    <t>Chemistry of Pouteria splendens and its ecological situation</t>
  </si>
  <si>
    <t>BIOCHEMICAL SYSTEMATICS AND ECOLOGY</t>
  </si>
  <si>
    <t>Urzua, Alejandro/0000-0003-2638-0921</t>
  </si>
  <si>
    <t>0305-1978</t>
  </si>
  <si>
    <t>1873-2925</t>
  </si>
  <si>
    <t>10.1016/j.bse.2005.12.001</t>
  </si>
  <si>
    <t>WOS:000236563400008</t>
  </si>
  <si>
    <t>Perez, P; Rodriguez, P</t>
  </si>
  <si>
    <t>Longhurst, JWS; Brebbia, CA</t>
  </si>
  <si>
    <t>Perez, P.; Rodriguez, P.</t>
  </si>
  <si>
    <t>A model for PM2.5 forecasting in Santiago, Chile</t>
  </si>
  <si>
    <t>AIR POLLUTION XIV</t>
  </si>
  <si>
    <t>WIT Transactions on Ecology and the Environment</t>
  </si>
  <si>
    <t>14th International Conference on Modelling, Monitoring and Management of Air Pollution</t>
  </si>
  <si>
    <t>Wessex Inst Technol, New Forest, ENGLAND</t>
  </si>
  <si>
    <t>WIT Transact Ecol &amp; Environm</t>
  </si>
  <si>
    <t>Wessex Inst Technol</t>
  </si>
  <si>
    <t>Given the evidence that concentrations of the fine fraction of particulate matter in the atmosphere are more strongly associated with health problems than concentrations of the coarse fraction, it seems very likely that in the near future air quality in large cities will be defined more on the basis of PM2.5 concentrations rather than PM 10. We have developed a forecasting model for the maximum of the 24 hour moving average of PM2.5. The model is based on the neural network technique. Training is performed with historical data from four monitoring stations located in Santiago Chile and with relevant meteorological information in the city. Cross correlations between several candidate variables for input allowed the selection of a reduced number of them which are used in the final model. Results show that the developed model can be used as an operational tool for air quality management.</t>
  </si>
  <si>
    <t>Perez, Patricio/AAS-7390-2020</t>
  </si>
  <si>
    <t>Perez, Patricio/0000-0003-1234-4233</t>
  </si>
  <si>
    <t>1743-3541</t>
  </si>
  <si>
    <t>1-84564-165-5</t>
  </si>
  <si>
    <t>+</t>
  </si>
  <si>
    <t>10.2495/AIR06010</t>
  </si>
  <si>
    <t>WOS:000238644700010</t>
  </si>
  <si>
    <t>Tarride, MI</t>
  </si>
  <si>
    <t>Tarride, Mario Ivan</t>
  </si>
  <si>
    <t>A method for systems definition</t>
  </si>
  <si>
    <t>KYBERNETES</t>
  </si>
  <si>
    <t>Purpose - To design a method of systems definition that helps that task especially in the field of human activity systems. Design/methodology/approach - The design is carried out from a constructivist platform and on the basis provided by systemic axiomatic and the Le Moigne nine-level model. Findings - A method is offered as a result, which comprises the following stages: nomination of the system and those with which it interacts and are in the mediate and immediate environment; determination of what the system studied does, treating it as a black box; opening of the black box to know its internal structure and functions; identification of its regulatory mechanisms with their corresponding information flows; recognition of its decision, memorization, coordination, conception and closure subsystems; and distinction of the system's evolution. Research limitations/implications - The proposed method needs to be validated and improved, which is estimated to happen as long as it is used and receives feedback. Practical implications - The method gives organicity to the description of human activity systems, consequently aiding other tasks such as the organizational diagnosis and design. Originality/value - A new method of systems definition is proposed, especially thought to contribute to the understanding of human activity systems: organizations.</t>
  </si>
  <si>
    <t>0368-492X</t>
  </si>
  <si>
    <t>5-6</t>
  </si>
  <si>
    <t>10.1108/03684920610662395</t>
  </si>
  <si>
    <t>WOS:000238997900006</t>
  </si>
  <si>
    <t>Pedreschi, F; Hernández, P; Figueroa, C; Moyano, P</t>
  </si>
  <si>
    <t>Modeling water loss during frying of potato slices</t>
  </si>
  <si>
    <t>INTERNATIONAL JOURNAL OF FOOD PROPERTIES</t>
  </si>
  <si>
    <t>The effect of blanching and drying on water loss and oil uptake during potato slice frying was studied. Two pretreatments were carried out for the slices: (i) blanching in hot water at 85 degrees C for 3.5 min; (ii) blanching in hot water at 85 degrees C for 3.5 min and then, air-dried until a moisture content of 60% (wet basis) was obtained. A control treatment, consisting of unblanched potato slices not air-dried was also conducted. After the pretreatments, potato slices were deep-fried in sunflower oil at 120, 150, and 180 degrees C. With respect to the control treatment, blanching provided an increase while blanching-drying a decrease of the oil uptake. Two models, based on Fick's law, were used to describe water loss during frying. The first one is the classic model with an effective moisture diffusion coefficient, which assumed a constant value. The second model considers that the diffusion coefficient varies during the frying process. The variable diffusivity model adjusted the experimental data much better than the constant diffusivity model did. The effective moisture diffusion coefficient, in the variable diffusivity model, increased with frying time and temperature and behaved very similar for both control and blanched slices, while the increase of this coefficient was considerable higher for the blanched-dried slices. The development of a more porous structure with less oil content in the case of blanched-dried slices could explain this fact.</t>
  </si>
  <si>
    <t>1094-2912</t>
  </si>
  <si>
    <t>1532-2386</t>
  </si>
  <si>
    <t>10.1081/JFP-200059480</t>
  </si>
  <si>
    <t>WOS:000231829900011</t>
  </si>
  <si>
    <t>Rezende, MC; Flores, P; Guerrero, J; Villarroel, L</t>
  </si>
  <si>
    <t>An NMR study of merocyanine-type dyes derived from barbituric acid</t>
  </si>
  <si>
    <t>SPECTROCHIMICA ACTA PART A-MOLECULAR AND BIOMOLECULAR SPECTROSCOPY</t>
  </si>
  <si>
    <t>The C-13 NMR of two solvatochromic dyes derived from a barbituric acid acceptor and dimethylaminophenyl donor fragments, compound 1 and the related merocyanine 2, were recorded in various solvents. The observed chemical-shift variations were used to interpret their structural differences and solvatochromic behavior in solution. (C) 2003 Elsevier B.V. All rights reserved.</t>
  </si>
  <si>
    <t>Flores-Morales, Patricio/IAM-6261-2023; Caroli, Marcos/H-3570-2019</t>
  </si>
  <si>
    <t>Flores-Morales, Patricio/0000-0002-8330-3992; Rezende, Marcos/0000-0003-2040-9009</t>
  </si>
  <si>
    <t>1386-1425</t>
  </si>
  <si>
    <t>1873-3557</t>
  </si>
  <si>
    <t>10.1016/j.saa.2003.09.006</t>
  </si>
  <si>
    <t>WOS:000221893700029</t>
  </si>
  <si>
    <t>On covariant phase space and the variational bicomplex</t>
  </si>
  <si>
    <t>INTERNATIONAL JOURNAL OF THEORETICAL PHYSICS</t>
  </si>
  <si>
    <t>The notion of a phase space in classical mechanics is well known. The extension of this concept to field theory however, is a challenging endeavor, and over the years numerous proposals for such a generalization have appeared in the literature. In this paper We review a Hamiltonian formulation of Lagrangian field theory based on an extension to infinite dimensions of J.-M. Souriau's symplectic approach to mechanics. Following G. Zuckerman, we state our results in terms of the modern geometric theory of differential equations and the variational bicomplex. As an elementary example, we construct a phase space for the Monge - Ampere equation.</t>
  </si>
  <si>
    <t>0020-7748</t>
  </si>
  <si>
    <t>1572-9575</t>
  </si>
  <si>
    <t>10.1023/B:IJTP.0000048614.90426.2f</t>
  </si>
  <si>
    <t>WOS:000225192400007</t>
  </si>
  <si>
    <t>Olea, R</t>
  </si>
  <si>
    <t>Orality and relocation of subject in the production of two Chilean writers (Carmen Berenguer and Diamela Eltit)</t>
  </si>
  <si>
    <t>REVISTA DE CRITICA LITERARIA LATINOAMERICANA</t>
  </si>
  <si>
    <t>0252-8843</t>
  </si>
  <si>
    <t>10.2307/4531290</t>
  </si>
  <si>
    <t>WOS:000188225300013</t>
  </si>
  <si>
    <t>Henriquez, C; Lissi, E</t>
  </si>
  <si>
    <t>Evaluation of the extinction coefficient of the ABTS derived radical cation.</t>
  </si>
  <si>
    <t>The exact knowledge of the value of the extinction coefficient of the ABTS derived radical is necessary for its quantitative use in the evaluation of the antioxidant capacity of pure compounds and/or complex mixtures. We have performed experiments in order to stablish its lower and upper limits of its value. The limits obtained, 1.0 X 10(4) M-1 cm(-1) less than or equal to epsilon(734) less than or equal to 1.6 x 10(4) M-1 cm(-1) are fully compatible with previously reported data. However, the use of these values leads to large stoichiometric coefficients for the reaction of these radicals with simple substrates, such as monophenols or tryptophan.</t>
  </si>
  <si>
    <t>WOS:000180026700029</t>
  </si>
  <si>
    <t>Martinez, MM; Balocchi, E</t>
  </si>
  <si>
    <t>Design, development, implementation and evaluation of a cooperative learning environment to enhance performance in a general chemistry course.</t>
  </si>
  <si>
    <t>ABSTRACTS OF PAPERS OF THE AMERICAN CHEMICAL SOCIETY</t>
  </si>
  <si>
    <t>Martínez, Mª/R-9675-2019</t>
  </si>
  <si>
    <t>0065-7727</t>
  </si>
  <si>
    <t>APR 7</t>
  </si>
  <si>
    <t>595-CHED</t>
  </si>
  <si>
    <t>U247</t>
  </si>
  <si>
    <t>WOS:000176296701335</t>
  </si>
  <si>
    <t>Gramsch, E; Avila, RE; Ferrer, J; Bui, P</t>
  </si>
  <si>
    <t>Seibert, JA</t>
  </si>
  <si>
    <t>Evaluation of a planar process APD with a LSO scintillator to measure depth of interaction</t>
  </si>
  <si>
    <t>2001 IEEE NUCLEAR SCIENCE SYMPOSIUM, CONFERENCE RECORDS, VOLS 1-4</t>
  </si>
  <si>
    <t>IEEE Nuclear Science Symposium and Medical Imaging Conference</t>
  </si>
  <si>
    <t>IEEE Nuclear Science Symposium</t>
  </si>
  <si>
    <t>NOV 04-10, 2001</t>
  </si>
  <si>
    <t>SAN DIEGO, CA</t>
  </si>
  <si>
    <t>IEEE,Nucl Plasma Sci Soc</t>
  </si>
  <si>
    <t>We have evaluated the performance of an APD/LSO combination for use in PET systems. We have used a recently developed APD detector in combination with a 3 x 3 x 30 mm(3) LSO scintillator to measure the depth of interaction from Na-22 photons. The detectors were built using standard planar technology for silicon devices. Photodiodes with 3 mm diameter active area have been produced by deep boron diffusion, followed by shallow boron and phosphor diffusion. Because the structure has not been optimized yet, we only obtained gain of 6 at 1300 V. In spite of the low gain, we have obtained a resolution of 24% with a single APD and the 3 x 3 x 30 mm3 scintillator. The energy spectra acquired using two APDs connected to the small sides of the scintillator depends on the position of interaction and varies from 25 to 50%. The measurements allow to obtain the depth of interaction inside the crystal with an uncertainty of about 2 mm.</t>
  </si>
  <si>
    <t>Gramsch, Ernesto/M-5507-2017</t>
  </si>
  <si>
    <t>Gramsch, Ernesto/0000-0002-6787-7355</t>
  </si>
  <si>
    <t>1095-7863</t>
  </si>
  <si>
    <t>0-7803-7324-3</t>
  </si>
  <si>
    <t>10.1109/NSSMIC.2001.1009698</t>
  </si>
  <si>
    <t>WOS:000178495800194</t>
  </si>
  <si>
    <t>Solar, M; Inostroza, M</t>
  </si>
  <si>
    <t>IEEE COMPUTER SOCIETY; IEEE COMPUTER SOCIETY</t>
  </si>
  <si>
    <t>A parallel compiler scheduler</t>
  </si>
  <si>
    <t>SCCC 2001: XXI INTERNATIONAL CONFERENCE OF THE CHILEAN COMPUTER SCIENCE SOCIETY, PROCEEDINGS</t>
  </si>
  <si>
    <t>21st International Conference of the Chilean-Computer-Science-Society</t>
  </si>
  <si>
    <t>NOV 07-09, 2001</t>
  </si>
  <si>
    <t>PUNTA ARENAS, CHILE</t>
  </si>
  <si>
    <t>Informat Profess Assoc,Latin Amer Ctr Studies Informat,Iberoamer Cooperat Program Sci &amp; Technol,IEEE Comp Soc,Univ Magallanes,Univ Chile,Soc Chilena Ciencias Computac</t>
  </si>
  <si>
    <t>This paper presents a static scheduler which selects, from a set of scheduling algorithms, a subset of those which carry out the best assignment of a DAG representing an application program. To make that selection, some characteristics of the DAG, a decision model, and the evaluation parameters for choosing the best solution provided by the selected scheduling algorithms are defined. The selection of the scheduling algorithms is based on five decision levels. At each level, a subset of scheduling algorithms is selected. The final decision is made by carrying out an intersection operation between the subsets. When the scheduler was tested with a series of DAGs having different characteristics, the scheduler's decision was right 95% of the time in those cases in which the number of available processors is known, and 75% of the time when the number of processors is unbounded.</t>
  </si>
  <si>
    <t>Solar, Mauricio/AAE-9673-2020; Inostroza-Ponta, Mario/G-7548-2012</t>
  </si>
  <si>
    <t>Solar, Mauricio/0000-0002-4433-4622</t>
  </si>
  <si>
    <t>0-7695-1396-4</t>
  </si>
  <si>
    <t>10.1109/SCCC.2001.972655</t>
  </si>
  <si>
    <t>WOS:000172674500030</t>
  </si>
  <si>
    <t>Urzua, A; Modak, B; Villarroel, L; Torres, R; Andrade, L</t>
  </si>
  <si>
    <t>Comparative flavonoid composition of the resinous exudates from Heliotropium chenopdiaceum var. chenopodiaceum and H-chenopodiaceum var. ericoideum</t>
  </si>
  <si>
    <t>10.1016/S0305-1978(97)00096-3</t>
  </si>
  <si>
    <t>WOS:000073637100014</t>
  </si>
  <si>
    <t>Lopez, M; Velastin, SA; Rodriguez, M</t>
  </si>
  <si>
    <t>Papageorgiou, M; Pouliezos, A</t>
  </si>
  <si>
    <t>Passenger density measurement in a train carriage using image processing</t>
  </si>
  <si>
    <t>TRANSPORTATION SYSTEMS 1997, VOLS 1-3</t>
  </si>
  <si>
    <t>IFAC SYMPOSIA SERIES</t>
  </si>
  <si>
    <t>8th IFAC/IFIP/IFORS Symposium on Transportation Systems</t>
  </si>
  <si>
    <t>JUN 16-18, 1997</t>
  </si>
  <si>
    <t>TECH UNIV CRETE, DEPT PROD MANAGEMENT ENGN, KHANIA, GREECE</t>
  </si>
  <si>
    <t>Int Federat Automat Control, Tech Comm Transportat Syst,Int Federat Informat Proc,Int Federat Operat Res Soc,Int Federat Automat Control, Tech Comm Air Traff Control Automat,Int Federat Automat Control, Tech Comm Automot Control,Int Federat Automat Control, Tech Comm Marine Syst,Tech Chamber Greece</t>
  </si>
  <si>
    <t>TECH UNIV CRETE, DEPT PROD MANAGEMENT ENGN</t>
  </si>
  <si>
    <t>The paper illustrates some results of work within a research project which, under laboratory conditions, measured passenger density in an urban train carriage. First, it presents some details of the project and of the problem looked into, followed by a short literature review. Next a solution is described. The feasibility of measuring passenger density with appropriate accuracy is shown. Finally, a few concluding remarks are presented.</t>
  </si>
  <si>
    <t>VELASTIN, SERGIO ALEJANDRO/0000-0001-6775-7137</t>
  </si>
  <si>
    <t>0962-9505</t>
  </si>
  <si>
    <t>0-08-042931-9</t>
  </si>
  <si>
    <t>WOS:000075340900154</t>
  </si>
  <si>
    <t>AGUIRRE, MJ; PAEZ, MA; PAVEZ, JE</t>
  </si>
  <si>
    <t>KINETIC-STUDY OF OXYGEN REDUCTION IN ETHANOL-WATER MIXTURES ON GRAPHITE-ELECTRODES IN TERMS OF MARCUS THEORY</t>
  </si>
  <si>
    <t>Oxygen reduction on a highly oriented pyrolytic graphite in water-ethanol mixtures was studied by the rotating disk techniques. For ethanol concentrations between 15 and 50 v%, the current decreases progressively, which is associated with a gradual reduction in the ionic conductivity of the solution as the ethanol content increases. However, for ethanol concentrations between 50 and 75 v%, a sudden change in the current associated with oxygen is observed, the current increases and a displacement of the current maximum takes place. Relating the electrochemical data to Marcus's theory, such a behaviour is associated with a change from an inner-sphere to an outer-sphere mechanism. Further, in the kinetic interpretation, the role of the reorganizational energy is analyzed.</t>
  </si>
  <si>
    <t>Paez, Maritza/M-2010-2014; Aguirre, Maria/A-3935-2013; PAVEZ, JORGE/K-6904-2014</t>
  </si>
  <si>
    <t>PAVEZ, JORGE/0000-0002-5100-6707</t>
  </si>
  <si>
    <t>WOS:A1995RY08900009</t>
  </si>
  <si>
    <t>ENCINAS, MV; LISSI, EA; QUIROZ, J</t>
  </si>
  <si>
    <t>2',2'-AZOBIS(2-AMIDINOPROPANE) AS A PHOTOINITIATOR OF VINYL PYRROLIDONE POLYMERIZATION IN AQUEOUS-SOLUTION</t>
  </si>
  <si>
    <t>2',2'-Azobis(2-amidinopropane) (ABAP) is an efficient photoinitiator of vinyl pyrrolidone polymerization in aqueous solution. The polymerization rate (R(p)) is given by R(p)alpha(I(a))1/2[ABAP]1/2[M], where I(a) is the absorbed light intensity and [M] is the monomer concentration. The photoconsumption yield of the initiator is 0.36, and the photoinitiation efficiency is considerably higher than that for benzoin under similar conditions. These results can be explained in terms of a simple photocleavage followed by efficient addition of the derived radicals to the monomer.</t>
  </si>
  <si>
    <t>WOS:A1992HT53400004</t>
  </si>
  <si>
    <t>RUBIO, MA; LISSI, EA</t>
  </si>
  <si>
    <t>PHOTOOXIDATION OF ANTHRACENE-DERIVATIVES IN AOT HEPTANE REVERSED MICELLES</t>
  </si>
  <si>
    <t>The reactivity of different anthracene derivatives toward singlet oxygen has been studied in AOT reverse micelles in heptane as a function of the AOT concentration and w (w=water/AOT) ratio. The reactivity of 9,10-dimethylanthracene, a compound that can be assumed to remain in the heptane, is independent of both AOT and water concentration. For solutes totally incorporated to the micelles (anthracene carboxylic acid (AC-) and dimethyl ethyl-3-(9-anthryl)-propylammonium bromide (AN+)), the aromatic consumption rate is independent of AOT concentration but increases when w increases. The w dependence is larger for AC- than for AN+, a result that can be explained in terms of a displacement of AC- toward the micellar water pools. For this compound, the computed bimolecular rate constant becomes, at large w, very close to that obtained in bulk water. The reactivity of anthracene methanol (AM) changes both with the AOT concentration and w. The partition of AM between the micelles and the n-heptane pseudophase was obtained from quenching experiments employing Ru(bpy)3+2 as fluorescent probe. The 1O2-AM results can be explained in terms of partition of AM and an intramicellar bimolecular rate constant of 1.1 .times. 107 M-1 s-1. This value is larger than that obtained when ethanol is employed as solvent.</t>
  </si>
  <si>
    <t>Bajo, Maria/ABF-6991-2020</t>
  </si>
  <si>
    <t>1095-7103</t>
  </si>
  <si>
    <t>10.1016/0021-9797(89)90361-5</t>
  </si>
  <si>
    <t>WOS:A1989T700400018</t>
  </si>
  <si>
    <t>GUERRERO, P; TORRES, R</t>
  </si>
  <si>
    <t>AN UNUSUAL NORTRITERPENE FROM PORLIERIA-CHILENSIS JOHNST</t>
  </si>
  <si>
    <t>WOS:A1986F585500002</t>
  </si>
  <si>
    <t>JABALQUINTO, AM; CARDEMIL, E</t>
  </si>
  <si>
    <t>COMPARATIVE ASPECTS OF MEVALONATE METABOLISM IN RAT-LIVER AND KIDNEY</t>
  </si>
  <si>
    <t>COMPARATIVE BIOCHEMISTRY AND PHYSIOLOGY B-BIOCHEMISTRY &amp; MOLECULAR BIOLOGY</t>
  </si>
  <si>
    <t>0305-0491</t>
  </si>
  <si>
    <t>10.1016/0305-0491(82)90269-3</t>
  </si>
  <si>
    <t>WOS:A1982PP88700001</t>
  </si>
  <si>
    <t>VILLARROEL, LH; ZANLUNGO, AB</t>
  </si>
  <si>
    <t>POLYSACCHARIDES FROM CHILEAN SEAWEEDS .10. STRUCTURAL STUDIES ON THE PORPHYRAN FROM PORPHYRA-COLUMBINA (MONTAGNE)</t>
  </si>
  <si>
    <t>CARBOHYDRATE RESEARCH</t>
  </si>
  <si>
    <t>0008-6215</t>
  </si>
  <si>
    <t>10.1016/S0008-6215(00)84608-X</t>
  </si>
  <si>
    <t>WOS:A1981LB49700013</t>
  </si>
  <si>
    <t>ABDELMONEIM, ME</t>
  </si>
  <si>
    <t>PREDICTION FOR THE EXTENT OF SURFACE DAMAGE IN FINISH MACHINING</t>
  </si>
  <si>
    <t>MICROTECNIC</t>
  </si>
  <si>
    <t>0026-2854</t>
  </si>
  <si>
    <t>WOS:A1980JL22200007</t>
  </si>
  <si>
    <t>ABUIN, E; ENCINA, MV; DIAZ, S; LISSI, EA</t>
  </si>
  <si>
    <t>REACTIVITY OF DIETHYL HYDROXYL AMINE TOWARD FREE-RADICALS</t>
  </si>
  <si>
    <t>INTERNATIONAL JOURNAL OF CHEMICAL KINETICS</t>
  </si>
  <si>
    <t>0538-8066</t>
  </si>
  <si>
    <t>10.1002/kin.550100704</t>
  </si>
  <si>
    <t>WOS:A1978FN31100003</t>
  </si>
  <si>
    <t>ABUIN, E; CONTRERAS, E; GRUTTNER, E; LISSI, EA</t>
  </si>
  <si>
    <t>METHYL-METHACRYLATE POLYMERIZATION AT HIGH CONVERSION .1. INFLUENCE OF MOLECULAR-WEIGHT OF POLYMER PRODUCED</t>
  </si>
  <si>
    <t>JOURNAL OF MACROMOLECULAR SCIENCE-CHEMISTRY</t>
  </si>
  <si>
    <t>0022-233X</t>
  </si>
  <si>
    <t>A 11</t>
  </si>
  <si>
    <t>10.1080/00222337708061252</t>
  </si>
  <si>
    <t>WOS:A1977DP84900005</t>
  </si>
  <si>
    <t>LISSI, E</t>
  </si>
  <si>
    <t>ENTROPY PRODUCTION IN CHEMICALLY REACTING SYSTEMS</t>
  </si>
  <si>
    <t>CANADIAN JOURNAL OF CHEMISTRY-REVUE CANADIENNE DE CHIMIE</t>
  </si>
  <si>
    <t>0008-4042</t>
  </si>
  <si>
    <t>10.1139/v76-286</t>
  </si>
  <si>
    <t>WOS:A1976BZ88100001</t>
  </si>
  <si>
    <t>LISSI, EA; ALJARO, J</t>
  </si>
  <si>
    <t>METHYL METHACYTYLATE POLYMERIZATION IN PRESENCE OF IODINE</t>
  </si>
  <si>
    <t>JOURNAL OF POLYMER SCIENCE PART C-POLYMER LETTERS</t>
  </si>
  <si>
    <t>0887-6258</t>
  </si>
  <si>
    <t>10.1002/pol.1976.130140811</t>
  </si>
  <si>
    <t>WOS:A1976CA38500011</t>
  </si>
  <si>
    <t>Domínguez, C; Urrea, C</t>
  </si>
  <si>
    <t>Dominguez, Carlos; Urrea, Claudio</t>
  </si>
  <si>
    <t>Intelligent Fault-Tolerant Control of Delta Robots: A Hybrid Optimization Approach for Enhanced Trajectory Tracking</t>
  </si>
  <si>
    <t>The kinematic complexity and multi-actuator dependence of Delta-type manipulators render them vulnerable to performance degradation from faults. This study presents a novel approach to Active Fault-Tolerant Control (AFTC) for Delta-type parallel robots, integrating an advanced fault diagnosis system with a robust control strategy. In the first stage, a fault diagnosis system is developed, leveraging a hybrid feature extraction algorithm that combines Wavelet Scattering Networks (WSNs), Principal Component Analysis (PCA), Linear Discriminant Analysis (LDA), and Meta-Learning (ML). This system effectively identifies and classifies faults affecting single actuators, sensors, and multiple components under real-time conditions. The proposed AFTC approach employs a hybrid optimization framework that integrates Genetic Algorithms and Gradient Descent to reconfigure a Type-2 fuzzy controller. Results show that the methodology achieves perfect fault diagnosis accuracy across four classifiers and enhances robot performance by reducing critical degradation to moderate levels under multiple faults. These findings validate the robustness and efficiency of the proposed fault-tolerant control strategy, highlighting its potential for enhancing trajectory tracking accuracy in complex robotic systems under adverse conditions.</t>
  </si>
  <si>
    <t>Domínguez Acosta, Carlos/KBA-8477-2024; Claudio, URREA/KWU-1600-2024</t>
  </si>
  <si>
    <t>MAR 20</t>
  </si>
  <si>
    <t>10.3390/s25061940</t>
  </si>
  <si>
    <t>WOS:001453792900001</t>
  </si>
  <si>
    <t>Lobos, LOC; Carrasco, ERN</t>
  </si>
  <si>
    <t>Lobos, Lucia Odette Castillo; Carrasco, Elizabeth Rocio Nunez</t>
  </si>
  <si>
    <t>Between arepas and cazuelas:daily eating habits of the sons and daughters of Venezuelan migrant mothers in Chile</t>
  </si>
  <si>
    <t>POBLACION Y SALUD EN MESOAMERICA</t>
  </si>
  <si>
    <t>Introduction: The increase in Venezuelan migration, its tendency towards feminization, as well as the number of children and adolescents belonging to Venezuelan migrant families in Chile, invite an intercultural reflection on parenting practices, which involves feeding practices, given their health and social connotation. Methodology: Qualitative supported by the assumptions of symbolic interactionism. Semi-structured interviews were conducted, after signing informed consent, with 19 Venezuelan migrant mothers who met the defined inclusion criteria, between October 2021 and January 2022. The stories were subjected to thematic content analysis. Results: It was theorized around three categories of analysis, namely: identity heritage and integration of Chilean culinary culture, maternal deficiencies and assessment of food availability in Chile and the ambivalent relationship with the Chilean health system. Conclusions: Venezuelan mothers build a personal way of feeding their sons and daughters in Chile, based on the preservation of beliefs and traditions, and also from their experiences linked to the lack experienced in Venezuela, which draw a special appreciation of availability and access to food in the country. On the other hand, the integration of the knowledge learned in its interaction with Chilean society through health establishments is highlighted, which, for some of the participants, harbors tensions linked to the assimilationist practices exercised by the Chilean health system, through the imposition of hegemonic infant feeding practices far from an intercultural approach.</t>
  </si>
  <si>
    <t>1659-0201</t>
  </si>
  <si>
    <t>10.15517/psm.v22i1.59027</t>
  </si>
  <si>
    <t>WOS:001361732600004</t>
  </si>
  <si>
    <t>Vera, CG</t>
  </si>
  <si>
    <t>Vera, Cristian Garay</t>
  </si>
  <si>
    <t>Global Cold War. Chilean and Venezuelan military thought (1960-1970)</t>
  </si>
  <si>
    <t>TEMAS AMERICANISTAS</t>
  </si>
  <si>
    <t>1988-7868</t>
  </si>
  <si>
    <t>0212-4408</t>
  </si>
  <si>
    <t>10.12795/Temas-Americanistas.2024.i52.18</t>
  </si>
  <si>
    <t>WOS:001371367100018</t>
  </si>
  <si>
    <t>Livacic-Rojas, P; Rodríguez-Araneda, MJ</t>
  </si>
  <si>
    <t>Livacic-Rojas, Pablo; Jose Rodriguez-Araneda, Maria</t>
  </si>
  <si>
    <t>Validation and analysis of the metric properties of the Leadership Virtues Questionnaire in work and organizational psychologists and individuals who perform leadership functions in Chile</t>
  </si>
  <si>
    <t>PLOS ONE</t>
  </si>
  <si>
    <t>The literature on leadership and personal competencies exhibits limitations in terms of construct definition, behavior specifications and valid theory-based measuring strategies. An explanatory design with latent variables and the statistical software SAS 9.4 were used for the validation and adaptation to Spanish of the Leadership Virtues Questionnaire applied to work and organizational psychologists and people who exercise leadership functions in Chile. The levels of agreement between judges for the adaptation to the Spanish language and the confirmatory factor analysis of first order with four dimensions shows insufficient statistical indices for the absolute, comparative and parsimonious adjustments. However, a second-order confirmatory factor analysis with two dimensions presents a satisfactory fit for the item, model, and parameter matrices. The measurement of Virtuous Leadership would provide relevant inputs for further evaluation and training based on ethical competencies aimed at improving management, which would, in turn, allow for its treatment as an independent variable to generate an ethical organizational culture.</t>
  </si>
  <si>
    <t>Livacic-Rojas, Pablo/0000-0002-3694-7285; Rodriguez Araneda, Maria Jose/0000-0002-9007-4403</t>
  </si>
  <si>
    <t>1932-6203</t>
  </si>
  <si>
    <t>APR 18</t>
  </si>
  <si>
    <t>e0297906</t>
  </si>
  <si>
    <t>10.1371/journal.pone.0297906</t>
  </si>
  <si>
    <t>WOS:001207320100052</t>
  </si>
  <si>
    <t>Faure, A; Santa Cruz, E</t>
  </si>
  <si>
    <t>Faure, Antoine; Santa Cruz, Eduardo</t>
  </si>
  <si>
    <t>A courtly journalism. Press and society in 21st Century Chile</t>
  </si>
  <si>
    <t>COMUNICACION Y MEDIOS</t>
  </si>
  <si>
    <t>Faure, Antoine/M-7944-2019</t>
  </si>
  <si>
    <t>0716-3991</t>
  </si>
  <si>
    <t>0719-1529</t>
  </si>
  <si>
    <t>WOS:001416185400011</t>
  </si>
  <si>
    <t>Verdejo, H; Sebastian, R; Fucks, E; Vergara, D; Becker, C; Guzmán, G; Tobar, F; Zolezzi, J</t>
  </si>
  <si>
    <t>Verdejo, Humberto; Sebastian, Rafael; Fucks, Emiliano; Vergara, Diego; Becker, Cristhian; Guzman, Guillermo; Tobar, Francisco; Zolezzi, Juan</t>
  </si>
  <si>
    <t>Impact of COVID-19 quarantine measures on electricity consumption in the central-southern zone of Chile: A quasi-experimental study</t>
  </si>
  <si>
    <t>JOURNAL OF CLEANER PRODUCTION</t>
  </si>
  <si>
    <t>This paper investigates the causal effect of COVID-19 quarantine measures on the electricity consumption of different types of regulated customers. In particular, the average energy consumption of a group of customers in Chile is examined, exploiting the weekly variations in the application of the stages of the Step by Step Plan as a natural experiment. Step by Step Plan was the Chile COVID containment strategy, which involved implementing partial lockdowns based on the COVID incidence in the municipalities, and adjusted on a weekly basis. An econometric model is specified, and estimated using the technique Difference-in-Difference-in-Difference (DDD) to quantify the causal impact of these measures. After applying the model, it is found that the quarantine measures have had a negative effect on the trend weekly consumption of customers located in municipalities where some of the phases of the Plan have been applied. This effect is significantly different depending on each stage of the plan analysis, and statistically significant. It is also observed that, on average, the savings for a representative customer in the sample range from $8 to $6.15 for some municipalities, and the sample costs range from $0.02 to $0.26 for others, depending on the municipality analyzed. The results can be expressed in a total of 2.95 tons less CO2 emitted on a monthly basis. This shows a great impact in terms of sustainability and planning of energy demand and supply.</t>
  </si>
  <si>
    <t>Sebastian, Rafael/E-9386-2011</t>
  </si>
  <si>
    <t>, Cristhian Becker/0000-0001-6943-5086; Vergara Sepulveda, Diego Alonso/0009-0002-2129-7264; Zolezzi Cid, Juan Manuel/0009-0001-5377-0688; Fucks Jara, Emiliano/0000-0001-9348-5307</t>
  </si>
  <si>
    <t>0959-6526</t>
  </si>
  <si>
    <t>1879-1786</t>
  </si>
  <si>
    <t>JAN 1</t>
  </si>
  <si>
    <t>10.1016/j.jclepro.2023.140350</t>
  </si>
  <si>
    <t>DEC 2023</t>
  </si>
  <si>
    <t>WOS:001165939500001</t>
  </si>
  <si>
    <t>Gacitúa, D; González-Ibáñez, R</t>
  </si>
  <si>
    <t>Gacitua, Daniel; Gonzalez-Ibanez, Roberto</t>
  </si>
  <si>
    <t>LETICIA: A toolbox for search task deployment, execution, and user interaction logging on interactive information retrieval studies</t>
  </si>
  <si>
    <t>SOFTWAREX</t>
  </si>
  <si>
    <t>The analysis of search behaviors as proxies of users' cognitive and affective states - in the context of information seeking - is an active research topic on interactive information retrieval (IIR). This type of research requires specialized tools either to run new studies or to replicate previous ones. While several IIR studies have been conducted over the years, the required tools are not always available, making the replicability of such studies more difficult and expensive. To address this problem, in this article, we introduce LETICIA (simuLated sEarch Task deploy and InteraCtIon cApture platform), an open-source solution designed to deploy study designs, conduct them, and collect various types of data. LETICIA offers ready-to-use functionalities that can be customized to fit researchers' needs. These include a built-in search engine, a tool to build document collections, an application programming interface (API), a powerful data logger, and a session flow manager. LETICIA aims to be a contribution to the IIR community, offering a flexible yet simple tool to deploy environments to conduct user studies.(c) 2023 The Author(s). Published by Elsevier B.V. This is an open access article under the CC BY license (http://creativecommons.org/licenses/by/4.0/).</t>
  </si>
  <si>
    <t>2352-7110</t>
  </si>
  <si>
    <t>10.1016/j.softx.2023.101493</t>
  </si>
  <si>
    <t>WOS:001097091400001</t>
  </si>
  <si>
    <t>Gamboa, J; Méndez, F; Ramírez, R</t>
  </si>
  <si>
    <t>Gamboa, J.; Mendez, F.; Ramirez, R.</t>
  </si>
  <si>
    <t>Topological insulators in relativistic quantum mechanics</t>
  </si>
  <si>
    <t>INTERNATIONAL JOURNAL OF MODERN PHYSICS A</t>
  </si>
  <si>
    <t>By employing supersymmetric quantum mechanics, the analog of relativistic quantum mechanics for topological insulators is considered. The procedure determines the general structure of the spin-orbit coupling even though it constrains the coupling constant. Through analogies with nonelativistic quantum mechanics, we construct relativistic Hamiltonians that share properties of topological insulators. As an application of our results, we study in detail the nonabelian extension of the Dirac-Landau oscillator and relativistic scattering with a spin-orbit coupling term.</t>
  </si>
  <si>
    <t>0217-751X</t>
  </si>
  <si>
    <t>1793-656X</t>
  </si>
  <si>
    <t>APR 20</t>
  </si>
  <si>
    <t>10.1142/S0217751X23500604</t>
  </si>
  <si>
    <t>WOS:001018321900001</t>
  </si>
  <si>
    <t>Towards the sustainable massive food services: An optimization approach</t>
  </si>
  <si>
    <t>SOCIO-ECONOMIC PLANNING SCIENCES</t>
  </si>
  <si>
    <t>Two important aspects considered by the Sustainable Development Goals are global warming and malnutrition. On the one hand, global warming has had severe negative impacts on the life quality and the efficiency of several productive sectors. On the other hand, malnutrition is a complex issue worldwide, reaching around 60% of the population. In this setting, we conducted a literature review related to diet optimization problems, identifying five research challenges and two main mono-objective and multi-objective problems, providing insights about future work. Consequently, we address the mono-objective problem, introducing the sustainable diets design problem for the massive food services to explore the transformation of the massive food services towards more sustainable consumption patterns. Specifically, we formulate a quadratic mixed-integer programming (QMIP) model to minimize the CO2eq from the system subject to nutritional constraints, operational requirements, and cultural acceptability aspects by considering a bounded budget. Finally, we illustrate the usefulness of our proposal by considering one of the more important public universities in Latin America as a case study. The obtained results allow us to reduce 30.45% the CO2eq and 25.88% of the associated costs. This proposal is easily adaptable to other massive food services institutions such as geriatric services, hospitals, or schools.</t>
  </si>
  <si>
    <t>Espinoza Perez, Andrea Teresa/M-4426-2014</t>
  </si>
  <si>
    <t>Espinoza Perez, Andrea Teresa/0000-0002-6362-9100; Vasquez, Oscar C./0000-0002-1393-4692</t>
  </si>
  <si>
    <t>0038-0121</t>
  </si>
  <si>
    <t>1873-6041</t>
  </si>
  <si>
    <t>A</t>
  </si>
  <si>
    <t>10.1016/j.seps.2023.101554</t>
  </si>
  <si>
    <t>WOS:001011322200001</t>
  </si>
  <si>
    <t>Vidal, K; Aguilera, O; Tonko, J</t>
  </si>
  <si>
    <t>Vidal, Karla; Aguilera, Oscar; Tonko, Jose</t>
  </si>
  <si>
    <t>Kawesqar travel stories. Nomadic canoeists of Western Patagonia</t>
  </si>
  <si>
    <t>ESTUDIOS AVANZADOS</t>
  </si>
  <si>
    <t>0718-5022</t>
  </si>
  <si>
    <t>0718-5014</t>
  </si>
  <si>
    <t>WOS:001144754000009</t>
  </si>
  <si>
    <t>Pérez, LAE; Pérez, ATE; Vásquez, OC</t>
  </si>
  <si>
    <t>Espinoza Perez, Lorena A.; Espinoza Perez, Andrea T.; Vasquez, Oscar C.</t>
  </si>
  <si>
    <t>Exploring an alternative to the Chilean textile waste: A carbon footprint assessment of a textile recycling process</t>
  </si>
  <si>
    <t>Global population growth and rising living standards are increasing apparel consumption. Consequently, the consumption of resources and the generation of textile waste are increasing exponentially. For instance, according to the World Bank, Chile has increased textile imports by 500% in the last 20 years, even though the population has only increased by 26%. This textile import increase has resulted in the clothing desert that has been seen recently in northern Chile because most of the textiles at the end of their useful life will be disposed of in landfills or open dumps. This evidences the urgency of more efficient technologies that reduce the consumption of resources and that value waste on the way to a circular and sustainable economy. Since the textile recycling industry and environmental impact studies are currently in their nascent stages in Chile, the objective of this article is to explore the potential environmental benefits of a textile recycling process and, therefore, the related challenges towards more sustainable options. The considered textile recycling process incorporates mixed waste and is compared with landfills in terms of CO2eq because it represents the conventional treatment of waste and the substitution of products from primary sources. The results show that textile waste landfills emit 423.4 kg CO2eq per ton, while products from primary sources emit an average of 6496.65 kg CO2eq, compared to the textile recycling process that only it emits 1142.12 kg CO2eq per ton, obtaining an average of 5778 kg CO2eq avoided per ton of textile waste, achieving environmental benefits. However, it is necessary to highlight the dependence of this result on the choice of replaced products and the energy matrix. Thus, we assessed the energy matrix, evaluating the positive impact of implementing an energy matrix based on wind or solar energy.</t>
  </si>
  <si>
    <t>Espinoza, Lorena/GVU-7778-2022; Espinoza Perez, Andrea Teresa/M-4426-2014</t>
  </si>
  <si>
    <t>Vasquez, Oscar C./0000-0002-1393-4692; Espinoza Perez, Lorena/0000-0001-6737-8479; Espinoza Perez, Andrea Teresa/0000-0002-6362-9100</t>
  </si>
  <si>
    <t>JUL 15</t>
  </si>
  <si>
    <t>10.1016/j.scitotenv.2022.154542</t>
  </si>
  <si>
    <t>MAR 2022</t>
  </si>
  <si>
    <t>WOS:000794864500009</t>
  </si>
  <si>
    <t>Ramírez, RCO; Manríquez, MFR; Menichetti, RLU; Pastén, SEY; Ramos, SNC</t>
  </si>
  <si>
    <t>Ramirez, Roxana Cecilia Orrego; Manriquez, Manuel Fernando Rubio; Menichetti, Ricardo Luciano Ubeda; Pasten, Sixto Eduardo Yanez; Ramos, Stephanie Natalia Castillo</t>
  </si>
  <si>
    <t>Historical trajectory of the initial training of English teachers 1960 - 2019: the discourse of academics</t>
  </si>
  <si>
    <t>The origins of teacher training programs in Chile have not been addressed in depth apart from Vivanco's studies (2012, 2016). Even though these studies explore the development of these programs in Chile from a chronological perspective, there are no qualitative studies that consider senior academics' narrations. This qualitative study reconstructs the trajectory of teacher training programs in Chile from a series of interviews with 25 academics in charge of these programs. Results were analyzed in three different periods: 1960-1973, 1973-1990, and 1990 to 2019. Results, discussed in a political and academic context, reveal that these teacher training programs have evolved in a sociopolitical context, generating a series of tensions that substantially impact these training programs. The study finishes with the statement of a series of questions aimed at reflecting upon the state of the art in Chile's training programs.</t>
  </si>
  <si>
    <t>10.15443/RL3201</t>
  </si>
  <si>
    <t>WOS:000822540000001</t>
  </si>
  <si>
    <t>González, A; Ruz, O; Castillo, E</t>
  </si>
  <si>
    <t>Gonzalez, A.; Ruz, O.; Castillo, E.</t>
  </si>
  <si>
    <t>Numerical study of the fluid dynamics and heat transfer for shear-thinning nanofluids in a micro pin-fin heat sink</t>
  </si>
  <si>
    <t>CASE STUDIES IN THERMAL ENGINEERING</t>
  </si>
  <si>
    <t>The ability to enhance heat transfer rates of shear-thinning fluids in microchannel devices is evaluated numerically for steady and time-dependent flows in the range of 400 &lt; Re &lt; 2000. The geometry used represents a simplified micro pin-fin heat sink device with a staggered circular pin arrangement. The working fluids are composed by water and ethylene-glycol with different kinds of nanoparticles and concentrations. Four Newtonian and five non-Newtonian nanofluids are evaluated in detail, focusing on their rheological behavior, the heat extraction capacity, and the fluid dynamics developed for each flow condition. The nanofluids studied are extracted from experimental articles, and they are characterized as shear-thinning power-law ones with powerlaw indexes in the range 0.4946 &lt; n &lt; 0.69. Comparisons of heat-flux between the inlet and the outlet of the microchannel are investigated for nine different Reynolds numbers. Additionally, the pressure drop was evaluated for each case. The results show that the shear-thinning behavior of the nanofluids is the most critical factor in enhancing heat transfer rates due to the promotion of unsteady flows even for low Reynolds number values and a reduction of pressure drop. A large number of numerical tests are presented and carefully analyzed to justify our claims.</t>
  </si>
  <si>
    <t>Gonzalez, Amaru/0000-0003-4403-2154</t>
  </si>
  <si>
    <t>2214-157X</t>
  </si>
  <si>
    <t>10.1016/j.csite.2021.101635</t>
  </si>
  <si>
    <t>NOV 2021</t>
  </si>
  <si>
    <t>WOS:000720793100055</t>
  </si>
  <si>
    <t>Tarride, MI; Contreras, MI</t>
  </si>
  <si>
    <t>Ivan Tarride, Mario; Italo Contreras, Mario</t>
  </si>
  <si>
    <t>Toward a diagnostic method of organizational health based on traditional Chinese medicine</t>
  </si>
  <si>
    <t>Purpose The paper aims to propose a model and a comprehensive diagnostic method of organizational health status based on traditional Chinese medicine (TCM). Design/methodology/approach The methodology is qualitative/interpretive and uses of the concept of functional homomorphism of WR Ashby is used, establishing similarities between the way in which this ancient medicine considers the human being and their condition as healthy to transfer it to an organization that produces goods and/or services. Findings A healthy organization is conceived as one constituted by an association of people regulated by a set of norms based on certain purposes in a state of harmonious balance of their physical and energetic dimensions. In that the physical refers to storage functions, regulation and allocation of resources; transformation of raw materials and inputs into goods and services; waste disposal, distribution and coordination and with information systems for management control, while energy is associated with the ability to act with its management and policies. Research limitations/implications The current paper is a first theoretical proposal, which should be enriched with practical applications that feedback its conceptual formulation, thus contributing to its validation. Practical implications A comprehensive organizational diagnostic method is made available. Social implications The proposed method allows a comprehensive organizational diagnosis, considering the participation of all the actors that make up this type of social systems. Originality/value Although the methodological resource is old, the way it is used here is considered original, and it is also part of an original investigative process by the authors, oriented toward the search for comprehensive organizational diagnostic methods.</t>
  </si>
  <si>
    <t>Contreras Casassa, Mario Italo/0000-0001-6720-4305; Tarride, Mario Ivan/0000-0002-5549-0575</t>
  </si>
  <si>
    <t>1758-7883</t>
  </si>
  <si>
    <t>JAN 17</t>
  </si>
  <si>
    <t>10.1108/K-05-2021-0404</t>
  </si>
  <si>
    <t>WOS:000711077500001</t>
  </si>
  <si>
    <t>Pardo, SG</t>
  </si>
  <si>
    <t>Garcia Pardo, Santiago</t>
  </si>
  <si>
    <t>Disputes over identity. ?Mapuche or chileans? Relationships between mapuche organizations and the State during the dictatorship (1973-1986)</t>
  </si>
  <si>
    <t>IZQUIERDAS</t>
  </si>
  <si>
    <t>The article investigates the relations between the Mapuche organizations and the military dictatorship and how these were articulated in a dispute over identity through the use of the category of race. The project of nation and national identity that the military regime wanted to build is analyzed, with an idea of Chilean race in mind and the influence of neoliberal policies on it. In turn, moments of this relationship are studied in the Agrarian Counter-Reformation and Law Decree 2,568, which sought to legally eliminate the indigenous peoples. At this point, the actions of the organizations against the regime (Centros Culturales Mapuche, then Ad Mapu) in the face of this ethnocidal and colonial policy are studied, as well as the organization in favor of it (Consejo Regional Mapuche) which promoted the application of the law, paying attention to the disputes established between the organizations and the State, as well as the international ties that emerged in the process.</t>
  </si>
  <si>
    <t>0718-5049</t>
  </si>
  <si>
    <t>WOS:000706614500008</t>
  </si>
  <si>
    <t>Pailahueque, N; Reyes, A; Henríquez-Vargas, L; Gil, M; Castro, P; Bubnovich, V</t>
  </si>
  <si>
    <t>Pailahueque, N.; Reyes, A.; Henriquez-Vargas, L.; Gil, M.; Castro, P.; Bubnovich, V.</t>
  </si>
  <si>
    <t>Fluid dynamic analysis and residence time distribution determination for rectangular based spouted beds</t>
  </si>
  <si>
    <t>POWDER TECHNOLOGY</t>
  </si>
  <si>
    <t>Fluid dynamic characterization for a set of three serial rectangular based spouted beds (RBSB) using sawdust or turnip seeds, were made. In batch experiences, the minimum spouting velocity (U-ms) and the maximum pressure drop (Delta P-max) were determined based on the bed height and moisture content. With respect to the continuous solid feed experiences, initially the conditions that allowed the stationary operation for 1, 2 and 3 beds connected in series, were determined. Following, injecting colored particles and with an image analysis it was possible to determine the residence time distribution (RTD). When compared with expressions from literature, good agreement was found for U-ms, whereas for Delta P-max an expression is proposed that includes the sphericity of the particles. The RTDs were adjusted with the tank in series model, finding that the effects of solids feed rate, air flow and moisture content are significant for each solid RTD. (C) 2020 Elsevier B.V. All rights reserved.</t>
  </si>
  <si>
    <t>Pailahueque, Nicolas/GYA-3286-2022; Henríquez-Vargas, Luis/Q-3617-2019</t>
  </si>
  <si>
    <t>Pailahueque Barahona, Nicolas/0009-0006-3051-3888</t>
  </si>
  <si>
    <t>0032-5910</t>
  </si>
  <si>
    <t>1873-328X</t>
  </si>
  <si>
    <t>10.1016/j.powtec.2020.10.064</t>
  </si>
  <si>
    <t>WOS:000609427800011</t>
  </si>
  <si>
    <t>Lacoste, P</t>
  </si>
  <si>
    <t>Vera, CG; Figueroa, CT</t>
  </si>
  <si>
    <t>Lacoste, Pablo</t>
  </si>
  <si>
    <t>Argentina's foreign policy and Estanislao Zeballos</t>
  </si>
  <si>
    <t>RELACIONES INTERNACIONALES REGIONALES DE CHILE HACIA 1904</t>
  </si>
  <si>
    <t>978-956-6095-25-5</t>
  </si>
  <si>
    <t>10.26448/ae9789566095255.11</t>
  </si>
  <si>
    <t>WOS:000762754900002</t>
  </si>
  <si>
    <t>Munoz, M; Chavez, H</t>
  </si>
  <si>
    <t>Munoz, Maria; Chavez, Hector</t>
  </si>
  <si>
    <t>Mini-Hydraulic Generation System for Puerto Eden, Chile</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</si>
  <si>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</si>
  <si>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</si>
  <si>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</si>
  <si>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</si>
  <si>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In general, isolated locations are a challenge to provide electrical power. One of these places is Puerto Eden, in Chile, which has a very restrictive electricity service based on Diesel Generation. However, the geographical location has a hydroelectric potential that is not well exploited. This paper presents a case study on the design of a micro hydroelectric plant for Puerto Eden. Calculations of basic parameters for design, estimation of electrical consumption through statistical curves and the process for choosing electromechanical equipment are show. Finally, the design is checked using a simulation in Digsilent. The idea is to provide a baseline approach to isolated locations with hydroelectric potential and to help the Puerto Eden community to understand the resources available to them.</t>
  </si>
  <si>
    <t>Muñoz, Maria/T-6318-2019</t>
  </si>
  <si>
    <t>978-1-6654-0873-8</t>
  </si>
  <si>
    <t>10.1109/CHILECON54041.2021.9702918</t>
  </si>
  <si>
    <t>WOS:000788072700086</t>
  </si>
  <si>
    <t>Radrigán, M; Rodríguez, AMD; Tobar, JB</t>
  </si>
  <si>
    <t>Radrigan, Mario; Davila Rodriguez, Ana Maria; Bellei Tobar, Julian</t>
  </si>
  <si>
    <t>School cooperatives as a way to promote the associative entrepreneurial capacity of children and youth</t>
  </si>
  <si>
    <t>REVESCO-REVISTA DE ESTUDIOS COOPERATIVOS</t>
  </si>
  <si>
    <t>This article corresponds to the systematization of a historical experience of almost 20 years of promotion of the model of school cooperatives in Chile, which began in 1998 with the support of the Cooperativa de Ahorro y Credito COOPEUCH, and which was initially promoted by the Program Interdisciplinary of Associative Studies, PROASOCIA, of the University of Chile and later by the International Social Economy Center of the University of Santiago de Chile, which has always had the purpose of bringing the cooperative business model to the new generations that are immersed in the school environment, and that in this way they can experience directly and practically a socially oriented entrepreneurial initiative. This article presents the first longitudinal systematization that is carried out of this initiative and that also reflects on the different critical dimensions that relate to this type of experiences, such as, for example, the age of the participants, the level of involvement of the directors of the schools, the relation with the school curriculum and the perceptions that the own students have of their own initiatives, generating with them recommendations for the impulse of the processes of promotion of the emprendimiento at scholastic level.</t>
  </si>
  <si>
    <t>Sanchez Rodriguez, Ana/AAY-1734-2021</t>
  </si>
  <si>
    <t>1885-8031</t>
  </si>
  <si>
    <t>1135-6618</t>
  </si>
  <si>
    <t>10.5209/REVE.69188</t>
  </si>
  <si>
    <t>WOS:000606843100005</t>
  </si>
  <si>
    <t>Flores, RR; Domínguez, MJ</t>
  </si>
  <si>
    <t>Rojas Flores, Ricardo; Jamett Dominguez, Marcela</t>
  </si>
  <si>
    <t>Real time automatic face recognition system using LBPH technique</t>
  </si>
  <si>
    <t>The aim of this paper is the development of a facial recognition system, implemented through software, using Python and OpenCV. Haarcascade and LBPH techniques are applied in the preprocessing, training, and recognition of faces from various databases and images obtained from a webcam. The main successful and unsuccessful results are presented, as well as the analysis of the training time for different amounts of images and organization in folders.</t>
  </si>
  <si>
    <t>Jamett, Marcela/HLH-3427-2023</t>
  </si>
  <si>
    <t>10.1109/CHILECON54041.2021.9702960</t>
  </si>
  <si>
    <t>WOS:000788072700119</t>
  </si>
  <si>
    <t>Abugattas, C; Aguirre, A; Castillo, E; Cruchaga, M</t>
  </si>
  <si>
    <t>Abugattas, C.; Aguirre, A.; Castillo, E.; Cruchaga, M.</t>
  </si>
  <si>
    <t>Numerical study of bifurcation blood flows using three different non-Newtonian constitutive models</t>
  </si>
  <si>
    <t>APPLIED MATHEMATICAL MODELLING</t>
  </si>
  <si>
    <t>In this work, a variational multiscale finite element formulation is used to study bifurcation flows of non-Newtonian fluids, using a representative simplified Carotid Artery geometry. In particular, the flow pattern and wall shear stress (WSS) computed using power-law, Cross, and Carreau-Yasuda models, are assessed. First, the formulation is validated by contrasting simulations of a benchmark test for bifurcation flows reported in the literature. After that, a study of blood flow through the carotid artery is presented. Hemodynamics conditions aimed to describe the flow behavior from diastole to systole of the cardiac cycle for healthy arteries and two specific conditions (60% carotid stenosis due to atherosclerosis and 20% increased bifurcation angle due to aging), are specifically analyzed. For each condition, the hemodynamics present different velocity fields that lead to distinctive distribution of WSS enable us to classified three regions, depending on their magnitude: low-WSS, medium-WSS and high-WSS. Results show that power-law flows predict lower wall shear stresses, especially in sections where geometry concentrates stresses, compared to those predicted using Cross and Carreau-Yasuda models. Overall, low-WSS are usually present in zones where stenosis develops even in healthy arteries, however, both geometries lead to a decrease of WSS magnitude in low-WSS regions, increasing the risk factor associated with plaque building. (C) 2020 Elsevier Inc. All rights reserved.</t>
  </si>
  <si>
    <t>Cruchaga, Marcela/M-7522-2014</t>
  </si>
  <si>
    <t>Aguirre, Alejandro/0000-0003-0638-5258</t>
  </si>
  <si>
    <t>0307-904X</t>
  </si>
  <si>
    <t>1872-8480</t>
  </si>
  <si>
    <t>10.1016/j.apm.2020.06.066</t>
  </si>
  <si>
    <t>WOS:000568770800007</t>
  </si>
  <si>
    <t>Nava, RA; Morales, DM; Abufhele, M; González, PC</t>
  </si>
  <si>
    <t>Allendes Nava, Ricardo; Morales, Dorys M.; Abufhele, Marcela; Gonzalez, Patricia C.</t>
  </si>
  <si>
    <t>PARENTAL STRESS IN PARENTS OF CHILDREN AND YOUTH WITH NEURODEVELOPMENTAL DISORDERS ACROSS TWO CLINICAL SETTINGS IN SANTIAGO, CHILE</t>
  </si>
  <si>
    <t>JOURNAL OF THE AMERICAN ACADEMY OF CHILD AND ADOLESCENT PSYCHIATRY</t>
  </si>
  <si>
    <t>67th Virtual Annual Meeting of the American-Academy-of-Child-and-Adolescent-Psychiatry (AACAP)</t>
  </si>
  <si>
    <t>OCT 12-24, 2020</t>
  </si>
  <si>
    <t>Amer Acad Child &amp; Adolescent Psychiat</t>
  </si>
  <si>
    <t>0890-8567</t>
  </si>
  <si>
    <t>1527-5418</t>
  </si>
  <si>
    <t>S208</t>
  </si>
  <si>
    <t>10.1016/j.jaac.2020.08.264</t>
  </si>
  <si>
    <t>WOS:000579844101111</t>
  </si>
  <si>
    <t>Arellano, SE</t>
  </si>
  <si>
    <t>Estrada Arellano, Sergio</t>
  </si>
  <si>
    <t>Silences of a History: Approaches to the Use of Silence as a Source of Historiography</t>
  </si>
  <si>
    <t>This article is built from two investigative experiences on topics related to the Pinochet dictatorship, marked by silence and the lack of information, which, as an insurmountable limit for historiography, have generally been eluded by researchers, who, in the absence of material, have had to search other sources of information or reread the existing one from another point of view. Under this premise, silence being an element that enables the reflection and transformation of the discipline, the proposal of this work is to suggest, through the author's own investigative experience, clues and guidelines from which to confront silence as a source for historiography, in order to establish mechanisms to understand and interpret it from its own prohibited content.</t>
  </si>
  <si>
    <t>10.35588/rea.v1i33.4670</t>
  </si>
  <si>
    <t>WOS:000581929300005</t>
  </si>
  <si>
    <t>Calderón, CF; Neira, GE; Flórez-Méndez, J</t>
  </si>
  <si>
    <t>Flores Calderon, Corina; Entrala Neira, Gabriela; Florez-Mendez, Jennyfer</t>
  </si>
  <si>
    <t>Evaluation of food habits, physical activity and nutritional status in students 4 to 13 years of age in Llanquihue, Chile</t>
  </si>
  <si>
    <t>REVISTA CHILENA DE NUTRICION</t>
  </si>
  <si>
    <t>General data from the Junta Nacional de Auxilio Escolar y Becas (National School Grant and Scholarship Agency), indicate that the Los Lagos region ranks second in Chile for highest prevalence of overweight and obesity. The objective of this study was to evaluate eating habits and physical activity in Llanquihue, Los Lagos region. We evaluated eating habits and physical activity among 181 students between 4 and 13 years of age who were part of a larger sample (n= 1045) in which nutritional status was determined. Nutritional status was classified as normal, overweight, and obese, and was determined according to standards and regulations of the Ministry of Health. The results indicate that a majority of the students surveyed ate lunch at school, consumed foods high in refined sugar, packaged processed products, and junk food at least once a week. 58.6% of respondents did not engage in extra-programmatic physical activity. Finally, 29.4% of the total sample were overweight and 26.2% were obese. It can be concluded that eating and physical activity habits do not contribute to reversing the excess malnutrition figures detected in this study.</t>
  </si>
  <si>
    <t>Florez Mendez, Jennyfer/0000-0003-1515-6262</t>
  </si>
  <si>
    <t>0717-7518</t>
  </si>
  <si>
    <t>10.4067/S0717-75182020000400612</t>
  </si>
  <si>
    <t>WOS:000577089200009</t>
  </si>
  <si>
    <t>Gonzalez-Ibanez, R; Kohler, J; Gaete-Flores, E; Estay-Cabello, F; Pollmann-Stocker, A; Catalan-Alvarez, J</t>
  </si>
  <si>
    <t>Gonzalez-Ibanez, Roberto; Kohler, Jacqueline; Gaete-Flores, Esteban; Estay-Cabello, Fernanda; Pollmann-Stocker, Angus; Catalan-Alvarez, Jonathan</t>
  </si>
  <si>
    <t>MOTIONS: Exploring Human-Information Interactions Beyond Clicks</t>
  </si>
  <si>
    <t>2020 39TH INTERNATIONAL CONFERENCE OF THE CHILEAN COMPUTER SCIENCE SOCIETY (SCCC)</t>
  </si>
  <si>
    <t>Proceedings of the International Conference of the Chilean Computer Science Society</t>
  </si>
  <si>
    <t>39th International Conference of the Chilean-Computer-Science-Society (SCCC)</t>
  </si>
  <si>
    <t>NOV 16-20, 2020</t>
  </si>
  <si>
    <t>Univ Catolica Norte, ELECTR NETWORK</t>
  </si>
  <si>
    <t>Chilean Comp Sci Soc,IEEE Chile Sect C Chapter</t>
  </si>
  <si>
    <t>Univ Catolica Norte</t>
  </si>
  <si>
    <t>Köhler, Jacqueline/HOC-7820-2023</t>
  </si>
  <si>
    <t>Kohler, Jacqueline/0000-0002-9506-2989</t>
  </si>
  <si>
    <t>1522-4902</t>
  </si>
  <si>
    <t>978-1-7281-8328-2</t>
  </si>
  <si>
    <t>WOS:000848755600064</t>
  </si>
  <si>
    <t>Ruiz, PH; Lara, LH</t>
  </si>
  <si>
    <t>Hurtado Ruiz, Pablo; Hachim Lara, Luis</t>
  </si>
  <si>
    <t>The national Creole project in Memoires by Tupac Amaru and Autobiography by Manzano</t>
  </si>
  <si>
    <t>ANCLAJES</t>
  </si>
  <si>
    <t>Juan Bautista Tupac Amaru and Juan Francisco Manzano's narratives demonstrate their authors' suffering vis-a-vis the injustices they experienced. However, both narratives are mediated by the Creole political elite, both in Argentina and Cuba, in support of the nation-state being forged at the turn of the 19th century.Upon analyzing their statements, the narratives of these two men, one of native Indian heritage and the other of African descent, appear to have undergone a suspicious acculturation in an effort to build a utopian national unity conceived by white criollos.</t>
  </si>
  <si>
    <t>0329-3807</t>
  </si>
  <si>
    <t>1851-4669</t>
  </si>
  <si>
    <t>10.19137/anclajes-2020-2413</t>
  </si>
  <si>
    <t>WOS:000576187200003</t>
  </si>
  <si>
    <t>Köller, J; Bello-Robles, FA; Jara, JL</t>
  </si>
  <si>
    <t>Koller, Jacqueline; Bello-Robles, Felipe Andres; Jara, Jose Luis</t>
  </si>
  <si>
    <t>Predictive model for estimating internal transfer of Informatics Engineering students</t>
  </si>
  <si>
    <t>Köhler, Jacqueline/HOC-7820-2023; Jara, Jose/J-7254-2015</t>
  </si>
  <si>
    <t>WOS:000848755600051</t>
  </si>
  <si>
    <t>Orrego, R; Singer, N; Ubeda, R; Yaiciez, S</t>
  </si>
  <si>
    <t>Orrego, Roxana; Singer, Nestor; Ubeda, Ricardo; Yaiciez, Sixto</t>
  </si>
  <si>
    <t>FREQUENCY AND CRITERIA FOR USING CORRECTIVE FEEDBACK: A CASE STUDY ON UNIVERSITY STUDENTS' AND LECTURERS' PERCEPTIONS</t>
  </si>
  <si>
    <t>RLA-REVISTA DE LINGUISTICA TEORICA Y APLICADA</t>
  </si>
  <si>
    <t>This study explores students' and teachers' perceptions towards corrective feedback knowledge, criteria and frequency of use performed by teachers to address grammar errors in English language course units. This research is based on the result analysis of previous studies that have examined types of corrective feedback received by second language (SL) learners (Lyster y Ranta,1997; Sheen, 2004), the extent of noticing it and its uptake Mackey, et al. (2003); Philp (2003), and the conceptualisation of the corrective feedback as a systematic answer to wrong utterances, either implicitly or explicitly (Ellis, R., Loewen, S. y Erlam, R., 2006; Pawlak, 2014). Two data collection methods were used to carry out this research, i.e. a survey and a semi structured interview delivered in focus groups. The first was applied to four levels of learners of an English language teaching programme and the teachers teaching English language of the same programme. Then a semi structured interview was conducted to delve into those representations. Preliminary results show students recognise there is certain coherence between the types of correctives used and their appropriateness. However, data reflect that fifth-year learners and some teachers hold their own representations towards corrective feedback which are inconsistent with the available literature. It is concluded that these findings support the claim that teacher development programmes on SL corrective feedback strategies and methodologies are necessary.</t>
  </si>
  <si>
    <t>Singer, Néstor/I-3200-2019</t>
  </si>
  <si>
    <t>Singer, Nestor/0000-0001-7772-9906</t>
  </si>
  <si>
    <t>0718-4883</t>
  </si>
  <si>
    <t>10.4067/S0718-48832019000100051</t>
  </si>
  <si>
    <t>WOS:000477796900004</t>
  </si>
  <si>
    <t>Urzúa-Leiva, R; Pino-Rios, R; Cárdenas-Jirón, G</t>
  </si>
  <si>
    <t>Urzua-Leiva, Rodrigo; Pino-Rios, Ricardo; Cardenas-Jiron, Gloria</t>
  </si>
  <si>
    <t>The influence of antenna and anchoring moieties on the improvement of photoelectronic properties in Zn(ii)-porphyrin-TiO2 as potential dye-sensitized solar cells</t>
  </si>
  <si>
    <t>PHYSICAL CHEMISTRY CHEMICAL PHYSICS</t>
  </si>
  <si>
    <t>A systematic study for the rational design of porphyrins (P4 spider-shaped derivatives) with potential application in dye-sensitized solar cells is presented. Using density functional theory (DFT) (B3LYP/6-31G*) and time-dependent DFT (M06/6-31G*) we show that the UV-vis absorption properties of a spider-shaped Zn(ii) porphyrin, previously synthesized by Stangel et al., may be greatly improved by applying some push-pull strategies in meso positions. We found that the selected triphenylamine push group induces a remarkable improvement in the absorption bands of P4 spider-shaped derivatives. The pull effect reached through the -electron-rich phenyl group and the benzodithiazole (BTD) group allowed the Q bands to be red-shifted up to 689 nm, much longer than the 593 nm reported experimentally for the original spider-shaped porphyrin. The adsorption results of the P4 spider-shaped derivatives onto a TiO2-anatase surface model [Ti16O34H4] through the carboxylic acid group showed that the adsorptions energies were favourable and very similar in all cases. Natural bond orbitals (NBO) indicated a two-center bond (BD) O(carboxyl)-Ti(TiO2) for the porphyrin with the highest adsorption energy (8.27 kcal mol(-1)), and donor acceptor interactions from LP O(carboxyl) to Ti(TiO2) for the other porphyrins. The natural transition orbitals (NTO) for P4-derivatives-TiO2 confirm the nature of the excited states associated with Q and Soret bands. Finally, the frontier molecular orbitals revealed charge-separated states between those occupied and unoccupied, indicating a favourable charge-transfer process between the dyes and the surface conduction bands. In conclusion, this work showed a systematic study based on the push-pull strategy that improves the performance of porphyrins with the purpose to be used in dye-sensitized solar cells.</t>
  </si>
  <si>
    <t>Urzua-Leiva, Rodrigo/Y-9809-2018; Cardenas-Jiron, Gloria/H-9508-2012</t>
  </si>
  <si>
    <t>Urzua-Leiva, Rodrigo/0000-0002-6953-2721; Cardenas-Jiron, Gloria/0000-0003-4305-8088; Pino Rios, Ricardo/0000-0003-4756-1115</t>
  </si>
  <si>
    <t>1463-9076</t>
  </si>
  <si>
    <t>1463-9084</t>
  </si>
  <si>
    <t>FEB 28</t>
  </si>
  <si>
    <t>10.1039/c8cp06988c</t>
  </si>
  <si>
    <t>WOS:000461722500020</t>
  </si>
  <si>
    <t>Gonzalez, C; Chavez, H</t>
  </si>
  <si>
    <t>Gonzalez, Carlos; Chavez, Hector</t>
  </si>
  <si>
    <t>The Andean regional electricity market: Energy trade opportunities in the south cone</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</si>
  <si>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</si>
  <si>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</si>
  <si>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</si>
  <si>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</si>
  <si>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</si>
  <si>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In 2018, the Andean Community of Nations created The Andean Regional Electricity Market, in order for the countries within the community to trade electricity in a regulated and agreed manner. This work describes the details of the new regulatory framework for energy trade and presents an illustrative example to model the expected electricity flows in various scenarios.</t>
  </si>
  <si>
    <t>978-1-7281-3185-6</t>
  </si>
  <si>
    <t>WOS:000542919100150</t>
  </si>
  <si>
    <t>Lara-Diaz, MA</t>
  </si>
  <si>
    <t>Cirocki, A; Madyarov, I; Baecher, L</t>
  </si>
  <si>
    <t>Lara-Diaz, Manuel Alejandro</t>
  </si>
  <si>
    <t>A TESOL Practicum in Chile</t>
  </si>
  <si>
    <t>CURRENT PERSPECTIVES ON THE TESOL PRACTICUM: CASES FROM AROUND THE GLOBE</t>
  </si>
  <si>
    <t>Educational Linguistics</t>
  </si>
  <si>
    <t>This chapter describes the TESOL practicum implemented by Universidad de Santiago de Chile. It begins by addressing the context in which English is taught and learnt in Chile and the implementation of national policies to improve the quality of instruction, including the development of standards for the awarding of teaching status to newly-qualified teachers. The TESOL practicum at Universidad de Santiago de Chile aids pre-service teachers' smooth transition into the school system with the support of university-based supervisors and collaborative teachers from the host schools. Various tasks trainees are asked to perform attempt to foster a continuous reflective practice leading to teacher autonomy in the classroom. The described teaching practicum has advantages, such as the positive views that host teachers and school authorities have concerning the trainees' teaching skills and their knowledge of TESOL methods. The author has also identified some areas of improvement, including the need to standardise practices and knowledge of assessment criteria by providing formal instruction to all host teachers. Also, it would be useful to implement trainees' formal assessment of their teaching practicum experience. It was noticed that such improvements require the allocation of additional resources by the university, thus creating stronger links with practicum centres.</t>
  </si>
  <si>
    <t>1572-0292</t>
  </si>
  <si>
    <t>978-3-030-28756-6; 978-3-030-28755-9</t>
  </si>
  <si>
    <t>10.1007/978-3-030-28756-6_4</t>
  </si>
  <si>
    <t>10.1007/978-3-030-28756-6</t>
  </si>
  <si>
    <t>WOS:000672492900005</t>
  </si>
  <si>
    <t>BALMACEDA'S CONSTITUTIONAL AND FINANCIAL REFORM DURING CHILEAN POLITICAL CRISIS, 1890-1891</t>
  </si>
  <si>
    <t>REVISTA CHILENA DE DERECHO</t>
  </si>
  <si>
    <t>The article analyzes the institutional and financial reform agenda proposed by President Jose Manuel Balmaceda between 1890 and 1891. Based on a review of press media and congressional records, the article shows that since 1890 the balmacedismo promoted a constitutional and financial reform aiming to extricate the Executive branch from the Congress and its control through parliamentarian practices.</t>
  </si>
  <si>
    <t>0718-3437</t>
  </si>
  <si>
    <t>WOS:000457386700002</t>
  </si>
  <si>
    <t>Singer, N; Rubio, M; Rubio, R</t>
  </si>
  <si>
    <t>Singer, Nestor; Rubio, Manuel; Rubio, Raquel</t>
  </si>
  <si>
    <t>Translation students' representations in the learning process of a foreign language</t>
  </si>
  <si>
    <t>ONOMAZEIN</t>
  </si>
  <si>
    <t>This article explores language learners' subjectivity in the context of a translator training programme and systematises a related didactic experience. As starting point, learners are regarded as digital natives (Prensky, 2001; Helpsper &amp; Enyon, 2009) who consume multimodal texts (Kress, 2010; Kress &amp; Van Leeuwen, 2001) and must develop their intercultural communicative competence (Byram, 1997; Johnson, 2004). The methodology presents a qualitative focus with two phases: i) a study on representations of which participants were 14 first-year students distributed in three groups, and ii) a systematisation of the implementation of a didactic sequence focused on the restructuring of third-year students' representations. The results indicate that participants conceive foreign language mastery as systematic and discursive knowledge in real contexts of communication with native speakers, which is validated by the possibility of physical and symbolic transition to the culture where the language is spoken. Both learning and teaching are validated mostly by the proper use of productive skills. The systematization, in phase two, evidences that it is possible to incorporate students' representations in the teaching and learning processes. It is concluded that students' representations present contradictory elements, highlight writing as the utmost skill and point out formal aspects of language. In addition, learners identify virtual navigation and access to multimodal material as learning spaces outside the classroom which demand that they assume a protagonist role.</t>
  </si>
  <si>
    <t>Singer, Néstor/I-3200-2019; Rubio, Amalia/L-1992-2017</t>
  </si>
  <si>
    <t>Rubio, Manuel/0000-0003-2314-1781</t>
  </si>
  <si>
    <t>0717-1285</t>
  </si>
  <si>
    <t>0718-5758</t>
  </si>
  <si>
    <t>10.7764/onomazein.39.10</t>
  </si>
  <si>
    <t>WOS:000439446700012</t>
  </si>
  <si>
    <t>Adasme, P; San Juan, E; Soto, I; Valdés, F</t>
  </si>
  <si>
    <t>Adasme, Pablo; San Juan, Enrique; Soto, Ismael; Valdes, Fernando</t>
  </si>
  <si>
    <t>A Cluster-based Approach to Maximize Number of Users in Wireless Multi-Cell Networks</t>
  </si>
  <si>
    <t>In this paper, we consider the problem of maximizing the total number of users in a multi-cell wireless network subject to power and independent set constraints on the base stations (BSs). More precisely, we impose the condition that no two adjacent BSs can operate simultaneously due to interference requirements. We propose equivalent mixed integer linear and quadratic programming formulations for this problem and compute upper and lower bounds as well as optimal solutions for instances with up to 2000 users and 30 BSs so far. The equivalent quadratic model is obtained by penalizing the independent set constraints leading to a quadratic problem with non-convex objective function that is hard to solve. To overcome this difficulty, we derive an equivalent quadratic concave objective function which allows to solve the problem to optimality using CPLEX. Finally, we propose an efficient greedy heuristic. In our numerical experiments, we consider realistic disk graph based network instances with radial transmission ranges of 40 to 10 ms for each base station. Network deployments are generated randomly within an area of 50*50 ms(2). Our preliminary numerical results indicate that for different instances, either the linear or quadratic model allows to find the optimal solution more efficiently. Whilst the proposed greedy heuristic allows to obtain tight near optimal solutions for most part of the instances with gaps which are lower than 5% from the optimal solution in less than one second.</t>
  </si>
  <si>
    <t>WOS:000458417600105</t>
  </si>
  <si>
    <t>Huiliñir, C; Pérez, J</t>
  </si>
  <si>
    <t>Huilinir, Cesar; Perez, Juan</t>
  </si>
  <si>
    <t>A new model of batch biodrying of sewage sludge, Part 2: Model calibration and validation</t>
  </si>
  <si>
    <t>The calibration and validation of a new model of batch biodrying of sewage sludge are presented. The calibration was performed with experimental data from the literature, while the validation was performed with new experimental data. The model was successfully calibrated with experimental data, with the values of parameters falling in the range of values reported. The new model also represented the behavior of the experimental data for all the variables measured, showing that it is robust and valid for the simulated conditions. Simulations showed that continuous high aeration increased the efficiency of the process.</t>
  </si>
  <si>
    <t>10.1080/07373937.2016.1206124</t>
  </si>
  <si>
    <t>WOS:000399654200002</t>
  </si>
  <si>
    <t>Villalobos-Cid, M; Vega-Araya, D; Inostroza-Ponta, M</t>
  </si>
  <si>
    <t>Villalobos-Cid, Manuel; Vega-Araya, Daniel; Inostroza-Ponta, Mario</t>
  </si>
  <si>
    <t>Application of different multi-objective decision making techniques in the phylogenetic inference problem</t>
  </si>
  <si>
    <t>2017 36TH INTERNATIONAL CONFERENCE OF THE CHILEAN COMPUTER SCIENCE SOCIETY (SCCC)</t>
  </si>
  <si>
    <t>36th International Conference of the Chilean Computer Science Society (SCCC)</t>
  </si>
  <si>
    <t>OCT 16-20, 2017</t>
  </si>
  <si>
    <t>Arica, CHILE</t>
  </si>
  <si>
    <t>Sociedad Chilena Ciencia Computac,REUNA,SERNATUR Ministerio Economia Fomento Turismo,Telefonica,TLine,Ctr Math Modeling,Municipalidad ARICA,DELL EMC,Natl Lab High Performance Comp,NIC CHILE,INFONOR CHILE</t>
  </si>
  <si>
    <t>The phylogenetic inference aims to estimate the evolutionary relationships among different species. These relationships are commonly represented as a phylogenetic tree. The phylogenetic inference has been treated in bioinformatics as an optimisation problem. Different criteria have been proposed to define the optimal tree between the possible topologies. In order to reduce the bias associated to the dependency of a specific criterion, different multi-objective optimisation strategies have been proposed. However, they result in multiple solutions which represent a trade-off between conflicting criteria. It is a problem in the biological context, because the selection of one representative solution can result biased when an arbitrary criterion is used. Multi-objective decision making techniques have been successfully used to deal with this problem in other areas of research, but their application in phylogeny has not been studied. In this work, we adapt three multi-objective decision making techniques to deal with the multi-objective phylogenetic inference problem. Their evaluation is performed considering the objective and the solution space, known as tree-space. The results show that the multi-objective decision making techniques applied over the objective space do not consider the topological features of the trees. This result uncovers the need for the designing of new strategies which consider information from the tree-space in the evolution of the algorithms.</t>
  </si>
  <si>
    <t>Inostroza-Ponta, Mario/G-7548-2012; Villalobos-Cid, Manuel/AFK-0866-2022</t>
  </si>
  <si>
    <t>978-1-5386-3483-7</t>
  </si>
  <si>
    <t>WOS:000455184200039</t>
  </si>
  <si>
    <t>Gutiérrez-Cerón, C; Páez, MA; Zagal, JH</t>
  </si>
  <si>
    <t>Gutierrez-Ceron, Cristian; Paez, Maritza A.; Zagal, Jose H.</t>
  </si>
  <si>
    <t>Reactivity descriptors for iron porphyrins and iron phthalocyanines as catalysts for the electrooxidation of reduced glutathione</t>
  </si>
  <si>
    <t>JOURNAL OF SOLID STATE ELECTROCHEMISTRY</t>
  </si>
  <si>
    <t>We have examined the electrocatalytic activity for the oxidation of glutathione of a wide variety of molecular catalysts: FeN4 complexes (MN4 = metal porphyrins and metal phthalocyanines) confined on the surface of graphite electrodes in order to establish reactivity descriptors for these catalysts for this reaction. We have conducted these studies mainly in alkaline media (pH = 13). The reaction order in OH- is 1 for pH values lower than 8. For higher pH values, the reaction becomes pH independent. The reaction order in glutathione is close to 1 in the concentration range examined (10(-3)-10(-2) M). The activity of the surface-confined MN4 complexes is related to the Fe(II)/(I) and the Fe(III)/(II) redox transitions of the immobilized FeN4 complexes. The catalysts are active only in the potential range where the Fe(II) state predominates. The activity as (log j) (E) versus the Fe(II)/(I) formal potential varies in a non-linear fashion giving a volcano correlation as previously observed for the oxidation of L-cysteine and many other reactions catalyzed by MN4 complexes. A plot of (E)(logj) versus the Fe(II)/(I) formal potential gives also an asymmetrical volcano, with one of the branches with a slope close to unity. These volcano correlations clearly shows that the Fe(II)/(I) redox potential needs to be tuned to a certain potential to obtain a maximum activity for the oxidation of glutathione. Most Fe porphyrins show low activity because the metal center Fe(III) is in the wrong oxidation state in the potential range studied.</t>
  </si>
  <si>
    <t>Paez, Maritza/M-2010-2014; zagal, jose/L-9648-2014; Gutierrez Ceron, Cristian/O-7236-2018</t>
  </si>
  <si>
    <t>Gutierrez Ceron, Cristian/0000-0001-6078-1572; paez, maritza/0000-0001-5881-884X</t>
  </si>
  <si>
    <t>1432-8488</t>
  </si>
  <si>
    <t>1433-0768</t>
  </si>
  <si>
    <t>10.1007/s10008-016-3396-z</t>
  </si>
  <si>
    <t>WOS:000386343800028</t>
  </si>
  <si>
    <t>Olivares, IE; González, IA</t>
  </si>
  <si>
    <t>Olivares, Ignacio E.; Gonzalez, Ivan A.</t>
  </si>
  <si>
    <t>Diode laser absorption spectroscopy of lithium isotopes</t>
  </si>
  <si>
    <t>APPLIED PHYSICS B-LASERS AND OPTICS</t>
  </si>
  <si>
    <t>We study Doppler-limited laser intensity absorption, in a thermal lithium vapor containing Li-7 and Li-6 atoms in a 9 to 1 ratio, using a narrow-linewidth single-longitudinal-mode tunable external cavity diode laser at the wavelength of 670.8 nm. The lithium vapor was embedded in helium or argon buffer gas. The spectral lineshapes were rigorously predicted for D-1 and D-2 for the lithium 6 and 7 isotope lines using reduced optical Bloch equations, specifically derived, from a density matrix analysis. Here, a detailed comparison is provided of the predicted lineshapes with the measured Li-7-D-2, Li-7-D-1, Li-6-D-2 and Li-6-D-1 lines, in the case of high vapor density and with intensity above the saturation intensity. To our knowledge, this is the first time that such detailed comparison is reported in the open literature. The calculations were also extended to saturated absorption spectra and compared to measured Doppler-free Li-7-D-2 and Li-6-D-2 hyperfine lines.</t>
  </si>
  <si>
    <t>Olivares, Ignacio/AAU-9355-2021; González, Iván/JKH-6626-2023</t>
  </si>
  <si>
    <t>Olivares, Ignacio/0000-0001-8440-7665</t>
  </si>
  <si>
    <t>0946-2171</t>
  </si>
  <si>
    <t>1432-0649</t>
  </si>
  <si>
    <t>10.1007/s00340-016-6528-3</t>
  </si>
  <si>
    <t>WOS:000388419100003</t>
  </si>
  <si>
    <t>Páez, MA</t>
  </si>
  <si>
    <t>Angelica Paez, Maritza</t>
  </si>
  <si>
    <t>Preface for Special Issue on the occasion of Jose H Zagal 65th birthday</t>
  </si>
  <si>
    <t>Paez, Maritza/M-2010-2014</t>
  </si>
  <si>
    <t>paez, maritza/0000-0001-5881-884X</t>
  </si>
  <si>
    <t>10.1007/s10008-015-3104-4</t>
  </si>
  <si>
    <t>WOS:000374841300001</t>
  </si>
  <si>
    <t>Llorca-Jaña, M</t>
  </si>
  <si>
    <t>LlorcaJana, M</t>
  </si>
  <si>
    <t>Llorca-Jana, Manuel</t>
  </si>
  <si>
    <t>The Liverpool branch, agents in Britain and the US connection</t>
  </si>
  <si>
    <t>GLOBALIZATION OF MERCHANT BANKING BEFORE 1850: THE CASE OF HUTH &amp; CO.</t>
  </si>
  <si>
    <t>Financial History</t>
  </si>
  <si>
    <t>978-1-781-44880-9; 978-1-848-93607-2</t>
  </si>
  <si>
    <t>WOS:000458913900005</t>
  </si>
  <si>
    <t>Urrea, C; Kern, J</t>
  </si>
  <si>
    <t>Urrea, Claudio; Kern, John</t>
  </si>
  <si>
    <t>Trajectory Tracking Control of a Real Redundant Manipulator of the SCARA Type</t>
  </si>
  <si>
    <t>JOURNAL OF ELECTRICAL ENGINEERING &amp; TECHNOLOGY</t>
  </si>
  <si>
    <t>Modeling, control and implementation of a real redundant robot with five Degrees Freedom (DOF) of the SCARA (Selective Compliant Assembly Robot Arm) manipulator type is presented. Through geometric methods and structural and functional considerations, the inverse kinematics for redundant robot can be obtained. By means of a modification of the classical sliding mode control law through a hyperbolic function, we get a new algorithm which enables reducing the chattering effect of the real actuators, which together with the learning and adaptive controllers, is applied to the model and to the real robot. A simulation environment including the actuator dynamics is elaborated. A 5 DOE robot, a communication interface and a signal conditioning circuit are designed and implemented for feedback. Three control laws are executed in: a simulation structure (together with the dynamic model of the SCARA type redundant manipulator and the actuator dynamics) and a real redundant manipulator of the SCARA type carried out using MatLab/Simulink programming tools. The results, obtained through simulation and implementation, were represented by comparative curves and RMS indices of the joint errors, and they showed that the redundant manipulator, both in the simulation and the, implementation, followed the test trajectory with less pronounced maximum errors using the adaptive controller than the other controllers, with more homogeneous motions of the manipulator.</t>
  </si>
  <si>
    <t>1975-0102</t>
  </si>
  <si>
    <t>2093-7423</t>
  </si>
  <si>
    <t>10.5370/JEET.2016.11.1.215</t>
  </si>
  <si>
    <t>WOS:000367637300025</t>
  </si>
  <si>
    <t>Lizama, C</t>
  </si>
  <si>
    <t>Lizama, Carlos</t>
  </si>
  <si>
    <t>lp-maximal regularity for fractional difference equations on UMD spaces</t>
  </si>
  <si>
    <t>MATHEMATISCHE NACHRICHTEN</t>
  </si>
  <si>
    <t>Let T be a bounded linear operator defined on a UMD Banach space X. We introduce an operator theoretical method for linear fractional difference equations based on the notion of a-resolvent sequence of bounded and linear operators. Then, we define and characterize the l(p)- maximal regularity of solutions for the problem (*) {Delta(alpha) u(n) = T u(n) + f(n), n is an element of Z(+), 0 &lt; alpha &lt;= 1; u(0) = 0, solely in terms of the R-boundedness of the set {z(1-alpha)(z-1)(alpha)(z(1-alpha)(z-1)(alpha)-T)(-1) : vertical bar z vertical bar = 1, z not equal 1}. (C) 2015 WILEY-VCH Verlag GmbH &amp; Co. KGaA, Weinheim</t>
  </si>
  <si>
    <t>Lizama, Carlos/E-5909-2011</t>
  </si>
  <si>
    <t>Lizama, Carlos/0000-0002-9807-1100</t>
  </si>
  <si>
    <t>0025-584X</t>
  </si>
  <si>
    <t>1522-2616</t>
  </si>
  <si>
    <t>17-18</t>
  </si>
  <si>
    <t>10.1002/mana.201400326</t>
  </si>
  <si>
    <t>WOS:000368047000012</t>
  </si>
  <si>
    <t>Baigorrotegui, G</t>
  </si>
  <si>
    <t>Baigorrotegui, Gloria</t>
  </si>
  <si>
    <t>Socio-environmental conflict in the construction of a power plant in Spain's Basque Country: strategies, expertise and certifications</t>
  </si>
  <si>
    <t>LOCAL ENVIRONMENT</t>
  </si>
  <si>
    <t>Social and anthropological studies show a growing number of conflicts surrounding energy projects, as governments and companies insist on their implementation despite the concerns of local actors about their perceived socio-environmental risks. In this context, the purpose of this paper is to analyse the politicisation of expertise and certifications in a conflict over the construction of a combined cycle power plant by linking strategic assumptions from two particular sociological approaches. The first approach is based on the study of frame alignment in social movement organisations and the second on the translating interests in actor-network theory. These linked premises are examined in the conflict arising from the construction of a combined cycle natural gas plant in Boroa, in the Basque Country of Spain. This case study brings to light interesting findings on the strategies of the different agencies, certifications, politicisation of expertise and the increasing hostility in local conflicts.</t>
  </si>
  <si>
    <t>Baigorrotegui, Gloria/C-1681-2018</t>
  </si>
  <si>
    <t>Baigorrotegui Baigorrotegui, Gloria A./0000-0002-8381-5728</t>
  </si>
  <si>
    <t>1354-9839</t>
  </si>
  <si>
    <t>1469-6711</t>
  </si>
  <si>
    <t>10.1080/13549839.2013.834491</t>
  </si>
  <si>
    <t>WOS:000212142200008</t>
  </si>
  <si>
    <t>Contreras, S; Torres, J; Palominos, P; Lippi, L</t>
  </si>
  <si>
    <t>Contreras, S.; Torres, J.; Palominos, P.; Lippi, L.</t>
  </si>
  <si>
    <t>QUALITY MANAGEMENT SYSTEMS IN EDUCATIONAL CONTEXTS: A LITERATURE REVIEW</t>
  </si>
  <si>
    <t>ICERI2015: 8TH INTERNATIONAL CONFERENCE OF EDUCATION, RESEARCH AND INNOVATION</t>
  </si>
  <si>
    <t>8th International Conference of Education, Research and Innovation (ICERI)</t>
  </si>
  <si>
    <t>NOV 16-20, 2015</t>
  </si>
  <si>
    <t>Due to an expanding global market and increased customer expectations, many businesses, organizations, and institutions have begun to utilize quality management systems (QMSs). Quality management systems provide many advantages to educational institutions. In this day and age, universities and vocational schools must compete in order to attract as well as keep students. In a way, the students of an institution are the end users or beneficiaries being served. Thus, QMSs are necessary to be able to measure the effectiveness of the institution, especially in the processes of teaching and learning. Educational institutions must be able to ensure a certain amount of quality in the learning outcome of their students to keep up in the now extremely competitive global environment. Currently, there is a large gap in the literature when it comes to the topic of both vocational and secondary education as institutions of higher education (HE) have been the central focus of many studies previously conducted. In Chile, vocational education can be found as an option not only for higher education, but also for high school. It is essential to the growth and maintaining of the Chilean economy as the country finds itself in need of more technical workers to support its growing GDP. We hope to contribute to the current lack of literature evaluating quality management systems and their application in both vocational and secondary education, specifically in the Chilean context. This should be seen as something vital in the current day and age as Chile is experiencing a saturated market for many university careers and a lack of qualified workers to enter into technical positions. To be able to create a constant supply for these technical positions, a quality management system is fundamental to ensure that student learning is at par with general market expectations.</t>
  </si>
  <si>
    <t>TORRES-ORTEGA, JORGE/AAP-5339-2020</t>
  </si>
  <si>
    <t>978-84-608-2657-6</t>
  </si>
  <si>
    <t>WOS:000377304001120</t>
  </si>
  <si>
    <t>Pizarro, A</t>
  </si>
  <si>
    <t>Pizarro, Ana</t>
  </si>
  <si>
    <t>THE EMPATES AND THE MEMORY OF RUBBER</t>
  </si>
  <si>
    <t>The empates are non-violent strategies of resistance devised by the inhabitants of the Brazilian Amazonia in order to stop the threatening advance of companies that are invading and deforesting their environment. This research attempts to demonstrate how this confrontation is informed by a collective memory in which it is possible to identify 'echoes' of three crucial moments in this region's history of rubber: the extraction of rubber at the end of the 19th and the beginning of the 20th century; the Battle of Rubber, declared by the government of Getulio Vargas during World War II; and the struggles of Acre in the 1970' s, which marks the beginning of the strategy of empates. We find, at the core of this collective memory, not only oral tradition but also silence.</t>
  </si>
  <si>
    <t>WOS:000209590200011</t>
  </si>
  <si>
    <t>Shaping Globalization: London's Merchant Bankers in the Early Nineteenth Century</t>
  </si>
  <si>
    <t>BUSINESS HISTORY REVIEW</t>
  </si>
  <si>
    <t>This article argues that entrepreneurs, not governments or markets, shaped globalization during the early nineteenth century. The article concentrates on the trading and financial activities of London merchant bankers, and in particular on the different diversification strategies they followed. Although most London merchant bankers remained cautious and did not diversify their operations either geographically or in the products they traded during this period, Huth &amp; Co. established an impressive global network of trade and lending, dealing with over six thousand correspondents worldwide in a wide range of products. This firm shaped globalization well before the transport and communication revolution of the last quarter of the nineteenth century.</t>
  </si>
  <si>
    <t>Llorca-Jana, Manuel/0000-0002-3937-6035</t>
  </si>
  <si>
    <t>0007-6805</t>
  </si>
  <si>
    <t>2044-768X</t>
  </si>
  <si>
    <t>FAL</t>
  </si>
  <si>
    <t>10.1017/S0007680514000403</t>
  </si>
  <si>
    <t>WOS:000344221600003</t>
  </si>
  <si>
    <t>Garakani, MT</t>
  </si>
  <si>
    <t>Teymuri Garakani, Mandi</t>
  </si>
  <si>
    <t>A note on the Zariski multiplicity conjecture</t>
  </si>
  <si>
    <t>COMPTES RENDUS MATHEMATIQUE</t>
  </si>
  <si>
    <t>We prove that the algebraic multiplicities of two topologically equisingular isolated complex hypersurface singularities located at the origin are equal provided the continuous maps defining the topological right equivalence are Lipschitz on a generic real line segment departing from the origin. (C) 2014 Academie des sciences. Published by Elsevier Masson SAS. All rights reserved.</t>
  </si>
  <si>
    <t>1631-073X</t>
  </si>
  <si>
    <t>1778-3569</t>
  </si>
  <si>
    <t>10.1016/j.crma.2014.07.010</t>
  </si>
  <si>
    <t>WOS:000342474900011</t>
  </si>
  <si>
    <t>Rodríguez, FJ; Torres, A; Peñaloza, A; Sepúlveda, H; Galotto, MJ; Guarda, A; Bruna, J</t>
  </si>
  <si>
    <t>Rodriguez, Francisco J.; Torres, Alejandra; Penaloza, Angela; Sepulveda, Hugo; Galotto, Maria J.; Guarda, Abel; Bruna, Julio</t>
  </si>
  <si>
    <t>Development of an antimicrobial material based on a nanocomposite cellulose acetate film for active food packaging</t>
  </si>
  <si>
    <t>FOOD ADDITIVES AND CONTAMINANTS PART A-CHEMISTRY ANALYSIS CONTROL EXPOSURE &amp; RISK ASSESSMENT</t>
  </si>
  <si>
    <t>5th ILSI International Symposium on Food Packaging</t>
  </si>
  <si>
    <t>NOV 14-16, 2012</t>
  </si>
  <si>
    <t>Berlin, GERMANY</t>
  </si>
  <si>
    <t>Nanocomposites based on biopolymers have been recognised as potential materials for the development of new ecofriendly food packaging. In addition, if these materials incorporate active substances in their structure, the potential applications are much higher. Therefore, this work was oriented to develop nanocomposites with antimicrobial activity based on cellulose acetate (CA), a commercial organoclay Cloisite30B (C30B), thymol (T) as natural antimicrobial component and tri-ethyl citrate (TEC) as plasticiser. Nanocomposites were prepared by a solvent casting method and consisted of 5% (w/w) of C30B, 5% (w/w) of TEC and variable content of T (0%, 0.5% and 2% w/w). To evaluate the effect of C30B into the CA matrix, CA films without this organoclay but with T were also prepared. All nanocomposites showed the intercalation of CA into the organoclay structure; furthermore this intercalation was favoured when 2% (w/w) of T was added to the nanocomposite. In spite of the observed intercalation, the presence of C30B inside the CA matrices increased the opacity of the films significantly. On the other hand, T showed a plasticiser effect on the thermal properties of CA nanocomposites decreasing glass transition, melting temperature and melting enthalpy. The presence of T in CA nanocomposites also allowed the control de Listeria innocua growth when these materials were placed in contact with this Gram-positive bacterium. Interestingly, antimicrobial activity was increased with the presence of C30B. Finally, studies on T release showed that the clay structure inside the CA matrix did not affect its release rate; however, this nanofiller affected the partition coefficient K-P/FS which was higher to CA nanocomposites films than in CA films without organoclay. The results obtained in the present study are really promising to be applied in the manufacture of food packaging materials.</t>
  </si>
  <si>
    <t>Rodríguez, Francisco/I-5283-2018; Torres, Alejandra/LPQ-5664-2024; bruna, julio/AAM-6867-2021</t>
  </si>
  <si>
    <t>Bruna, Julio E./0000-0001-9656-6022; Rodriguez-Mercado, Francisco/0000-0002-0530-6653</t>
  </si>
  <si>
    <t>1944-0049</t>
  </si>
  <si>
    <t>1944-0057</t>
  </si>
  <si>
    <t>MAR 4</t>
  </si>
  <si>
    <t>10.1080/19440049.2013.876105</t>
  </si>
  <si>
    <t>WOS:000333878500002</t>
  </si>
  <si>
    <t>Letelier, MF; Siginer, DA; Uribe, GA; Stockle, J</t>
  </si>
  <si>
    <t>Letelier, Mario F.; Siginer, Dennis A.; Uribe, Gonzalo A.; Stockle, Juan</t>
  </si>
  <si>
    <t>PLASTIC FLOW ESTABLISHMENT IN TUBES A COMPARISON OF PRESSURE GRADIENT AND YIELD STRESS CHANGE EFFECTS</t>
  </si>
  <si>
    <t>The transient flow that follows an instantaneous change of yield stress of a magnetorheological(MR) fluid in round tubes is analyzed by an exact analytical method. The time required to establish steady flow of MR fluids after a sudden yield stress change as well as for combinations of step-change in the pressure gradient and yield stress is determined.</t>
  </si>
  <si>
    <t>V07AT08A024</t>
  </si>
  <si>
    <t>WOS:000359959700024</t>
  </si>
  <si>
    <t>Silva, JF; Pavez, J; Silva, CP; Zagal, JH</t>
  </si>
  <si>
    <t>Francisco Silva, J.; Pavez, Jorge; Silva, Carlos P.; Zagal, Jose H.</t>
  </si>
  <si>
    <t>Electrocatalytic actvity of modified gold electrodes based on self-assembled monolayers of 4-mercaptopyridine and 4-aminothiophenol on Au(111) surfaces chemically functionalized with substituted and unsubstituted iron phthalocyanines</t>
  </si>
  <si>
    <t>ELECTROCHIMICA ACTA</t>
  </si>
  <si>
    <t>Systems containing self-assembled monolayers (SAMs) of thiols on metallic and nonmetallic surfaces are attractive as they provide structurally well-defined surfaces with a controllable chemical functionality, in addition to their stability and stiffness. These special features have inspired several studies addressed to electron transport ability through the SAMs and to the influence of the chemical functionality of thiols. We studied the electrocatalytic activity for the oxidation of L-cysteine of gold electrodes modified with self-assembled monolayers of 4-mercaptopyridine (4MPy) and 4-aminothiophenol (4ATP) on Au(111) surfaces chemically functionalized with substituted and unsubstituted Fe(II)-phthalocyanines (FePc). Attention was focused on the study of the effect of the thiol-end-FePc on the electron transfer rate from L-cysteine to the gold-SAM-FePc assembly, as well as on the effect of Pc-ring substituents on the ET kinetics. It is found that the effect of substituents on the Pc-ring (using Hammett parameters) on the Fe(III)/(II) redox potential is weak when FePc molecules are confined directly on Au and with the 4MPy SAMs/FePc, but their more pronounced when FePc molecules are located on the outermost position of the SAM assembly with a 4ATP molecules. (C) 2013 Elsevier Ltd. All rights reserved.</t>
  </si>
  <si>
    <t>Silva, Carlos/IQS-5583-2023; zagal, jose/L-9648-2014; PAVEZ, JORGE/K-6904-2014</t>
  </si>
  <si>
    <t>PAVEZ, JORGE/0000-0002-5100-6707; Silva, Carlos P./0000-0001-5344-042X</t>
  </si>
  <si>
    <t>0013-4686</t>
  </si>
  <si>
    <t>1873-3859</t>
  </si>
  <si>
    <t>DEC 30</t>
  </si>
  <si>
    <t>10.1016/j.electacta.2013.10.017</t>
  </si>
  <si>
    <t>WOS:000330487800002</t>
  </si>
  <si>
    <t>Navas, A</t>
  </si>
  <si>
    <t>Navas, Andres</t>
  </si>
  <si>
    <t>ON CENTRALIZERS OF INTERVAL DIFFEOMORPHISMS IN CRITICAL (INTERMEDIATE) REGULARITY</t>
  </si>
  <si>
    <t>JOURNAL D ANALYSE MATHEMATIQUE</t>
  </si>
  <si>
    <t>We extend to the critical (intermediate) regularity several results concerning rigidity for centralizers and group actions on the interval.</t>
  </si>
  <si>
    <t>Navas Flores, Andres Ignacio/0000-0002-0853-5136</t>
  </si>
  <si>
    <t>0021-7670</t>
  </si>
  <si>
    <t>1565-8538</t>
  </si>
  <si>
    <t>10.1007/s11854-013-0026-x</t>
  </si>
  <si>
    <t>WOS:000327212900001</t>
  </si>
  <si>
    <t>Maisey, K; Montero, R; Imarai, M</t>
  </si>
  <si>
    <t>Maisey, K.; Montero, R.; Imarai, M.</t>
  </si>
  <si>
    <t>Isolation and characterization of salmonid immunocompetent cells</t>
  </si>
  <si>
    <t>FISH &amp; SHELLFISH IMMUNOLOGY</t>
  </si>
  <si>
    <t>Maisey, Kevin/AAP-2886-2021</t>
  </si>
  <si>
    <t>Maisey, Kevin/0000-0002-7423-6329</t>
  </si>
  <si>
    <t>1050-4648</t>
  </si>
  <si>
    <t>10.1016/j.fsi.2013.03.093</t>
  </si>
  <si>
    <t>WOS:000319646100118</t>
  </si>
  <si>
    <t>Saavedra-Dahm, O; Solar, P; Díaz, H; Mandel, A; Casado, M; Orihuela, P; Rivera, M; Velásquez, L; Cardenas, H</t>
  </si>
  <si>
    <t>Saavedra-Dahm, Oscar; Solar, Paula; Diaz, Hernan; Mandel, Astrid; Casado, Maria; Orihuela, Pedro; Rivera, Maria; Velasquez, Luis; Cardenas, Hugo</t>
  </si>
  <si>
    <t>The Case Against Template Informed Consent Procedures in Biomedical Research: Heterogeneity in Health Literacy in Chile</t>
  </si>
  <si>
    <t>TERAPIA PSICOLOGICA</t>
  </si>
  <si>
    <t>Health literacy was examined in Chile to assess whether it is homogenous enough to allow the use of templates for informed consent, and to identity subgroups that may need special consideration when recruited for research because of their low health literacy abbreviated SAHLSA test of health literacy was used. Results were expressed as percent of correct answers out of the 50 items of the SAHLSA test. There was high health literacy with 85.4 +/- 13.5 % (arithmetic mean standard deviation, n=762) of correct answers. There were important differences between groups, with lower scores in artisanal fishermen families and high-school students attending public schools, and higher scores in university students and mothers attending the public health system. Results show that a case by case approach is probably more appropriate when seeking informed consent in this population because of the variability of health literacy.</t>
  </si>
  <si>
    <t>0716-6184</t>
  </si>
  <si>
    <t>10.4067/S0718-48082012000300012</t>
  </si>
  <si>
    <t>WOS:000310560800012</t>
  </si>
  <si>
    <t>Nómez, N</t>
  </si>
  <si>
    <t>Nomez, N.</t>
  </si>
  <si>
    <t>BREAKUPS OF NICANOR PARRA: LEGACIES, INHERITANCES AND RECONVERSIONS</t>
  </si>
  <si>
    <t>WOS:000312746200008</t>
  </si>
  <si>
    <t>Mahn, A; Zamorano, M; Barrientos, H; Reyes, A</t>
  </si>
  <si>
    <t>Mahn, Andrea; Zamorano, Mauricio; Barrientos, Herna; Reyes, Alejandro</t>
  </si>
  <si>
    <t>Optimization of a process to obtain selenium-enriched freeze-dried broccoli with high antioxidant properties</t>
  </si>
  <si>
    <t>LWT-FOOD SCIENCE AND TECHNOLOGY</t>
  </si>
  <si>
    <t>Broccoli exhibits a high content of antioxidant and anticarcinogenic compounds, such as polyphenols and selenium. Since it is mostly consumed as a processed food, elucidating the processing conditions that minimize nutritional losses becomes relevant. The process composed of a blanching step followed by freeze-drying of selenium-enriched broccoli was optimized, in order to maximize the content of Se-methyl selenocysteine (SMSeC), total polyphenols content and anti-radical power (ARP). The optimal blanching conditions agreed for the three responses, and were immersion in water at 72 degrees C during 1 min. The optimal freeze-drying conditions were slow freezing rate, atmospheric pressure (96.13 kPa), and application of infrared radiation (IR). These conditions allowed keeping 25% ARP, 18% polyphenols content and 174% SMSeC compared to the fresh vegetable. These results will help in establishing the most adequate processing conditions that allow keeping the functional properties of broccoli as a processed food. (C) 2012 Elsevier Ltd. All rights reserved.</t>
  </si>
  <si>
    <t>Zamorano, Mauricio/AAZ-7331-2020</t>
  </si>
  <si>
    <t>Zamorano, Mauricio/0000-0002-4559-4653</t>
  </si>
  <si>
    <t>0023-6438</t>
  </si>
  <si>
    <t>1096-1127</t>
  </si>
  <si>
    <t>10.1016/j.lwt.2012.01.017</t>
  </si>
  <si>
    <t>WOS:000302852400008</t>
  </si>
  <si>
    <t>Alburquerque, G</t>
  </si>
  <si>
    <t>Alburquerque F, German</t>
  </si>
  <si>
    <t>The Saharan African thought. From the mid-nineteenth century to the present</t>
  </si>
  <si>
    <t>0073-2435</t>
  </si>
  <si>
    <t>WOS:000306396500015</t>
  </si>
  <si>
    <t>Pina, FE; Ventura, CE</t>
  </si>
  <si>
    <t>Mazzolani, F; Herrera, R</t>
  </si>
  <si>
    <t>Pina, F. E.; Ventura, C. E.</t>
  </si>
  <si>
    <t>Seismic risk assessment of conventional steel constructions to the hazard of three earthquake types in Southwestern British Columbia</t>
  </si>
  <si>
    <t>STESSA 2012: PROCEEDINGS OF THE 7TH INTERNATIONAL CONFERENCE ON BEHAVIOUR OF STEEL STRUCTURES IN SEISMIC AREAS</t>
  </si>
  <si>
    <t>7th International Conference on Behaviour of Steel Structures in Seismic Areas (STESSA)</t>
  </si>
  <si>
    <t>JAN 09-11, 2012</t>
  </si>
  <si>
    <t>Univ Chile, Dept Civil Engn,GERDAU AZA,ILAFA,ECCS CECM EKS,Chilean Assoc Seismol &amp; Earthquake Engn (ACHISINA)</t>
  </si>
  <si>
    <t>The Southwestern British Columbia, Canada, where most populated cities are located, is prone to the occurrence of three types of earthquakes: shallow crustal in the continental plate, deep subcrustal in the oceanic plate, and subduction in the interface. A methodology that measures the seismic risk of conventional construction systems in British Columbia have been developed, which integrates the occurrence of these three earthquake types with the seismic behaviour of structural systems. The list of structural systems include three steel construction systems: eccentrically braced frames, concentrically braced frames and moderately ductile moment frames. Significant differences have been observed in the seismic behaviour of these structural systems under these three earthquake types. The inherent differences of the records can be explicitly captured by the seismic risk methodology. This methodology has been used to assess schools in BC and to define steel construction systems as retrofit solutions to limit risk for life-safety standards.</t>
  </si>
  <si>
    <t>978-0-415-62105-2</t>
  </si>
  <si>
    <t>WOS:000300400100143</t>
  </si>
  <si>
    <t>Ross, C</t>
  </si>
  <si>
    <t>Ross, Cesar</t>
  </si>
  <si>
    <t>JAPANESE FOREIGN POLICY TOWARDS LATIN AMERICA AND THE CARIBBEAN: BETWEEN COOPERATION AND BUSINESS</t>
  </si>
  <si>
    <t>Japanese foreign policy has typically been characterized by its most visible features, trade and cooperation, while lacking a political and ideological dimension. In the middle of the '90s this vision was qualified through the addition of another dimension (D. Arase) which affirmed that cooperation was concealing a well-planned diplomatic strategy to increase Japan's political influence at the international level, thus creating an alternative to what was known as the Yoshida doctrine. The application of David Arase's thesis to the specific case of Latin America and the Caribbean allows us to observe that, while theoretically credible, it lacks sufficient empirical support to be considered entirely true. In the following pages we present the uniqueness of the problem as well as counter-evidence to Arase's thesis.</t>
  </si>
  <si>
    <t>Ross, Cesar/0000-0001-8147-6243</t>
  </si>
  <si>
    <t>0716-1840</t>
  </si>
  <si>
    <t>10.4067/S0718-04622012000100009</t>
  </si>
  <si>
    <t>WOS:000309380600009</t>
  </si>
  <si>
    <t>Vera-Villarroel, P; Cells-Atenas, K; Pavez, P; Lillo, S; Bello, F; Díaz, N; López, W</t>
  </si>
  <si>
    <t>Vera-Villarroel, Pablo; Cells-Atenas, Karem; Pavez, Paula; Lillo, Sebastian; Bello, Felipe; Diaz, Natalia; Lopez, Wilson</t>
  </si>
  <si>
    <t>Money, Age and Happiness: Association of Subjective Wellbeing with Socio-Demographic Variables</t>
  </si>
  <si>
    <t>REVISTA LATINOAMERICANA DE PSICOLOGIA</t>
  </si>
  <si>
    <t>The relationship between happiness and socio-demographic variables (age, sex, socioeconomic status, educational level) was examinated, this with a Latin American sample and its association with Subjective wellbeing given the controversial empirical evidence of their relationship. We surveyed a total of 520 people (300 women and 220 men) between the ages of 18 and 29 with an average of 21.26 years and a standard deviation of 2.47 to answer the subjective happiness scale. The happiness variable, was categorized, and the subjects were reorganized in happy and non-happy groups. From the use of main component analysis and logistic regressions, the main results show that variables which best characterize the happiness levels are age and socioeconomic status. Specifically, the results indicate that higher age within the sample, predicts lower levels of happiness. On the other side, at a higher socioeconomic level, people are happier. in addition, there are no differences between genders.</t>
  </si>
  <si>
    <t>pavez, paula/ITT-0755-2023; Lillo, Sara/KVB-4124-2024; Ramos Díaz, Natalia Sylvia/JXL-9709-2024; López López, Wilson/AAV-8032-2021; Vera-Villarroel, Pablo/A-1134-2011</t>
  </si>
  <si>
    <t>Lopez-Lopez, Wilson/0000-0002-2964-0402; Vera-Villarroel, Pablo/0000-0001-9187-8414</t>
  </si>
  <si>
    <t>0120-0534</t>
  </si>
  <si>
    <t>WOS:000308779300013</t>
  </si>
  <si>
    <t>Repression or integration? The military regime's labor union policies from 1973-1980</t>
  </si>
  <si>
    <t>This article deals with the attempts of the military regime lead by the general Augusto Pinochet to penetrate workers organizations between the times of the coup d'etat and the installation of the Labor plan designed by Jose Pinera. The article analyzes the various strategies used in order to prolong in time, the support that the regime had since the coup of 1973 from the so-called Poder Gremial, composed amongst others, by a significant faction of the labor movement who opposed Salvador Allende. Also examined are the reasons behind the failure of these strategies to co-opt the labor movement that were confirmed by the triumph of neo-liberal labor policies. The underlying hypothesis argues that the military regimes plan was not capable of breaking through the historic tradition of labor unions among Chilean workers.</t>
  </si>
  <si>
    <t>WOS:000286362200001</t>
  </si>
  <si>
    <t>Rabagliati, FM; Muñoz, HE; Mardones, GV</t>
  </si>
  <si>
    <t>Rabagliati, Franco M.; Munoz, Hector E.; Mardones, Gabriela V.</t>
  </si>
  <si>
    <t>STYRENE/STYRENE-DERIVATIVE COPOLYMERIZATION BY PH2Zn-METALLOCENE-MAO SYSTEMS: HOMO- AND COPOLYMERIZATION OF α-METHYLSTYRENE WITH STYRENE</t>
  </si>
  <si>
    <t>The copolymerization of styrene with alpha-methylstyrene has been tested using combined metallocene-MAO initiator systems with and without diphenylzinc. The metallocenes used were biscyclopentadienyltitanium dichloride, Cp2TiCl2, bis(n-butylcyclopentadienyl)titanium dichloride, (n-BuCp)(2)TiCl. and the half-sandwich metallocene indenyltitanium trichloride, IndTiCl(3). The results indicate that both binary metallocene-MAO, and ternary Ph2Zn-metallocene-MAO systems are capable of polymerizing alpha-methylstyrene to poly(alpha-methylstyrene) as well of its copolymerization with styrene. These initiator systems also show that despite the I+ inductive effect of the methyl group, which enhances electron density at the vinyl double bond of styrene, the steric consequence of vinyl substitution hinders monomer coordination to active species, causing a decrease in conversion of either alpha-MeS to homopolymer or S/alpha-MeS to the corresponding copolymer. The nature and structure of the metallocene included in the initiator system are determinant of the initiator system's efficiency. For the metallocenes used the efficiency follows the order IndTiCl(3)&gt;Cp2TiCl2&gt;(n-BuCp)(2)TiCl2, with the half-sandwich metallocene IndTiCl(3) showing greater efficiency than the true metallocenes.</t>
  </si>
  <si>
    <t>WOS:000276962300026</t>
  </si>
  <si>
    <t>Matute, EA</t>
  </si>
  <si>
    <t>Matute, Ernesto A.</t>
  </si>
  <si>
    <t>PRESYMMETRY BEYOND THE STANDARD MODEL</t>
  </si>
  <si>
    <t>We go beyond the Standard Model guided by presymmetry, the discrete electroweak quark-lepton symmetry hidden by topological effects which explain quark fractional charges as in condensed matter physics. We show that partners of the particles of the Standard Model and the discrete symmetry associated with this partnership appear as manifestations of a residual presymmetry in the sense of Ekstein and its extension from matter to forces. This duplication of the spectrum of the Standard Model keeps spin and comes nondegenerated about the TeV scale.</t>
  </si>
  <si>
    <t>1793-6632</t>
  </si>
  <si>
    <t>DEC 28</t>
  </si>
  <si>
    <t>10.1142/S0217732309031314</t>
  </si>
  <si>
    <t>WOS:000275699800006</t>
  </si>
  <si>
    <t>Pereira, A; Denardin, JC; Escrig, J</t>
  </si>
  <si>
    <t>Pereira, A.; Denardin, J. C.; Escrig, J.</t>
  </si>
  <si>
    <t>How do magnetic microwires interact magnetostatically?</t>
  </si>
  <si>
    <t>JOURNAL OF APPLIED PHYSICS</t>
  </si>
  <si>
    <t>The magnetostatic interaction between two ferromagnetic microwires is calculated as a function of their geometric parameters and compared with those measured through magnetic hysteresis loops of glass-coated amorphous Fe77.5Si7.5B15 microwires. The hysteresis loops are characterized by well-defined Barkhausen jumps corresponding each to the magnetization reversal of individual microwires, separated by horizontal plateaux. It is shown that the magnetostatic interaction between them is responsible for the appearance of these plateaux. Finally, using the expression for the magnetostatic interaction is trivial to obtain the interacting force between microwires. Our results are intended to provide guidelines for the use of these microwires with technological purpose such as the fabrication of magnetic sensors.</t>
  </si>
  <si>
    <t>Pereira, Alejandro/X-7172-2018; Denardin, Juliano/S-6407-2019; Escrig, Juan/N-4304-2015</t>
  </si>
  <si>
    <t>Pereira Abarca, Alejandro/0000-0002-4473-0852; Escrig, Juan/0000-0002-3958-8185; Denardin, Juliano/0000-0002-1373-6207</t>
  </si>
  <si>
    <t>0021-8979</t>
  </si>
  <si>
    <t>1089-7550</t>
  </si>
  <si>
    <t>10.1063/1.3098250</t>
  </si>
  <si>
    <t>WOS:000268064700099</t>
  </si>
  <si>
    <t>Garin, Jorge L.; Mannheim, Rodolfo L.</t>
  </si>
  <si>
    <t>Sigma-phase precipitation upon industrial-like heating of cast heat-resistant steels</t>
  </si>
  <si>
    <t>JOURNAL OF MATERIALS PROCESSING TECHNOLOGY</t>
  </si>
  <si>
    <t>In order to investigate the formation of sigma-phase in two cast heat-resistant steels of wide industrial use, two ferrous alloys containing 25.02Cr-4.26Ni-0.53C and 31.23Cr-6.08Ni-0.36C were prepared by casting techniques and then subjected to sigma precipitation by heating the alloys, for increasing periods of time, at a temperature which resembles the average thermal level usually encountered in service conditions of these materials. initially, the phase nucleates along ferrite-austenite boundaries, but with more time sigma precipitates inside the ferrite grains. Furthermore, both alloys showed a behavior that resembles the well-known Johnson-Mehl-Avrami's mechanism, stated for a nucleation and diffusion-controlled growth process in metallic systems. Hence, the phenomenon reached asymptotic values of approximately 25 and 55 vol.% in the HC- and HD-grade, respectively, after 120 h heating at 1053K. The experimental results may help in controlling the behavior of these materials when they are to be utilized in industrial applications at elevated temperatures. (C) 2008 Elsevier B.V. All rights reserved.</t>
  </si>
  <si>
    <t>0924-0136</t>
  </si>
  <si>
    <t>APR 1</t>
  </si>
  <si>
    <t>10.1016/j.jmatprotec.2008.07.026</t>
  </si>
  <si>
    <t>WOS:000265315000005</t>
  </si>
  <si>
    <t>Valdés, H; Romero, J; Saavedra, A; Plaza, A; Bubnovich, V</t>
  </si>
  <si>
    <t>Valdes, H.; Romero, J.; Saavedra, A.; Plaza, A.; Bubnovich, V.</t>
  </si>
  <si>
    <t>Concentration of noni juice by means of osmotic distillation</t>
  </si>
  <si>
    <t>JOURNAL OF MEMBRANE SCIENCE</t>
  </si>
  <si>
    <t>Osmotic distillation (OD) or osmotic evaporation (OE) is a promising membrane process generally applied to concentrate solutions under isothermal conditions. in this work, this process was applied to concentrate commercial noni juice (Morinda citrifolia). Several nutraceutical properties have been reported for noniderived products, mainly associated to the phenolic content of the fruit. The analyzed system is an osmotic distillation system where the solutions are circulated through a hollow fiber membrane contactor operating in transient configuration with circulation rates between 0.1 and 1.0 L min(-1) and concentrated solutions of CaCl2 were used as extraction brine. At isothermal conditions (30 degrees C), transmembrane vapor water flux was experimentally determined from 0.090 up to 0.413 kg h(-1) m(-2). Noni juice was concentrated from 8 to 32 degrees Brix after 60 min of treatment. The content of phenolic compounds was preserved after this processing. Simulation algorithms based on phenomenological equations of heat and mass transfer were developed considering a resistances-in-series model to predict the performance of the process from theoretical information. The values of transmembrane water flux obtained by simulations showed deviations between 2.35 and 16.19% with the experimental ones for the operating conditions applied in this work. (C) 2008 Elsevier B.V. All rights reserved.</t>
  </si>
  <si>
    <t>Romero, Julio/I-6705-2013; Valdes, Hugo/H-2019-2017</t>
  </si>
  <si>
    <t>Romero, Julio/0000-0002-1229-1592; Plaza, Andrea/0000-0001-9475-007X; Valdes, Hugo/0000-0002-2486-5872</t>
  </si>
  <si>
    <t>0376-7388</t>
  </si>
  <si>
    <t>1873-3123</t>
  </si>
  <si>
    <t>10.1016/j.memsci.2008.12.053</t>
  </si>
  <si>
    <t>WOS:000264612500022</t>
  </si>
  <si>
    <t>Araya, D; Castro, R; Lizama, C</t>
  </si>
  <si>
    <t>Araya, Daniela; Castro, Rodrigo; Lizama, Carlos</t>
  </si>
  <si>
    <t>Almost Automorphic Solutions of Difference Equations</t>
  </si>
  <si>
    <t>ADVANCES IN DIFFERENCE EQUATIONS</t>
  </si>
  <si>
    <t>We study discrete almost automorphic functions (sequences) defined on the set of integers with values in a Banach space X. Given a bounded linear operator T defined on X and a discrete almost automorphic function f(n), we give criteria for the existence of discrete almost automorphic solutions of the linear difference equation Delta u(n) = Tu(n) + f(n). We also prove the existence of a discrete almost automorphic solution of the nonlinear difference equation Delta u(n) = Tu(n) + g(n, u(n)) assuming that g(n, x) is discrete almost automorphic in n for each x is an element of X, satisfies a global Lipschitz type condition, and takes values on X. Copyright (C) 2009 Daniela Araya et al.</t>
  </si>
  <si>
    <t>; Lizama, Carlos/E-5909-2011</t>
  </si>
  <si>
    <t>Castro, Rodrigo/0000-0003-0010-7775; Araya Bastias, Daniela Andrea/0000-0002-3395-3348; Lizama, Carlos/0000-0002-9807-1100</t>
  </si>
  <si>
    <t>1687-1847</t>
  </si>
  <si>
    <t>10.1155/2009/591380</t>
  </si>
  <si>
    <t>WOS:000269040300001</t>
  </si>
  <si>
    <t>Rezende, MC; Oñate, R; Domínguez, M; Millán, D</t>
  </si>
  <si>
    <t>Caroli Rezende, Marcos; Onate, Ruben; Dominguez, Moises; Millan, Daniela</t>
  </si>
  <si>
    <t>Solvatochromism and Halochromism of N-(4-Oxyphenyl) 5-nitro-2-thiophenecarboxaldimine</t>
  </si>
  <si>
    <t>SPECTROSCOPY LETTERS</t>
  </si>
  <si>
    <t>The solvatochromic behavior of the title phenolate 1 was described and interpreted by means of theoretical calculations employing the PCM model and a TD-DFT method. The cationic halochromism of 1 was studied in DMSO and in ethanol solutions of LiClO4 and interpreted by a simple model that reproduced the variation of the charge-transfer transition energy of 1 with the cation concentration in solution.</t>
  </si>
  <si>
    <t>Millan, Daniela/ABD-4398-2021; Caroli, Marcos/H-3570-2019; Domínguez, Moisés/M-3457-2014</t>
  </si>
  <si>
    <t>Millan, Daniela/0000-0002-4264-7967; Rezende, Marcos/0000-0003-2040-9009; Dominguez, Moises/0000-0002-8444-3065</t>
  </si>
  <si>
    <t>0038-7010</t>
  </si>
  <si>
    <t>1532-2289</t>
  </si>
  <si>
    <t>PII 908801786</t>
  </si>
  <si>
    <t>10.1080/00387010802428617</t>
  </si>
  <si>
    <t>WOS:000263554600004</t>
  </si>
  <si>
    <t>Rubio, MA; Lissi, E; Villena, G</t>
  </si>
  <si>
    <t>Rubio, Maria A.; Lissi, Eduardo; Villena, Guillermo</t>
  </si>
  <si>
    <t>Factors determining the concentration of nitrite in dew from Santiago, Chile</t>
  </si>
  <si>
    <t>ATMOSPHERIC ENVIRONMENT</t>
  </si>
  <si>
    <t>Dew was collected in Santiago City at different locations and over different surfaces. High pHs (ca 7.0) and nitrite concentrations were observed in all the samples, irrespective of the location of the sampler and the material of the collecting surface. pH of the samples correlates with sulfate, nitrate and ammonium concentrations. This parameter is the most important determinant of the amount of nitrite present in the collected dew. This suggests that transfer from the gas phase Could be relevant in HONO capture. The increase in nitrite concentrations in dew collected during the period from 1995 to 2006 can be explained in terms of an increase in the average samples' pH along this period. (C) 2008 Elsevier Ltd. All rights reserved.</t>
  </si>
  <si>
    <t>Villena, Guillermo/0000-0002-1867-1879</t>
  </si>
  <si>
    <t>1352-2310</t>
  </si>
  <si>
    <t>1873-2844</t>
  </si>
  <si>
    <t>10.1016/j.atmosenv.2008.05.055</t>
  </si>
  <si>
    <t>WOS:000261006100009</t>
  </si>
  <si>
    <t>Pérez, JM; Arenas, FA; Pradenas, GA; Sandoval, JM; Vásquez, CC</t>
  </si>
  <si>
    <t>Perez, Jose Manuel; Arenas, Felipe A.; Pradenas, Gonzalo A.; Sandoval, Juan M.; Vasquez, Claudio C.</t>
  </si>
  <si>
    <t>Escherichia coli YqhD exhibits aldehyde reductase activity and protects from the harmful effect of lipid peroxidation-derived aldehydes</t>
  </si>
  <si>
    <t>JOURNAL OF BIOLOGICAL CHEMISTRY</t>
  </si>
  <si>
    <t>Evidence that Escherichia coli YqhD is involved in bacterial response to compounds that generate membrane lipid peroxidation is presented. Overexpression of yqhD results in increased resistance to the reactive oxygen species-generating compounds hydrogen peroxide, paraquat, chromate, and potassium tellurite. Increased tolerance was also observed for the lipid peroxidation-derived aldehydes butanaldehyde, propanaldehyde, acrolein, and malondialdehyde and the membrane-peroxidizing compound tert-butylhydroperoxide. Expression of yqhD was also associated with changes in the concentration of intracellular peroxides and cytoplasmic protein carbonyl content and with a reduction in intracellular acrolein levels. When compared with the wild type strain, an yqhD mutant exhibited a sensitive phenotype to all these compounds and also augmented levels of thiobarbituric acid-reactive substances, which may indicate an increased level of lipid peroxidation. Purified YqhD catalyzes the in vitro reduction of acetaldehyde, malondialdehyde, propanaldehyde, butanaldehyde, and acrolein in a NADPH-dependent reaction. Finally, yqhD transcription was induced in cells that had been exposed to conditions favoring lipid peroxidation. Taken together these results indicate that this enzyme may have a physiological function by protecting the cell against the toxic effect of aldehydes derived from lipid oxidation. We speculate that in Escherichia coli YqhD is part of a glutathione-independent, NADPH-dependent response mechanism to lipid peroxidation.</t>
  </si>
  <si>
    <t>Perez-Donoso, Jose/G-3668-2013</t>
  </si>
  <si>
    <t>Perez-Donoso, Jose/0000-0002-9506-1716</t>
  </si>
  <si>
    <t>1083-351X</t>
  </si>
  <si>
    <t>MAR 21</t>
  </si>
  <si>
    <t>10.1074/jbc.M708846200</t>
  </si>
  <si>
    <t>WOS:000253997900008</t>
  </si>
  <si>
    <t>de los Ríos, V</t>
  </si>
  <si>
    <t>de los Rios, Valeria</t>
  </si>
  <si>
    <t>Showing and Talking: Visuality and writings in Quijote</t>
  </si>
  <si>
    <t>IBEROROMANIA</t>
  </si>
  <si>
    <t>0019-0993</t>
  </si>
  <si>
    <t>10.1515/iber.2007.005</t>
  </si>
  <si>
    <t>WOS:000261162000004</t>
  </si>
  <si>
    <t>Monsalve, A; Artigas, A; Celentano, D; Meléndez, F</t>
  </si>
  <si>
    <t>Numerical and experimental simulation of mechanical and microstructural transformations in batch annealing steels</t>
  </si>
  <si>
    <t>The heating and cooling curves during batch annealing process of low carbon steels have been modeled using the finite element technique. This has allowed to predict the transient thermal profile for every point of the annealed coils, particularly for the hottest and coldest ones. Through experimental measurements, the results have been adequately validated since a good agreement has been found between experimental values and those predicted by the model. Moreover, an Avrami recristalization model has been Coupled to this thermal balance computation. Interrupted annealing experiments have been made by measuring the recristalized fraction on the extreme points of the coil for different times. These data gave the possibility to validate the developed recristalization model through a reasonably good numerical-experimental fitting.</t>
  </si>
  <si>
    <t>Celentano, Diego/JQW-5027-2023</t>
  </si>
  <si>
    <t>10.3989/revmetalm.2004.v40.i3.263</t>
  </si>
  <si>
    <t>WOS:000224266100005</t>
  </si>
  <si>
    <t>Lizama, C; Sánchez, J</t>
  </si>
  <si>
    <t>On perturbation of k-regularized resolvent families</t>
  </si>
  <si>
    <t>TAIWANESE JOURNAL OF MATHEMATICS</t>
  </si>
  <si>
    <t>In this paper we study additive perturbations of a linear Volterra integral equation defined in a Banach space X by means of k-regularized resolvent families. We give also a representation formula for the generator of such family, under certain conditions on the scalar kernel k(t).</t>
  </si>
  <si>
    <t>Sánchez, Justino/AAB-8477-2022; Lizama, Carlos/E-5909-2011</t>
  </si>
  <si>
    <t>Sanchez, Justino/0000-0002-9607-5204; Lizama, Carlos/0000-0002-9807-1100</t>
  </si>
  <si>
    <t>1027-5487</t>
  </si>
  <si>
    <t>WOS:000183943700004</t>
  </si>
  <si>
    <t>Rabagliati, FM; Pérez, MA; Cancino, RA; Rodríguez, FJ; Caro, CJ</t>
  </si>
  <si>
    <t>Homo- and copolymerization of styrene using combined diphenylzinc-additive initiator systems</t>
  </si>
  <si>
    <t>MACROMOLECULAR SYMPOSIA</t>
  </si>
  <si>
    <t>39th International Symposium on Macromolecules</t>
  </si>
  <si>
    <t>JUL 07-12, 2002</t>
  </si>
  <si>
    <t>BEIJING, PEOPLES R CHINA</t>
  </si>
  <si>
    <t>Chinese Chem Soc</t>
  </si>
  <si>
    <t>Combined systems including diphenylzinc, Ph2Zn, a metallocene, and methylaluminoxane, MAO, have been employed to initiate styrene polymerization and the copolymerization of styrene with p-alkylsubstituted styrenes and alpha-olefins. Both polymerization and copolymerization processes depend on the nature of the metallocene included in the initiator system, the presence of Ph2Zn, the temperature, and the solvent used. S/1-alkene copolymers were obtained when the initiator systems included a zirconocene, but not when a titanocene participated.</t>
  </si>
  <si>
    <t>10.1002/masy.200390148</t>
  </si>
  <si>
    <t>WOS:000184474400012</t>
  </si>
  <si>
    <t>Palma, G; Meyer, T; Labbé, R</t>
  </si>
  <si>
    <t>Generalized universality in highly correlated systems of finite size</t>
  </si>
  <si>
    <t>In recents works [1] (BHP), a generalized universality has been proposed, linking phenomena as dissimilar as 2D magnetism and turbulence. This universal behavior was attributed to systems sharing the the properties of high correlations, self-organized criticality and finite size effects. To study these phenomena, we performed a high precision Monte Carlo (MC) simulation of the 2DXY-model. [2]. We found that the shape of the probability distribution function for the magnetization M is non Gaussian and independent of the System Size, below the Kosterlitz-Thoules temperature [3]. However, the shape of these distributions do depend on the temperature, contrarily to the claim of (BHP). This behaviour is succesfully explained by using an extended finite-size scaling analysis and the existence of bounds for M.</t>
  </si>
  <si>
    <t>Labbé, Raúl/C-4581-2008</t>
  </si>
  <si>
    <t>WOS:000180065500008</t>
  </si>
  <si>
    <t>Vivanco, F; Melo, F</t>
  </si>
  <si>
    <t>Exploring surface waves vortex interaction in deep water: a classical analog of the Quantum Mechanics Aharonov-Bohm effect.</t>
  </si>
  <si>
    <t>We present a simple experiment to study the interaction of surface waves with a vertical vortex in the deep water regime, Similarly to what occurs in the Quantum Mechanics Aharonov-Bohm problem for electron interacting with a magnetic potential, the effect of the vortex circulation is to introduce dislocations in the wavefront. These defects are explained taken into account the effects of advection on the propagating wavefront, due to the fluid motion.</t>
  </si>
  <si>
    <t>Melo, Francisco/M-3923-2014; Vivanco, Francisco/AAB-8928-2019</t>
  </si>
  <si>
    <t>Melo, Francisco Esteban/0000-0001-6818-5476</t>
  </si>
  <si>
    <t>WOS:000180065500005</t>
  </si>
  <si>
    <t>Flaw simulation in castings inspection by radioscopy</t>
  </si>
  <si>
    <t>INSIGHT</t>
  </si>
  <si>
    <t>In order to evaluate the sensitivity of defect inspection systems, it is convenient to examine simulated data. This gives the possibility to tune the parameters of the inspection method and to test the performance of the system in critical cases. Among the non-destructive testing and evaluation community there are three approaches that produce this simulated data. The first technique attempts to simulate flaws by superimposing masks with different grey values on to real X-ray images. The second approach makes a simulation of the entire X-ray imaging process, in which casting and flaws are simulated using CA-D models. The third method simulates only the flaws (and not the whole X-ray image of the object under test) by superimposing projections of 3D models on to real X-ray images. In this paper, a review of the mentioned approaches of flaw simulation in castings is presented. References, advantages, disadvantages and examples are given for each technique.</t>
  </si>
  <si>
    <t>1354-2575</t>
  </si>
  <si>
    <t>WOS:000171393500012</t>
  </si>
  <si>
    <t>Stabilization of hereditary distributed parameter control systems</t>
  </si>
  <si>
    <t>SYSTEMS &amp; CONTROL LETTERS</t>
  </si>
  <si>
    <t>In this paper, we study the asymptotic stabilization of semilinear distributed parameter control systems with delay. Assuming that the semigroup of operators associated with the uncontrolled and undelayed equation is compact we prove that a well known rank condition, which implies the feedback stabilization for lumped systems, can be extended to this type of systems. (C) 2001 Elsevier Science BN. All rights reserved.</t>
  </si>
  <si>
    <t>0167-6911</t>
  </si>
  <si>
    <t>SEP 15</t>
  </si>
  <si>
    <t>10.1016/S0167-6911(01)00104-9</t>
  </si>
  <si>
    <t>WOS:000170635100004</t>
  </si>
  <si>
    <t>Rezende, MC</t>
  </si>
  <si>
    <t>A theoretical HSAB study of the acidity of carbon acids CH3Z</t>
  </si>
  <si>
    <t>JOURNAL OF THE BRAZILIAN CHEMICAL SOCIETY</t>
  </si>
  <si>
    <t>The gas-phase acidity of nine carbon acids of the form CH(3)Z (nitromethane, acetophenone, dimethylsulfone, acetaldehyde, butanone, acetone, methyl acetate, acetonitrile and dimethylsulfoxide) was investigated, in the search of correlations with global and local HSAB properties, calculated at the 3-21G, 6-31G* and 6-31+G(3df, 2p) levels. A reasonable correlation was obtained with the calculated ionization energies. Based on the obtained correlation, the gasphase acidity of methyl thioacetate was estimated (DeltaG(o) = 1476 kJ mol(-1)) as close to that of the most acidic member of the series, nitromethane. The nucleophilic Fukui functions of the hard and soft anionic centers in each base - CH(2)Z stabilized by direct conjugation were calculated, following two different approaches, and their ratios utilized to interpret the shifts in acidity when the acids are transferred from gas-phase to aqueous solution.</t>
  </si>
  <si>
    <t>Caroli, Marcos/H-3570-2019</t>
  </si>
  <si>
    <t>Rezende, Marcos/0000-0003-2040-9009</t>
  </si>
  <si>
    <t>0103-5053</t>
  </si>
  <si>
    <t>WOS:000166922900009</t>
  </si>
  <si>
    <t>Navarro, P; Simpson, J; Vargas, C; Cifuentes, G</t>
  </si>
  <si>
    <t>Mishra, B</t>
  </si>
  <si>
    <t>Solvent extraction of antimony by LIX 1104-SM from sulfuric solutions</t>
  </si>
  <si>
    <t>EPD CONGRESS 1999</t>
  </si>
  <si>
    <t>EPD CONGRESS</t>
  </si>
  <si>
    <t>1999 EPD Congress, at the 1999 TMS Annual Meeting</t>
  </si>
  <si>
    <t>FEB 28-MAR 04, 1999</t>
  </si>
  <si>
    <t>Minerals Met &amp; Mat Soc, Extract &amp; Proc Div</t>
  </si>
  <si>
    <t>The behavior and operability of LIX 1104SM extraction was studied at laboratory scale on the Solvent Extraction at Sb3+, from high concentration sulfuric acid. In order to evaluate the reactant batch tests were made at laboratory scale as well for extraction as for re-extraction of Sb3+. Experiences achieved were: extraction kinetics, temperature effects, selectivity tests and re-extraction selectivity. A extraction kinetics was found, reaching equilibrium in 2 min, high selectivity of Sb3+ extraction in front of Cu2+, existing As5+ co-extraction and Fe3+ At the re-extraction stage, equilibrium was reached in 3 min,getting high Sb3+ reextraction efficiency with HCl concentrations within 6 and 8 M. A high selectivity was achieved on Sb3+ re-extraction in front of As+5, existing Fe+5 re-extraction.</t>
  </si>
  <si>
    <t>1079-7580</t>
  </si>
  <si>
    <t>0-87339-422-4</t>
  </si>
  <si>
    <t>WOS:000080238500058</t>
  </si>
  <si>
    <t>Abuin, E; Lissi, E</t>
  </si>
  <si>
    <t>Fluorescence quenching in the study of micellar and vesicular systems</t>
  </si>
  <si>
    <t>WOS:A1997WR46900014</t>
  </si>
  <si>
    <t>Firinguetti, L</t>
  </si>
  <si>
    <t>Ridge regression in the context of a system of seemingly unrelated regression equations</t>
  </si>
  <si>
    <t>JOURNAL OF STATISTICAL COMPUTATION AND SIMULATION</t>
  </si>
  <si>
    <t>This paper discusses the use of Ridge Regression in the context of a system of Seemingly Unrelatged Regression Equations, when the explanatory variables are affected by multicollinearity. The properties of Ridge Regression estimators are derived assuming the shrinkage parameters are nonstochastic. The optimal values of the parameters are found to be dependent on the unknown parameters of the model. Some operational Ridge Regression estimators are proposed and then compared, in a Monte Carlo study, with an operational Generalized Least Squares estimator. It is found that the Ridge Regression estimators can outperform the Operational Generalized Least Squares estimator, when the data are multicollinear and the signal to noise ratio of the equations is not too large.</t>
  </si>
  <si>
    <t>0094-9655</t>
  </si>
  <si>
    <t>10.1080/00949659708811785</t>
  </si>
  <si>
    <t>WOS:A1997WK36500003</t>
  </si>
  <si>
    <t>Palma, G; Rojas, JC</t>
  </si>
  <si>
    <t>Variational study of the phase transition at finite T in the lambda phi(4)-theory</t>
  </si>
  <si>
    <t>NUCLEAR PHYSICS B</t>
  </si>
  <si>
    <t>Annual International Symposium on Lattice Field Theory</t>
  </si>
  <si>
    <t>JUL 11-15, 1995</t>
  </si>
  <si>
    <t>MELBOURNE, AUSTRALIA</t>
  </si>
  <si>
    <t>Assuming triviality of the 4-dimensional lambda phi(4)-theory we compute the effective potential by means of a self consistent Feynman-Bogoliubov method. This potential U-eff(FB) depends on a UV-cutoff, which is fixed by a stability condition for the gap-equation for the plasma mass. It shows a second order phase transition at zero temperature, in agreement with a large amount of analytical and RG analysis as well as Monte Carlo numerical evidence. As the cutoff Lambda is removed the renormalized self coupling constant lambda(R) goes to zero consistent with the claim of triviality. At finite temperature the phase transition becomes weakly first order.</t>
  </si>
  <si>
    <t>0550-3213</t>
  </si>
  <si>
    <t>1873-1562</t>
  </si>
  <si>
    <t>10.1016/0920-5632(96)00157-0</t>
  </si>
  <si>
    <t>WOS:A1996UK87300126</t>
  </si>
  <si>
    <t>MEZA, RS</t>
  </si>
  <si>
    <t>ORPHANS AND FAMILY DISINTEGRATION IN CHILE - THE MORTALITY OF ABANDONED CHILDREN, 1750-1930</t>
  </si>
  <si>
    <t>JOURNAL OF FAMILY HISTORY</t>
  </si>
  <si>
    <t>0363-1990</t>
  </si>
  <si>
    <t>1552-5473</t>
  </si>
  <si>
    <t>10.1177/036319909101600307</t>
  </si>
  <si>
    <t>WOS:A1991GB98500007</t>
  </si>
  <si>
    <t>LISSI, EA; CLAVERO, N</t>
  </si>
  <si>
    <t>INACTIVATION OF LYSOZYME BY ALKYLPEROXYL RADICALS</t>
  </si>
  <si>
    <t>FREE RADICAL RESEARCH COMMUNICATIONS</t>
  </si>
  <si>
    <t>8755-0199</t>
  </si>
  <si>
    <t>10.3109/10715769009149886</t>
  </si>
  <si>
    <t>WOS:A1990DQ90100005</t>
  </si>
  <si>
    <t>ZANARTU, CU; ZANARTU, MSU</t>
  </si>
  <si>
    <t>UNDERPOTENTIAL DEPOSITION OF LEAD ON IRIDIUM ELECTRODE .1. BEHAVIOR OF IR-PB SYSTEMS IN ALKALI</t>
  </si>
  <si>
    <t>ANALES DE QUIMICA SERIE A-QUIMICA FISICA Y QUIMICA TECNICA</t>
  </si>
  <si>
    <t>0211-1330</t>
  </si>
  <si>
    <t>MAY-AUG</t>
  </si>
  <si>
    <t>WOS:A1989AJ63400010</t>
  </si>
  <si>
    <t>ALVAREZ, PI; LEGUES, P</t>
  </si>
  <si>
    <t>A SEMI-THEORETICAL MODEL FOR THE DRYING OF THOMPSON SEEDLESS GRAPES</t>
  </si>
  <si>
    <t>10.1080/07373938608916308</t>
  </si>
  <si>
    <t>WOS:A1986A751200001</t>
  </si>
  <si>
    <t>GARIN, JL; SOLAR, MA</t>
  </si>
  <si>
    <t>SYNTHESIS AND CRYSTAL SYMMETRY OF A MONOCLINIC MODIFICATION OF MOO3.H2O</t>
  </si>
  <si>
    <t>ACTA CRYSTALLOGRAPHICA SECTION A</t>
  </si>
  <si>
    <t>0108-7673</t>
  </si>
  <si>
    <t>C229</t>
  </si>
  <si>
    <t>10.1107/S0108767384093090</t>
  </si>
  <si>
    <t>WOS:A1984TK54500671</t>
  </si>
  <si>
    <t>FOXLEY, C</t>
  </si>
  <si>
    <t>CONVERSATIONS WITH LIHN,ENRIQUE - SPANISH - LASTRA,P</t>
  </si>
  <si>
    <t>10.2307/4530100</t>
  </si>
  <si>
    <t>WOS:A1983QT25200016</t>
  </si>
  <si>
    <t>JABALQUINTO, AM; EYZAGUIRRE, J; CARDEMIL, E</t>
  </si>
  <si>
    <t>EVIDENCE OF ESSENTIAL ARGINYL RESIDUES IN CHICKEN LIVER MEVALONATE-5-PYROPHOSPHATE DECARBOXYLASE</t>
  </si>
  <si>
    <t>ARCHIVES OF BIOCHEMISTRY AND BIOPHYSICS</t>
  </si>
  <si>
    <t>Chicken liver mevalonate-5-pyrophosphate decarboxylase is inactivated by phenylglyoxal in triethanolamine buffer at pH 8.15. The reaction follows pseudo-first-order kinetics with a second-order rate constant of 108 M-1 min-1. Appropriate treatment of the kinetic data for the inactivation reaction indicates that the reaction of a single phenylglyoxal molecule per active unit of the enzyme is enough to completely inactivate the protein. The partially inactivated enzyme shows unaltered Km but decreased Vmax as compared to native mevalonate-5-pyrophosphate decarboxylase. The Kd for the enzyme-substrate complexes were estimated from inactivation reactions at different concentrations of substrates. The modified amino acid is probably important for the binding of both substrates.</t>
  </si>
  <si>
    <t>0003-9861</t>
  </si>
  <si>
    <t>1096-0384</t>
  </si>
  <si>
    <t>10.1016/0003-9861(83)90038-3</t>
  </si>
  <si>
    <t>WOS:A1983RD44200038</t>
  </si>
  <si>
    <t>MATSUHIRO, B; ZANLUNGO, AB</t>
  </si>
  <si>
    <t>POLYSACCHARIDES FROM CHILEAN SEAWEEDS .2. STUDIES ON IRIDAEA-LAMINARIOIDES</t>
  </si>
  <si>
    <t>It was found that the water soluble polysaccharide from I. laminarioides has a galactose:3,6-anhydrosugar:sulphate molar relation of 1.00:0.32:1.07. This polysaccharide was fractionated into 3 fractions by precipitation with KCl. At 0.0625 M KCl concentration, fraction 1 (4%), having a molar relation of 1.00:0.14:0.95, was separated. With 0.25 M KCl concentration, fraction 2 (15.7%) of molar relation 1.00:0.50:1.15 was isolated. From the remaining, fraction 3 (30.3%) of molar relation 1.00:0.33:1.56 was separated. By correlation with literature data it may be concluded that the polysaccharide from I. laminarioides approaches the composition and the properties of a carrageenan. The deviation shown by this colloid from the composition and the behavior of the most typical carrageenans is less pronounced than that shown by many polysaccharides classified in this group.</t>
  </si>
  <si>
    <t>10.1515/botm.1976.19.5.317</t>
  </si>
  <si>
    <t>WOS:A1976CM64200007</t>
  </si>
  <si>
    <t>Urrea, C</t>
  </si>
  <si>
    <t>Urrea, Claudio</t>
  </si>
  <si>
    <t>Hybrid Fault-Tolerant Control in Cooperative Robotics: Advances in Resilience and Scalability</t>
  </si>
  <si>
    <t>ACTUATORS</t>
  </si>
  <si>
    <t>Cooperative robotics relies on robust fault-tolerant control (FTC) to maintain resilience in dynamic environments, where actuators are pivotal to system reliability. This review synthesizes advancements in hybrid FTC, integrating mechanical redundancy with electronic adaptability and learning-based techniques like deep reinforcement learning and swarm-optimized control, drawing from interdisciplinary evidence across manufacturing, healthcare, agriculture, space exploration, and underwater robotics. It examines how these approaches enhance uptime, precision, and coordination in multi-robot systems, reporting significant improvements despite physical validation being limited to approximately one-quarter of strategies. Addressing gaps in prior work by overcoming limitations of traditional methods, it extends to Construction 5.0, supporting human-robot collaboration (HRC) through scalability and adaptability. Future efforts will prioritize broader testing, standardized benchmarks, safety considerations, and optimization under uncertainty to align theoretical gains with practical outcomes, enhancing resilient automation across domains.</t>
  </si>
  <si>
    <t>2076-0825</t>
  </si>
  <si>
    <t>APR 4</t>
  </si>
  <si>
    <t>10.3390/act14040177</t>
  </si>
  <si>
    <t>WOS:001474646000001</t>
  </si>
  <si>
    <t>Araujo, K</t>
  </si>
  <si>
    <t>Araujo, Kathya</t>
  </si>
  <si>
    <t>Political Processes and Social Moralities in Chile (1990-2024)</t>
  </si>
  <si>
    <t>Recent political events in Chile- a 2019 social outburst, attempted constitution-making processes ending in rejection, and electoral volatility-have raised questions about the reasons behind seemingly contradictory aspects of these phenomena. This article addresses these questions by analysing the relationship between social moralities and politics. Based on empirical research, it argues that an initial phase of relative autonomy of these two spheres has been followed by a stage of deep interconnection between them. This shift has fuelled individuals' moral critiques and detachment from institutional political dynamics, a conjunction that has created a context of high volatility, rejection and scarce ideological and electoral loyalty.</t>
  </si>
  <si>
    <t>Araujo, Kathya/B-5520-2014</t>
  </si>
  <si>
    <t>Araujo, Kathya/0000-0002-7314-3577</t>
  </si>
  <si>
    <t>2025 MAR 4</t>
  </si>
  <si>
    <t>10.1111/blar.70002</t>
  </si>
  <si>
    <t>MAR 2025</t>
  </si>
  <si>
    <t>WOS:001437070500001</t>
  </si>
  <si>
    <t>Quiroz, AAG</t>
  </si>
  <si>
    <t>Quiroz, Aldo Andres Garrido</t>
  </si>
  <si>
    <t>The dispute over sovereignty of the northern Antarctic zone (2012-2022)</t>
  </si>
  <si>
    <t>REVISTA CIENTIFICA GENERAL JOSE MARIA CORDOVA</t>
  </si>
  <si>
    <t>This article analyzes the dispute over the northern part of Antarctica, particularly the Antarctic Peninsula, involving Argentina, Chile, and the United Kingdom, as well as Brazil's sovereign claim, from 2012 to 2022 through the lens of classical geopolitics. It is grounded in a documentary review of treaties, state declarations, specialized literature, and press releases. Employing a qualitative and comparative methodology, the text delineates events between 1938 and 1959, explicating territorial claims and the Antarctic Treaty, which has preserved geopolitical stability until recently when new technological, environmental, and geopolitical challenges emerged. The article posits that these national territorial assertions render the notion of Antarctica as a Common Heritage of Humanity untenable.</t>
  </si>
  <si>
    <t>1900-6586</t>
  </si>
  <si>
    <t>2500-7645</t>
  </si>
  <si>
    <t>10.21830/19006586.1209</t>
  </si>
  <si>
    <t>WOS:001415915700013</t>
  </si>
  <si>
    <t>Briceño, S</t>
  </si>
  <si>
    <t>Briceno, Sebastian</t>
  </si>
  <si>
    <t>Judgment, truth and reality in F. H. Bradley. Trans/Form/Ação: Unesp journal of philosophy</t>
  </si>
  <si>
    <t>TRANS-FORM-ACAO</t>
  </si>
  <si>
    <t>What does the truth of a judgment consist of, according to F. H. Bradley? What is its ultimate nature? In particular, how does such a property relate to reality? At least three interpretive theses have been offered: (i) that Bradley defended a theory of truth as coherence; (ii) that, rather, Bradley defended a robust variant of the identity theory of truth; and (iii) that, in any case, Bradley rejected the correspondence theory of truth. In this article I question these three theses and argue that the position defended by Bradley is perfectly compatible with a weak variant of the correspondence theory of truth. This, by the way, makes his position vulnerable to certain objections. Bradley's merit consists not so much in having answered them satisfactorily as in having anticipated them and assumed them as eventual consequences of his position.</t>
  </si>
  <si>
    <t>Briceno Dominguez, Jose Sebastian/0000-0003-3040-4869</t>
  </si>
  <si>
    <t>0101-3173</t>
  </si>
  <si>
    <t>1980-539X</t>
  </si>
  <si>
    <t>e02400217</t>
  </si>
  <si>
    <t>10.1590/0101-3173.2024.v47.n3.e02400217</t>
  </si>
  <si>
    <t>WOS:001325510800011</t>
  </si>
  <si>
    <t>Lizarraga, AP; Correa, CB; Bascur, EF; Magnere, PP</t>
  </si>
  <si>
    <t>Lizarraga, Amaya Pavez; Correa, Cecilia Baeza; Bascur, Eyleen Faure; Magnere, Patricia Pallavicini</t>
  </si>
  <si>
    <t>AGEISM AND DISCOURSES OF OLDER PEOPLE ON OLD AGE AND AGING IN CHILE</t>
  </si>
  <si>
    <t>ATHENEA DIGITAL</t>
  </si>
  <si>
    <t>The results that we present, account for the meanings associated with discourses of Chilean older people, about old age and aging. As a frame of reference, we draw on critical gerontology and feminist and intersectional approaches to the conditions of aging in Latin America. We work from the biographical method. The reiteration of negative stereotypes in relation to the old subject was verified, considering illness, loss and precariousness as predominant characteristics. Similarly, we observe tensions in the identification processes associated with old age, distancing themselves from the negative stereotypes associated with this stage. We verified continuity and changes in the gender role. We present speeches that emphasize self-care and social participation with age peers, as an emergency against negative stereotypes. The influence of ageism in discourses is concluded, reinforcing the devaluation of this stage for those who live it.</t>
  </si>
  <si>
    <t>1578-8946</t>
  </si>
  <si>
    <t>e3386</t>
  </si>
  <si>
    <t>10.5565/rev/athenea.3386</t>
  </si>
  <si>
    <t>WOS:001086406800005</t>
  </si>
  <si>
    <t>Orellana, CR; Martinez, JA</t>
  </si>
  <si>
    <t>Orellana, Cesar Ross; Martinez, Jorge Alfaro</t>
  </si>
  <si>
    <t>CHILE IN THE DOUBLE ASYMMETRY, 1883-1930: WEAKER THAN THE UNITED STATES AND STRONGER THAN PERU</t>
  </si>
  <si>
    <t>REVISTA NOTAS HISTORICAS Y GEOGRAFICAS</t>
  </si>
  <si>
    <t>The article addresses the challenges of Chile's foreign policy and international relations in the post-Pacific War period. Based on the double asymmetry scheme, we affirm that the country acted as an intermediate state, with a pragmatic foreign policy, focused on compensating its weakness in the face of the regressive change of the international context, characterized by the decline of the United Kingdom, the rise of the United States, and the hostility of its neighbors derived from the war.In this scenario, Chile had to adjust its foreign policy to preserve its major interests, showing its awareness of being an intermediate and pragmatic state, stronger than Peru and weaker than the United States.The research that supports this work is based on specialized historiography and on the primary sources deposited in the archives that we have cited in the text.</t>
  </si>
  <si>
    <t>0717-036X</t>
  </si>
  <si>
    <t>0719-4404</t>
  </si>
  <si>
    <t>WOS:001108322900006</t>
  </si>
  <si>
    <t>Díaz, MTM; Oróstica, HC; Guajardo, J</t>
  </si>
  <si>
    <t>Diaz, Maria Teresa Munoz; Orostica, Hector Chavez; Guajardo, Javiera</t>
  </si>
  <si>
    <t>Economic Analysis: Green Hydrogen Production Systems</t>
  </si>
  <si>
    <t>PROCESSES</t>
  </si>
  <si>
    <t>The continued use of energy sources based on fossil fuels has various repercussions for the environment. These repercussions are being minimized through the use of renewable energy supplies and new techniques to decarbonize the global energy matrix. For many years, hydrogen has been one of the most used gases in all kinds of industry, and now it is possible to produce it efficiently, on a large scale, and in a non-polluting way. This gas is mainly used in the chemical industry and in the oil refining industry, but the constant growth of its applications has generated the interest of all the countries of the world. Its use in transportation, petrochemical industries, heating equipment, etc., will result in a decrease in the production of greenhouse gases, which are harmful to the environment. This means hydrogen is widely used and needed by countries, creating great opportunities for hydrogen export business. This paper details concepts about the production of green hydrogen, its associated technologies, and demand projections. In addition, the current situation of several countries regarding the use of this new fuel, their national strategy, and advances in research carried out in different parts of the world for various hydrogen generation projects are discussed. Additionally, the great opportunities that Chile has for this new hydrogen export business, thanks to the renewable energy production capacities in the north and south of the country, are discussed. The latter is key for countries that require large amounts of hydrogen to meet the demand from various industrial, energy, and transportation sectors. Therefore, it is of global importance to determine the real capacities that this country has in the face of this new green fuel. For this, modeling was carried out through mathematical representations, showing the behavior of the technologies involved in the production of hydrogen for a system composed of an on-grid photovoltaic plant, an electrolyser, and compressor, together with a storage system. The program optimized the capacities of the equipment in such a way as to reduce the costs of hydrogen production and thereby demonstrate Chile's capacity for the production of this fuel. From this, it was found that the LCOH for the case study was equivalent to 3.5 USD/kg, which is not yet considered a profitable value for the long term. Due to this, five case studies were analyzed, to see what factors influence the LCOH, and thereby reduce it as much as possible.</t>
  </si>
  <si>
    <t>Chavez, Hector/0000-0003-2849-0876</t>
  </si>
  <si>
    <t>2227-9717</t>
  </si>
  <si>
    <t>MAY 4</t>
  </si>
  <si>
    <t>10.3390/pr11051390</t>
  </si>
  <si>
    <t>WOS:000996552400001</t>
  </si>
  <si>
    <t>Vivanco-Avaria, FJ; Melo-Hurtado, FE</t>
  </si>
  <si>
    <t>Vivanco-Avaria, Francisco J. J.; Melo-Hurtado, Francisco E. E.</t>
  </si>
  <si>
    <t>Arching Propagation and Safety in Underground Mining</t>
  </si>
  <si>
    <t>ROCK MECHANICS AND ROCK ENGINEERING</t>
  </si>
  <si>
    <t>The transformation of large open pit mines into deep underground mines brings new challenges and difficulties that put the safety and operation of the mine at risk. The distribution and fluctuations of stress on the pillars and the arching are two of the main factors that influence the probability of suffering a catastrophic event in the mine. This article focuses on the study of the influence of the arching in creating a stress depletion zone that is identified with a dilation front, which in turn is ultimately responsible for the emergence of a cavity that propagates towards the upper surface of the system. Results indicate that significant arching occurs in the zones located above the active draw-points, while stress is concentrated around them. When single draw-point is operated the stress screening is significative because the large cavity created by the arching. This screening is dramatically reduced when two neighbouring draw-points are operated simultaneously. The increase in the size of the screening zone is associated with a decrease in the granular packing. By counterbalacing the particles flow from top surface we find a relationship between the cavity's volume and the volume of removed material. A discussion of the effect of the operation method of two neighbouring draw-points on the effective arch size is included.</t>
  </si>
  <si>
    <t>Melo, Francisco/M-3923-2014</t>
  </si>
  <si>
    <t>0723-2632</t>
  </si>
  <si>
    <t>1434-453X</t>
  </si>
  <si>
    <t>10.1007/s00603-023-03251-0</t>
  </si>
  <si>
    <t>FEB 2023</t>
  </si>
  <si>
    <t>WOS:000926124100001</t>
  </si>
  <si>
    <t>Groba, CG</t>
  </si>
  <si>
    <t>Groba, CG; Luczak, EB; Niewiadomska-Flis, U</t>
  </si>
  <si>
    <t>Gonzalez Groba, Constante</t>
  </si>
  <si>
    <t>From the Prison of Slavery to the Slavery of Prison Incarcerated Black Bodies in Jesmyn Ward's Sing, Unburied, Sing and Colson Whitehead's The Nickel Boys</t>
  </si>
  <si>
    <t>PATHOLOGIZING BLACK BODIES: The Legacy of Plantation Slavery</t>
  </si>
  <si>
    <t>Routledge Studies in African American Literature</t>
  </si>
  <si>
    <t>978-1-032-40963-4; 978-1-003-35555-7; 978-1-032-40962-7</t>
  </si>
  <si>
    <t>10.4324/9781003355557-6</t>
  </si>
  <si>
    <t>10.4324/9781003355557</t>
  </si>
  <si>
    <t>WOS:001198018700004</t>
  </si>
  <si>
    <t>Jeftanovic, A</t>
  </si>
  <si>
    <t>Jeftanovic, Andrea</t>
  </si>
  <si>
    <t>Space, Body and Displacement through Cuba and the Soviet Orbit in the Narratives of Anna Lidia Vega Serova (Anima Fatua and Imperio domestico) and Maite Hernandez-Lorenzo (Las memorias vacias de Solange Banuelos)</t>
  </si>
  <si>
    <t>CATEDRAL TOMADA-REVISTA DE CRITICA LITERARIA LATINOAMERICANA-JOURNAL OF LATIN AMERICAN LITERARY CRITICISM</t>
  </si>
  <si>
    <t>This essay explores the relationship between space and displacement in the narratives of two women writers: Anna Lidia Vega Serova and Maite Hernandez-Lorenzo. Especially in the titles anima Fatua and Imperio domestico by the first and Las memorias vacias de Soledad Banuelos by the second. Both Cuban authors share a narrative that puts women's bodies at the center and documents displacements through cities of the Soviet orbit -belonging to Russia and Poland- and then the body trapped or confined in Havana City during the so-called Special Period (1991-1995).</t>
  </si>
  <si>
    <t>2169-0847</t>
  </si>
  <si>
    <t>10.5195/ct/2023.582</t>
  </si>
  <si>
    <t>WOS:001044368200006</t>
  </si>
  <si>
    <t>Paterakis, NV</t>
  </si>
  <si>
    <t>Paterakis, Nicolas Valenzuela</t>
  </si>
  <si>
    <t>The heterodox international relations of Marcelo Gullo Omodeo</t>
  </si>
  <si>
    <t>RAZON HISTORICA-REVISTA HISPANOAMERICANA DE HISTORIA DE LAS IDEAS</t>
  </si>
  <si>
    <t>Latin America has a long tradition of its own thinking in various fields of knowledge, and international relations are not an exception. Joining the trajectory marked by Juan Carlos Puig, Bruno Bolona, Luiz Alberto Moniz Bandeira, Helio Jaguaribe and Amado Cervo, Marcelo Gullo offers a heterodox vision of international relations that represents the synthesis of various philosophical, political and theological traditions, with the aim to deliver a map from which peripheral nations can launch into founding insubordination. This paper reviews these various sources and positions the author's vision within the current currents of international relations.</t>
  </si>
  <si>
    <t>1989-2659</t>
  </si>
  <si>
    <t>WOS:000921579100002</t>
  </si>
  <si>
    <t>Viera, E; Kaschel, H; Valencia, C</t>
  </si>
  <si>
    <t>Viera, Eduardo; Kaschel, Hector; Valencia, Claudio</t>
  </si>
  <si>
    <t>Heart Rate Variability Control Using a Biofeedback and Wearable System</t>
  </si>
  <si>
    <t>Heart rate variability is an important physiological parameter in medicine. This parameter is used as an indicator of physiological and psychological well-being and even of certain pathologies. Research on biofeedback integrates the fields of biological application (physiological behavior), system modeling, and automated control. This study proposes a new method for modeling and controlling heart rate variability as heart rate acceleration, a model expressed in the frequency domain. The model is obtained from excitation and response signals from heart rate variability, which through the instrumental variables method and the minimization of a cost function delivers a transfer function that represents the physiological phenomenon. This study also proposes the design of an adaptive controller using the reference model. The controller controls heart rate variability based on the light actuators designed here, generating a conditioned reflex that allows individuals to self-regulate their state through biofeedback, synchronizing this action to homeostasis. Modeling is conducted in a target population of middle-aged men who work as firefighters and forest firefighters. This study validates the proposed model, as well as the design of the controllers and actuators, through a simple experiment based on indoor cycling. This experiment has different segments, namely leaving inertia, non-controlled segment, and actively controlled segment.</t>
  </si>
  <si>
    <t>Viera, Eduardo/X-4490-2019</t>
  </si>
  <si>
    <t>Viera Riquelme, Eduardo/0000-0001-5264-1377; Kaschel, Hector/0000-0002-0868-7834</t>
  </si>
  <si>
    <t>10.3390/s22197153</t>
  </si>
  <si>
    <t>WOS:000867026400001</t>
  </si>
  <si>
    <t>Robinson, R; Cussen, F</t>
  </si>
  <si>
    <t>Robinson, Rachel; Cussen, Felipe</t>
  </si>
  <si>
    <t>The Spirituality of Language in Cecilia Vicuna's and Ana Maria Uribe's Visual Poetry</t>
  </si>
  <si>
    <t>We argue that the visual poetic works of the Chilean poet Cecilia Vicuna and the Argentinean poet Ana Maria Uribe resist traditional expectations for poetry by foregrounding sensual apprehension as a conduit to active readerly involvement in making meaning. Both poets attempt to eliminate the boundaries between spirit and reality by emphasizing that the immanence, or 'spirit', of language paradoxically resides in its materiality and is actualized in the relational (in the reading and writing process). Our theoretically informed readings of their poems illustrate that this 'spirit' exists as a continuous self-organization that allows for a democratic poeisis.</t>
  </si>
  <si>
    <t>MAY 28</t>
  </si>
  <si>
    <t>10.1080/14753820.2022.2050061</t>
  </si>
  <si>
    <t>WOS:000797432400001</t>
  </si>
  <si>
    <t>Romero, G</t>
  </si>
  <si>
    <t>Romero, Gloria</t>
  </si>
  <si>
    <t>School and social educational vulnerability in Chile: experiences and preparedness of novice teachers of English</t>
  </si>
  <si>
    <t>TEACHERS AND TEACHING</t>
  </si>
  <si>
    <t>Drawing on Sen's notion of social justice in the Capability Approach, this paper examines the experiences of a group of novice teachers from English teacher education programmes working in marginalised schools in Chile. Through open-ended surveys and interviews, I investigated how new teachers navigate their first teaching years in contexts of educational vulnerability, how they perceive their teacher education programs and preparation to work in such school contexts, and how they balance the interplay between unfreedoms and the exercise of freedoms to teach students at social risk. The findings reveal the impact of contextless English teacher education programs and how these trigger future teacher motivation to develop a deeper understanding of educational vulnerability and their freedom to move away from language teaching issues to accommodate their teaching based on their care and commitment to their students. This paper closes by making a call for the importance of a grassroots approach in the development of English teacher education programs designed with members of marginalised communities.</t>
  </si>
  <si>
    <t>Romero, Gloria/GWV-4873-2022</t>
  </si>
  <si>
    <t>1354-0602</t>
  </si>
  <si>
    <t>1470-1278</t>
  </si>
  <si>
    <t>FEB 17</t>
  </si>
  <si>
    <t>10.1080/13540602.2022.2062718</t>
  </si>
  <si>
    <t>APR 2022</t>
  </si>
  <si>
    <t>WOS:000781767200001</t>
  </si>
  <si>
    <t>Bustos, O; Leiva, R; Sánchez, C</t>
  </si>
  <si>
    <t>Bustos, Oscar; Leiva, Ricardo; Sanchez, Christian</t>
  </si>
  <si>
    <t>Effect of magnetic stirring on AlFeSi intermetalics of an A356 aluminum alloy</t>
  </si>
  <si>
    <t>The effect of the application of forced convection during the continuous solidification of A356 aluminum alloy over microstructural parameters of AlFeSi phases has been presented in this work. The investigation has been made on the fact that as an alloy solidifies under the action of a rotating magnetic field; a non-dendritic casting structure will be obtained. The Al-Si alloy has been studied using magnetic stirring equipment with permanent magnets. This device has allowed the study of the rotational speed (degree of stirring) effect on the micro- and macro-solidification structure. Different analyses and tests have been carried out, such as micro- and macro-structural analysis. The results have shown that magnetic stirring affects the cooling curves, expanding the solidification range. Microstructural evolution of the alloys has also been observed, from a 100% dendritic structure to a mature rosette type structure, in addition to a notable grain size decrease, which may improve the material's mechanical behavior. The results show that all the microstructural parameters of the AlFeSi phases (quantity, size, shape factor, particle area, and aspect ratio) decrease when stirring is applied to the alloy during its-solidification.</t>
  </si>
  <si>
    <t>Sanchez, Christian/0000-0001-5435-9201</t>
  </si>
  <si>
    <t>e202248310</t>
  </si>
  <si>
    <t>10.1590/1517-7076-RMAT-2022-48310</t>
  </si>
  <si>
    <t>WOS:000817809700001</t>
  </si>
  <si>
    <t>Ferreira, JGB</t>
  </si>
  <si>
    <t>Ferreira, Jose Genival Bezerra</t>
  </si>
  <si>
    <t>The Higher Education Teacher and the New Challenges of Teaching in the Context of Digital Technologies: A Socio-Cognitive Approach</t>
  </si>
  <si>
    <t>REVISTA CRITICA DE CIENCIAS SOCIAIS</t>
  </si>
  <si>
    <t>This article aims to analyze the meta-phorical meanings that higher education teachers have attributed to digital tech-nologies in the context of the COVID-19 pandemic. Our qualitative research is a phenomenological study using reports produced by faculty members from nine public universities in the North/Northeast of Brazil on the Google Forms platform as an instrument for the generation of data. The study assumes a socio-cognitive view of language, focused on the theoretical contribution of Cognitive Linguistics, with a conceptual metaphor approach, directed at corpus and discourse. Using the target--domainmethod to identify metaphors based on the corpus, those with a negative nature, such as exclusion and despair, stand out more frequently.</t>
  </si>
  <si>
    <t>Bezerra Ferreira, Jose Genival/0000-0002-5419-7449</t>
  </si>
  <si>
    <t>0254-1106</t>
  </si>
  <si>
    <t>2182-7435</t>
  </si>
  <si>
    <t>10.4000/rccs.14048</t>
  </si>
  <si>
    <t>WOS:000967014200009</t>
  </si>
  <si>
    <t>Hicham, E; Barbosa, KA; Rodriguez, C</t>
  </si>
  <si>
    <t>Hicham, El Aiss; Barbosa, Karina A.; Rodriguez, Carlos</t>
  </si>
  <si>
    <t>Input-Output Admissibility Analysis of Continuous Descriptor System With Time-Varying Delay</t>
  </si>
  <si>
    <t>IEEE CONTROL SYSTEMS LETTERS</t>
  </si>
  <si>
    <t>This letter deals with the input-output admissibility analysis of the continuous descriptor system with a time-varying delay. A two-term approximation transformation-model has been used to convert the original system into two interconnected subsystems. Based on the scaled small gain theorem and a new Lyapunov-Krasovskii functional, a delay-dependent sufficient condition has been presented to ensure that the time-varying delay descriptor system is input-output stable, regular, and impulse free. The derived conditions are given in a set of linear matrix inequalities. Finally, an example has been used to test the merit and validity of the proposed method.</t>
  </si>
  <si>
    <t>Barbosa, Karina/A-2236-2014; Rodriguez ledesma, Carlos Mario/IUP-4591-2023; El Aiss, Hicham/AAD-6510-2022</t>
  </si>
  <si>
    <t>EL AISS, hicham/0000-0003-1098-275X; Barbosa, Karina A./0000-0001-7183-2662; Rodriguez L., Carlos M./0000-0002-2087-136X</t>
  </si>
  <si>
    <t>2475-1456</t>
  </si>
  <si>
    <t>10.1109/LCSYS.2020.3041097</t>
  </si>
  <si>
    <t>WOS:000603610500013</t>
  </si>
  <si>
    <t>Design and implementation of a wireless control system applied to a 3-DoF redundant robot using Raspberry Pi interface and User Datagram Protocol</t>
  </si>
  <si>
    <t>COMPUTERS &amp; ELECTRICAL ENGINEERING</t>
  </si>
  <si>
    <t>This work addresses the design and implementation of a wireless connection for the remote control of the joints of a redundant 3-DoF1 manipulator robot. To this end, low-cost devices able to establish master/slave connections are used as closed control loops to calculate both control in the master device and actuation in the slave devices. To test the performance of this wireless connection, classic robot controllers are designed, simulated, analyzed, implemented, and compared through a decentralized structure. The platform Raspberry Pi and UDP2 protocol are used to obtain and process data sent to the robot control system, and to send control signals to the robot actuators. Additionally, the feasibility of synthetizing control systems for highly non-linear robots and, in turn, of commanding this system through a remote wireless communication system is demonstrated.</t>
  </si>
  <si>
    <t>0045-7906</t>
  </si>
  <si>
    <t>1879-0755</t>
  </si>
  <si>
    <t>10.1016/j.compeleceng.2021.107424</t>
  </si>
  <si>
    <t>SEP 2021</t>
  </si>
  <si>
    <t>WOS:000702661400002</t>
  </si>
  <si>
    <t>Holguín, DH; Donoso, IG</t>
  </si>
  <si>
    <t>Henao Holguin, Diana; Goicovic Donoso, Igor</t>
  </si>
  <si>
    <t>La Violencia and changing conflict on Antioquia's borderlands: the Northeast and Magdalena Medio cases, 1948-1958</t>
  </si>
  <si>
    <t>TRASHUMANTE-REVISTA AMERICANA DE HISTORIA SOCIAL</t>
  </si>
  <si>
    <t>This paper analyzes the Violencia phenomenon in Antioquia, Colombia during the period 1948-1958. It argues that even though this was a problem of multi-causal origin, the project of racial homogenization and social control that the local elite tried to deploy in the province became the most relevant factor of the conflict. Indeed, the background evidence gathered from both documentary and printed sources indicate that this project identified liberalism, especially Gaitanism, as the political manifestation of social and racial barbarism. In this context, Jorge Eliecer Gaitan's death increased the bipartisan violence, which gained a growing annihilation character.</t>
  </si>
  <si>
    <t>2322-9381</t>
  </si>
  <si>
    <t>2322-9675</t>
  </si>
  <si>
    <t>10.17533/udea.trahs.n18a10</t>
  </si>
  <si>
    <t>WOS:000680834000010</t>
  </si>
  <si>
    <t>Kaschel, H; Diaz, A</t>
  </si>
  <si>
    <t>Kaschel, Hector; Diaz, Alvaro</t>
  </si>
  <si>
    <t>High Security Ubiquitous H-IoT on a WBAN- based EHR using Blockchain</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</si>
  <si>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</si>
  <si>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</si>
  <si>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</si>
  <si>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IEEE,Int Federat Automat Control,IEEE Consejo Chile,Chilean Assoc Automat Control,IEEE Chilean Chapter Control Syst,IEEE Chilean Chapter SMC,IEEE Chilean Chapter Educat,IEEE Syst Man &amp; Cybernet Soc,IEEE Control Syst Soc,IEEE Educ Soc,Asociac Ind Elect Elect Chile</t>
  </si>
  <si>
    <t>In the last decades the Internet of things IoT has had a great development of health systems. With the incorporation of medicine 4.0, it has allowed the development of software and electronic devices, obtaining various systems applied to Healthcare IoT (H-IoT). Through the use of WBAN (Wireless Body Area Network) the communication systems between sensor nodes allow the measurement of physiological variables which are collected and processed. In order not to compromise the privacy of the data and the security, the use of new technologies that promote safe data, such as the blockchain, is proposed. In this article we present the main concepts and requirements needed to design a high security ubiquitous H-IoT in a WBAN-based EHR using Blockchain. The advantages of implementing a system of this nature in the short or medium term will allow the countries of the world to greatly alleviate the burden on public health institutions, reducing health costs and increasing people's quality of life.</t>
  </si>
  <si>
    <t>Kaschel, Hector/0000-0002-0868-7834</t>
  </si>
  <si>
    <t>978-1-6654-0127-2</t>
  </si>
  <si>
    <t>10.1109/ICAACCA51523.2021.9465266</t>
  </si>
  <si>
    <t>WOS:000855764500029</t>
  </si>
  <si>
    <t>Matamoros, C; Vallejos, RA</t>
  </si>
  <si>
    <t>Matamoros, Christian; Alvarez Vallejos, Rolando</t>
  </si>
  <si>
    <t>Teachers, Pedagogues and Trade Unionists. The Communists in the Sarmiento School. Argentina 1918-1943</t>
  </si>
  <si>
    <t>HSE-SOCIAL AND EDUCATION HISTORY</t>
  </si>
  <si>
    <t>The objective of this article is to characterize the experience developed by the Argentine communist teachers during the years 1918-1943 in their political ideological, educational and union aspects. A part of the historiography has highlighted the debts of these teachers with mechanistic positivism, those that their canonical text would have had in the work of Anibal Ponce Education and class struggle. Thus, they would have rejected all kinds of pedagogical renewal associated with the New School movement, rescuing instead the ideas of liberalism defended by Domingo Faustino Sarmiento. From the analysis of the texts of the communist pedagogues, their educational experiences and their union participation, we seek to explain how these educators did develop renovating experiences in education, but not associated with ideal looks of the school, but from a vision of society, and the school, dyed by the class struggle.</t>
  </si>
  <si>
    <t>2014-3567</t>
  </si>
  <si>
    <t>10.1783/hse.2020.5049</t>
  </si>
  <si>
    <t>WOS:000583766200003</t>
  </si>
  <si>
    <t>Urrea, C; Kern, J; López, R</t>
  </si>
  <si>
    <t>Urrea, Claudio; Kern, John; Lopez, Ricardo</t>
  </si>
  <si>
    <t>Fault-tolerant communication system based on convolutional code for the control of manipulator robots</t>
  </si>
  <si>
    <t>CONTROL ENGINEERING PRACTICE</t>
  </si>
  <si>
    <t>This paper presents the development of a convolutional code application for error detection and correction in a communication system. This application is based on an industrial protocol and aims at reconstructing data damaged during transmission. The Controller Area Network (CAN) protocol is used, which is widely used in the automobile industry, as well as in the automation of industrial processes. The application allows us to make a system that presents errors due to hostile conditions in the fault-tolerant industrial environment. These errors appear as corrupted data affecting the robot's control system. The robot is a 3 Degrees of Freedom (3-DoF) manipulator robot with redundancy in the plane; data transmission takes place between the controller and such a robot. The communication system is assessed in terms of performance when facing transmission faults, comparing the response of the system with and without error correction.</t>
  </si>
  <si>
    <t>0967-0661</t>
  </si>
  <si>
    <t>1873-6939</t>
  </si>
  <si>
    <t>10.1016/j.conengprac.2020.104508</t>
  </si>
  <si>
    <t>WOS:000555039300027</t>
  </si>
  <si>
    <t>Donoso, IG</t>
  </si>
  <si>
    <t>Goicovic Donoso, Igor</t>
  </si>
  <si>
    <t>FROM THE DICTATORIAL REFUNDATION TO THE DEMOCRATIC TRANSITION. CHILE, 1973-1994</t>
  </si>
  <si>
    <t>HISTORIA ACTUAL ONLINE</t>
  </si>
  <si>
    <t>The neoliberal economic model and the authoritarian political regime imposed by the Chilean dictatorship between 1973 and 1990, experienced partial changes since the return of democracy (1990). Moreover, the market economic model reached a high degree of validation and was deepened by the new civil authorities, while the Political Constitution of 1980 and the normative framework associated with it, suffered very few modifications due to the lack of political will of both the government and the parliament, and the occasional pressure from the military power. In this scenario, a part of the opposition to the dictatorship, composed by political-military organizations, chose to maintain the strategy of armed struggle, in order to modify the trajectory of the political process, partially destabilizing the democratic system. In this article we propose to analyze the characteristics of the transitional process, highlighting the centrality of violence in its different phases.</t>
  </si>
  <si>
    <t>1696-2060</t>
  </si>
  <si>
    <t>SPR</t>
  </si>
  <si>
    <t>WOS:000583142900009</t>
  </si>
  <si>
    <t>PAN-AFRICANIST CARIBBEAN SCHOOL</t>
  </si>
  <si>
    <t>WOS:000608865900011</t>
  </si>
  <si>
    <t>Dintrans, PV</t>
  </si>
  <si>
    <t>Dintrans, Pablo Villalobos</t>
  </si>
  <si>
    <t>Informal caregivers in Chile: the equity dimension of an invisible burden</t>
  </si>
  <si>
    <t>HEALTH POLICY AND PLANNING</t>
  </si>
  <si>
    <t>Population aging is driving a process of increase in long-term care needs in Chile and many countries around the world. In this context, this article asks about the consequences of this increase in informal caregivers, emphasizing the inequity issues arising from these changes. Using the CASEN 2017 survey, caregivers are identified and matched to people with long-term care needs. Results show that most caregivers are women, and a large fraction of them are also elderly; this is similar to what has been found previously in developed countries. Caregivers have fewer opportunities than non-caregivers, which translates into lower income-generating ability and higher poverty. The nature of these tasks creates a vicious cycle in which people get trapped with increasing needs and fewer resources to meet them. Important differences arise between caregivers and the rest of the population. Even more concerning is that these disparities are avoidable to some extent, adding an equity dimension to the problem. This emphasizes the need for the generation of policies that will support caregivers and meet their needs.</t>
  </si>
  <si>
    <t>Dintrans, Pablo/AAM-6248-2020</t>
  </si>
  <si>
    <t>Villalobos Dintrans, Pablo/0000-0002-2236-6447</t>
  </si>
  <si>
    <t>0268-1080</t>
  </si>
  <si>
    <t>1460-2237</t>
  </si>
  <si>
    <t>10.1093/heapol/czz120</t>
  </si>
  <si>
    <t>WOS:000507575000008</t>
  </si>
  <si>
    <t>LOYALTY AND PROFESSION IN THE MEMORIES OF CARLOS PRATS</t>
  </si>
  <si>
    <t>The interpretation of Memories by Carlos Prats grows difficult if we consider the scarcity of academic analysis on them. This complexity may be overcome by the orientation of the theory of narrative genres. Considering this theory as well as the support of some literary works by General Prats he was the author of a laureate short story it is possible to reach two key concepts in order to understand his work: mythic history and epistemological recount. We conclude that the Memories relate the formation and application of a unique concept of loyalty, which collides with other forms of loyalty and disloyalty, both political and military.</t>
  </si>
  <si>
    <t>WOS:000502608100012</t>
  </si>
  <si>
    <t>Hormazábal-Aguayo, I; Oriol-Granado, X; Fernández-Vergara, O; Garcia-Hermoso, A</t>
  </si>
  <si>
    <t>Hormazabal-Aguayo, Ignacio; Oriol-Granado, Xavier; Fernandez-Vergara, Omar; Garcia-Hermoso, Antonio</t>
  </si>
  <si>
    <t>Physical activity favours high positive feelings and life satisfaction but does not eliminate the effect of screen time on negative feelings among chilean children</t>
  </si>
  <si>
    <t>PEDIATRIC RESEARCH</t>
  </si>
  <si>
    <t>56th Annual Meeting of the Latin-American-Society-for-Pediatric-Research (LASPR)</t>
  </si>
  <si>
    <t>NOV 04-07, 2018</t>
  </si>
  <si>
    <t>Latin Amer Soc Pediat Res</t>
  </si>
  <si>
    <t>García-Hermoso, Antonio/ADU-2591-2022; Garcia-Hermoso, Antonio/P-1857-2017; Oriol, Xavier/AAO-3112-2021</t>
  </si>
  <si>
    <t>Garcia-Hermoso, Antonio/0000-0002-1397-7182; Oriol, Xavier/0000-0001-7130-7729</t>
  </si>
  <si>
    <t>0031-3998</t>
  </si>
  <si>
    <t>1530-0447</t>
  </si>
  <si>
    <t>WOS:000466408300038</t>
  </si>
  <si>
    <t>Arias, P; Gamboa, J; Tapia, N</t>
  </si>
  <si>
    <t>Arias, Paola; Gamboa, J.; Tapia, Natalia</t>
  </si>
  <si>
    <t>Anapole dark matter interactions as soft hidden photons</t>
  </si>
  <si>
    <t>PHYSICS LETTERS B</t>
  </si>
  <si>
    <t>We propose a model where the anapole appears as a hidden photon that is coupled to visible matter through a kinetic mixing. For low momentum vertical bar p vertical bar &lt;&lt; M where M is the cutoff the model (soft hidden photon limit) is reduced to the Ho-Scherrer description. We show that the hidden gauge boson is stable and therefore hidden photons are indeed, candidates for dark matter. Our approach shows that anapole and kinetic mixing terms are equivalent descriptions seen from different scales of energy. (c) 2019 Published by Elsevier B.V.</t>
  </si>
  <si>
    <t>Arias, Paola/0000-0001-5551-9182; Gamboa, Jorge/0000-0001-7992-7199</t>
  </si>
  <si>
    <t>0370-2693</t>
  </si>
  <si>
    <t>1873-2445</t>
  </si>
  <si>
    <t>APR 10</t>
  </si>
  <si>
    <t>10.1016/j.physletb.2019.02.021</t>
  </si>
  <si>
    <t>WOS:000462321800004</t>
  </si>
  <si>
    <t>Baeriswyl, MVC; Larrain, MM</t>
  </si>
  <si>
    <t>IOP</t>
  </si>
  <si>
    <t>Correa Baeriswyl, Maria Victoria; Larrain, Magdalena Montalban</t>
  </si>
  <si>
    <t>The Swiss Circle of Magallanes: European Architecture in Chilean Patagonia</t>
  </si>
  <si>
    <t>4TH WORLD MULTIDISCIPLINARY CIVIL ENGINEERING-ARCHITECTURE-URBAN PLANNING SYMPOSIUM - WMCAUS</t>
  </si>
  <si>
    <t>IOP Conference Series-Materials Science and Engineering</t>
  </si>
  <si>
    <t>4th World Multidisciplinary Civil Engineering-Architecture-Urban Planning Symposium ( WMCAUS)</t>
  </si>
  <si>
    <t>JUN 17-21, 2019</t>
  </si>
  <si>
    <t>Prague, CZECH REPUBLIC</t>
  </si>
  <si>
    <t>LAMA Energy Grp,LAMA Gas &amp; Oil,Prague City Tourism</t>
  </si>
  <si>
    <t>In recent years, legal protection of buildings and sites in Chile has increased. Also different initiatives regarding cultural heritage have been developed through public financing, at both regional and national levels. An appreciation of architectural heritage has achieved an important role in the country. This article presents the results of historical research, regarding the headquarters of the Swiss Circle of Magallanes. This building was constructed in the 1920s in Chilean Patagonia, in the city of Punta Arenas. The organization of both the Swiss Circle and its building are part of the city's history related to the European immigration that took place in the region during the second half of the 19th century and the beginning of the 20th century. The immigration process in Chilean Patagonia was led by means of colonization policies, by the national government. The aim of these policies was to consolidate the occupation and development of this remote territory, historically hard to populate. The distance from populated economic centers, as well as the cold weather and difficulties for agriculture were the factors that made these lands hard to be effectively occupied Immigrant groups arrived at Punta Arenas from different European nations Italians, British, French, Spanish, Croats, Germans and Swiss were some of the nationalities that arrived to the city; some of them were organized according to the official settlers groups. It is possible to determine the arrival of Swiss settlers to Punta Arenas since the second half of the 19th century. The establishment of the Swiss Mutual Aid Society in 1902, and the creation of the Swiss Circle in 1920, reflected the social organization of Swiss settlers and their descendants, many of whom stayed in the region. This social organization finally materialized in the construction of the headquarters of the Swiss Circle of Magallanes, still preserved nowadays. The Swiss Circle was built of timber following the European concepts related to traditional Swiss chalets. This building represents the adaptation of foreign ideas and styles to a local context, related to the international immigration in Magallanes. For almost a century, the Circle has served the Swiss community and the residents of Punta Arenas. Even though, some interventions have modified the building over time, the original design still remains, and it can be recognized as a Swiss chalet located in this southern Chilean city. The Swiss Circle of Magallanes bears witness to the colonization efforts made in Chilean Patagonia since the second half of the 19th century, as well as the complex social settlement process of immigrant groups at that time. This building also represents an interesting synthesis that combines foreign and local building techniques and styles. Nowadays, the Swiss Circle is a space for cultural dispersion of Swiss traditions and it is materially and immaterialy deep-rooted in the local memory. This building relates to the Chilean national history of territorial occupation, and it is a relevant part of the city's special character, built upon by immigration. In recent years, the Swiss Circle has been recognized as an official heritage and efforts have been made locally to plan for its future restoration.</t>
  </si>
  <si>
    <t>1757-8981</t>
  </si>
  <si>
    <t>10.1088/1757-899X/603/2/022012</t>
  </si>
  <si>
    <t>WOS:000562099100012</t>
  </si>
  <si>
    <t>Watson, G</t>
  </si>
  <si>
    <t>Watson, Gisela</t>
  </si>
  <si>
    <t>Institutionalization of the line of associative research at the University of Santiago de Chile, through Teaching Innovation Projects</t>
  </si>
  <si>
    <t>Being a line never implemented before and having a fundamental difference with the other lines of the Teaching Innovation Projects, this initiative crosses the border of the university classroom and is located in the school space to impact the training trajectory of future teachers, in coordination with the Institutional Educational Model of the University of Santiago de Chile.</t>
  </si>
  <si>
    <t>WOS:000886992800003</t>
  </si>
  <si>
    <t>Aravena, D</t>
  </si>
  <si>
    <t>Aravena, Daniel</t>
  </si>
  <si>
    <t>Ab Initio Prediction of Tunneling Relaxation Times and Effective Demagnetization Barriers in Kramers Lanthanide Single-Molecule Magnets</t>
  </si>
  <si>
    <t>JOURNAL OF PHYSICAL CHEMISTRY LETTERS</t>
  </si>
  <si>
    <t>Single-molecule magnets (SMMs) are promising candidates for molecule-based quantum information devices. Their main limitation is their cryogenic operative temperature. To achieve devices performing at higher temperatures, demagnetization mechanisms must be suppressed by chemical tuning. Electronic structure calculations can provide useful information to rationalize SMM behavior, but they do not provide a direct prediction for the key experimental parameters describing magnetic relaxation (i.e., tunneling relaxation time (tau(QT)) and effective demagnetization barrier (U-eff )). In this Letter, a first-principles model is proposed to predict tau(QT) and U-eff for mononuclear, half-integer spin SMMs, allowing direct comparison with experiment. Model accuracy was assessed against experimental data for 18 mononuclear Ln(III) complexes (15 Dy-III and 3 Er-III) and applied to 3 of the current best-performing SMMs, correctly predicting nontrivial relaxation pathways. The model shows that the combination of single-ion anisotropy and spin-spin dipolar coupling can account for the major part of tunneling demagnetization for the studied systems.</t>
  </si>
  <si>
    <t>Aravena, Daniel/F-2174-2011</t>
  </si>
  <si>
    <t>Aravena, Daniel/0000-0003-3140-4852</t>
  </si>
  <si>
    <t>1948-7185</t>
  </si>
  <si>
    <t>SEP 20</t>
  </si>
  <si>
    <t>10.1021/acs.jpclett.8b02359</t>
  </si>
  <si>
    <t>WOS:000445713200019</t>
  </si>
  <si>
    <t>Valdes, C; Bustos, G; Martinez, JL; Lauridolt, C</t>
  </si>
  <si>
    <t>Valdes, Carlos; Bustos, Gonzalo; Martinez, Jose L.; Lauridolt, Claudio</t>
  </si>
  <si>
    <t>Antinociceptive antibiotics-loaded into solid lipid nanoparticles of prolonged release: Measuring pharmacological efficiency and time span on chronic monoarthritis rats</t>
  </si>
  <si>
    <t>Pain is a sensory experience of a complex physiological nature in which is not only involved the nervous system. Among its many features is the development of chronic pain that is more complicated to treat because of the central somatization processes involved, becoming inefficient treatments used in other forms of pain. Among them is the role of glial cells, whose participation is such that some authors have proposed to chronic pain as a gliopathy. Because of this, the drug target of possible treatments focuses on modulating nociceptive response affecting transduction into the central nervous system through affecting synapses in the dorsal horn of the spinal cord. Solid lipid nanoparticles enter the central nervous system, protecting the drug, and in addition to the advantage of having greater absorption surface, all factors that improve drug activity. This work is based on the development and characterization of lipid nanoparticles of solid phase incorporating two antibiotics, minocycline, and ciprofloxacin with antinociceptive properties and challenged them with a rat monoarthritis model using Sprague-Dawley adult male rats. The solid lipid nanoparticles were prepared to modify the lipid, and surfactant amounts to obtain the best encapsulation capacity of the antibiotics, size and z potential. By using the Randall-Selitto test, we measured its pharmacological efficiency as an anti-inflammatory and measuring the time span the antibiotics are active. The encapsulated antibiotics were at least 50% more efficient than the antibiotic alone, and that is possible to measure anti-inflammatory activity up to seven days after the antibiotic application. The former is important for example, in the veterinary field, since a single application of the antibiotic will be necessary for the complete treatment, avoiding excessive stress for the animals. We can conclude that antinociceptive antibiotics encapsulation is a very effective, environmentally safe and inexpensive method for improving the pharmacological efficiency and time span the antibiotics are acting. Since these antibiotics are both anti-microbial and antinociceptive, his use in the field of veterinary presents the advantage of being adequate in single doses, with the saving of time and stress to the animals under treatment.</t>
  </si>
  <si>
    <t>Martinez, Jose/AAA-1725-2020</t>
  </si>
  <si>
    <t>APR 12</t>
  </si>
  <si>
    <t>e0187473</t>
  </si>
  <si>
    <t>10.1371/journal.pone.0187473</t>
  </si>
  <si>
    <t>WOS:000429791900001</t>
  </si>
  <si>
    <t>Devés-Valdés, E</t>
  </si>
  <si>
    <t>Badi, MK; Ross, C</t>
  </si>
  <si>
    <t>Deves-Valdes, Eduardo</t>
  </si>
  <si>
    <t>Material and immaterial transits among Africa, Latin America and the Caribbean Prologue</t>
  </si>
  <si>
    <t>TRANSITOS MATERIALES E INMATERIALES ENTRE AFRICA, LATINOAMERICA Y EL CARIBE</t>
  </si>
  <si>
    <t>Coleccion Conversaciones Sur Sur</t>
  </si>
  <si>
    <t>978-956-8416-68-3</t>
  </si>
  <si>
    <t>WOS:000448454900001</t>
  </si>
  <si>
    <t>Llorca-Jaña, M; Araya, R; Navarrete-Montalvo, J</t>
  </si>
  <si>
    <t>Llorca-Jana, Manuel; Araya, Roberto; Navarrete-Montalvo, Juan</t>
  </si>
  <si>
    <t>Anthropometric history in Chile: height evolution of the population in the long-run, XVIII to XX centuries</t>
  </si>
  <si>
    <t>ESTUDIOS ATACAMENOS</t>
  </si>
  <si>
    <t>The average height of a population has been recently taken as a good indicator of biological welfare, and therefore of standards of living and economic development. This article provides the first available series for Chile, providing the evolution of the average height of Chilean soldiers (male) born from the 1730s to the 1980s, using a sample of 6.200 individuals. This sample can be safely taken as a good proxy of the average height of Chilean male population for the period under study. Having analysed our data, our main conclusions are: (i) around mid-eighteenth century the average height of Chileans was rather high if compared to Chile itself, as well as to other countries of the region and Europe; (ii) during the nineteenth century the average height of Chileans declined during a long spell, (iii) in the twentieth century there was an important increase in the average male height, but in the developed world height increased faster than in Chile.</t>
  </si>
  <si>
    <t>0718-1043</t>
  </si>
  <si>
    <t>10.4067/S0718-10432018005001602</t>
  </si>
  <si>
    <t>WOS:000467059400009</t>
  </si>
  <si>
    <t>Díaz, HO; Moreno, AM</t>
  </si>
  <si>
    <t>Ochoa Diaz, Hector; Munoz Moreno, Armando</t>
  </si>
  <si>
    <t>Macro-curricular design for the formulation of the Visual Communication Design Career in the Advertising and Image Department, based on the strategic plan and educational model of the University of Santiago de Chile</t>
  </si>
  <si>
    <t>The article exposes the development of the Project of Teaching Innovation, Macro-curricular Design for the formulation of the career of Design in Visual Communication in the Department of Advertising and Image, based on the Strategic Plan and Educational Model of the University of Santiago de Chile. This initiative emerges from the Advertising and Image Department of the Technological Faculty of this academic institution to extend its academic offer in related disciplinary lines. An updated disciplinary, academic and professional diagnosis was made of the career of Design in Visual Communication, projecting a vision and curricular structure that would systematize the teaching-learning process, guiding the training itinerary, and providing a well-founded support to obtain the professional title of Designer in Visual Communication and academic degree of Design Degree in Visual Communication. In the planning a mixed methodological approach of qualitative and quantitative methods was used, in a research of graduation profiles and curricula of prestigious national and international universities, the bibliographical revision of current theoretical referents, and the realization of focal groups and focused surveys. The relevant information was processed and consolidated by a curricular committee in a related analysis complemented by feedback from the academic community for greater reliability and validity of the investigative process.</t>
  </si>
  <si>
    <t>WOS:000480327100002</t>
  </si>
  <si>
    <t>Rabagliati, FM; Cuevas, MV; Pérez, MA; Rodríguez, FJ; Cancino, RA; Mardones, GA; Muñoz, HE; Saavedra, MA; Vidal, M; Muñoz, LA; Canales, DA; Yañez, DA; Zamora, PA; Zapata, PA</t>
  </si>
  <si>
    <t>Rabagliati, Franco M.; Cuevas, Maria V.; Perez, Monica. A.; Rodriguez, F. J.; Cancino, R. A.; Mardones, G. A.; Munoz, H. E.; Saavedra, M. A.; Vidal, M.; Munoz, L. A.; Canales, D. A.; Yanez, D. A.; Zamora, P. A.; Zapata, P. A.</t>
  </si>
  <si>
    <t>HOMO- AND COPOLYMERIZATION OF STYRENE AND STYRENE RELATED MONOMERS. SYNTHESIS AND CHARACTERIZATION</t>
  </si>
  <si>
    <t>Systems including diphenylzinc, metallocene, and methylaluminoxane, at various combinations has been attempted, as initiating systems for homo- and copolymerization of styrene and various styrene related comonomers including : substituted styrenes, styrene derivatives, alpha-olefins, dienes and more recently cycohexenes including norbornene. The used metallocenes were those containing titanium, zirconium and for comparatives reasons hafnium. The metallocene efficiency towards syndiotactic polystyrene polymerization showed the order : titanocene &gt; zirconocene &gt; hafnocene. While the polymerization as well the copolymerization of Styrene with related to styrene compounds resulted to be much influenced by both electrical and steric hindrance effect. For styrene substituted derivative those group or element having I+ inductive effect depending its position at styrene's its phenyl ring favours homopolymerization as well their copolymerization with styrene. The steric hindrance also showed a determinant influence on reactivity, so methyl and tert-butyl group, having a I+ effect, when at para-position improve activity and stereoregularity of their polymerization processes. But when placing at orto-position showed a very low capacity to polymerize. The present and previous results indicate that polymerization processes are initiated by monomer coordination to active metal species either of the binary metallocene-MAO or of the ternary Ph2Zn-metallocene-MAO.</t>
  </si>
  <si>
    <t>Canales Arévalo, Daniel/HSG-6748-2023; Vilcaes, Aldo/HQG-2932-2023; Sierra-Zamora, Paola Alexandra/D-8826-2017</t>
  </si>
  <si>
    <t>Saavedra Gonzalez, Marcela Andrea/0000-0001-6849-0796; Sierra-Zamora, Paola Alexandra/0000-0002-3146-7418; Zapata, Paula Andrea/0000-0003-3361-6226; munoz, lisa/0000-0002-4588-2620; Canales, Daniel A./0000-0002-2691-6864</t>
  </si>
  <si>
    <t>0717-9707</t>
  </si>
  <si>
    <t>10.4067/S0717-97072016000400030</t>
  </si>
  <si>
    <t>WOS:000393079900030</t>
  </si>
  <si>
    <t>Santiago, R; Huiliñir, C; Cottet, L; Castillo, A</t>
  </si>
  <si>
    <t>Santiago, Roberto; Huilinir, Cesar; Cottet, Luis; Castillo, Antonio</t>
  </si>
  <si>
    <t>Microbiological characterization for a new wild strain of Paenibacillus polymyxa with antifungal activity against Botrytis cinerea</t>
  </si>
  <si>
    <t>BIOLOGICAL CONTROL</t>
  </si>
  <si>
    <t>A new bacterial strain with powerful antifungal activity against the phytopathogenic fungus Botrytis cinerea was characterized and identified as Paenibacillus polymyxa SCHC33. The kinetics of bacterial growth was fitted to the Monod model, with mu(max) = 0.218 h(-1), K-s = 0.087g/L, and Y-X/S = 0.159 g dry biomass/g glucose. The antifungal activity of the bacterium was detected in vitro as inhibition halos in antagonism bioassays against B. cinerea, and such activity was unchanged in magnitude when the assays were done in the same culture media with or without glucose. The ability of the bacterium to protect grapevine leaves against B. cinerea attack was determined as the percentage of damage to the plant tissue, after inoculation with different ratios of conidia and bacteria. Approximately 88% of the leaf surface was protected by the bacteria when a ratio of conidia: bacteria = 1:100 was used. No significant damage was observed in the tissue of the leaves inoculated only with bacteria, whereas the leaves that were treated with solely conidia, the necrotic damage occurred in approximately 100% of their surface. Therefore, the results indicate that P. polymyxa SCHC33 has great potential to become the active component of a new biofungicide for control of B. cinerea. (C) 2016 Elsevier Inc. All rights reserved.</t>
  </si>
  <si>
    <t>Castillo, Antonio/AAE-6832-2020; Huilinir, Cesar/IYS-6899-2023</t>
  </si>
  <si>
    <t>Huilinir, Cesar/0000-0002-3487-684X; Castillo, Antonio/0000-0003-0639-6045</t>
  </si>
  <si>
    <t>1049-9644</t>
  </si>
  <si>
    <t>1090-2112</t>
  </si>
  <si>
    <t>10.1016/j.biocontrol.2016.10.002</t>
  </si>
  <si>
    <t>WOS:000386468300029</t>
  </si>
  <si>
    <t>Mendoza, L; Castro, P; Melo, R; Campos, AM; Zúñiga, G; Guerrero, J; Cotoras, M</t>
  </si>
  <si>
    <t>Mendoza, Leonora; Castro, Paulo; Melo, Ricardo; Maria Campos, Ana; Zuniga, Gustavo; Guerrero, Juan; Cotoras, Milena</t>
  </si>
  <si>
    <t>IMPROVEMENT OF THE ANTIFUNGAL ACTIVITY AGAINST BOTRYTIS CINEREA OF SYRINGIC ACID, A PHENOLIC ACID FROM GRAPE POMACE</t>
  </si>
  <si>
    <t>The aim of this study was to improve the antifungal activity against Botrytis cinerea of syringic acid by using the enzyme laccase to synthesize a heterodimeric compound by a coupling reaction with aniline. The synthesized heterodimer is a quinone-imine like compound (2,6-dimethoxy-4-(phenylimino) benzenone), which was characterized by using H-1 and C-13 NMR, IR, and mass spectrometry. The antifungal activity of the heterodimeric compound against B. cinerea was determined in vitro and showed a higher antifungal effect than the substrates (syringic acid and aniline), inhibiting the mycelial growth with an IC50 value of 0.14mM and delayed 2 hours the conidial germination. Also, using the fluorochrome calcofluor white, cell wall damage was observed when B. cinerea was incubated with the compound. This is the first report on antifungal activity of this type of compound against B. cinerea.</t>
  </si>
  <si>
    <t>Zuñiga, Gustavo/P-8306-2015</t>
  </si>
  <si>
    <t>Zuniga, Gustavo/0000-0002-8286-9468</t>
  </si>
  <si>
    <t>10.4067/S0717-97072016000300006</t>
  </si>
  <si>
    <t>WOS:000389063700006</t>
  </si>
  <si>
    <t>Rodriguez, P; Rojas, J</t>
  </si>
  <si>
    <t>Rodriguez, Pedro; Rojas, Juan</t>
  </si>
  <si>
    <t>cAMP-Induced Histones H3 Dephosphorylation Is Independent of PKA and MAP Kinase Activations and Correlates With mTOR Inactivation</t>
  </si>
  <si>
    <t>JOURNAL OF CELLULAR BIOCHEMISTRY</t>
  </si>
  <si>
    <t>cAMP is a second messenger well documented to be involved in the phosphorylation of PKA, MAP kinase, and histone H3 (H3). Early, we reported that cAMP also induced H3 dephosphorylation in a variety of proliferating cell lines. Herein, it is shown that cAMP elicits a biphasic H3 dephosphorylation independent of PKA activation in cycling cells. H89, a potent inhibitor of PKA catalytic sub-unite, could not abolish this effect. Additionally, H89 induces a rapid and biphasic H3 serine 10 dephosphorylation, while a decline in the basal phosphorylation of CREB/ATF-1 is observed. Rp-cAMPS, an analog of cAMP and specific inhibitor of PKA, is unable to suppress cAMP-mediated H3 dephosphorylation, whereas Rp-cAMPS effectively blocks CREB/ATF-1 hyper-phosphorylation by cAMP and its inducers. Interestingly, cAMP exerts a rapid and profound H3 dephosphorylation at much lower concentration (50-fold lower, 0.125 mM) than the concentration required for maximal CREB/ATF-1 phosphorylation (5 mM). Much higher cAMP concentration is required to fully induce CREB/ATF-1 gain in phosphate (5 mM), which correlates with the inhibition of H3 dephosphorylation. Also, the dephosphorylation of H3 does not overlap at onset of MAP kinase phosphorylation pathways, p38 and ERK. Surprisingly, rapamycin (an mTOR inhibitor), cAMP, and its natural inducer isoproterenol, elicit identical dephosphorylation kinetics on both S6K1 ribosomal kinase (a downstream mTOR target) and H3. Finally, cAMP-induced H3 dephosphorylation is PP1/2-dependent. The results suggest that a pathway, requiring much lower cAMP concentration to that required for CREB/ATF-1 hyper-phosphorylation, is responsible for histone H3 dephosphorylation and may be linked to mTOR down regulation. J. Cell. Biochem. 117: 741-750, 2016. (C) 2015 Wiley Periodicals, Inc.</t>
  </si>
  <si>
    <t>0730-2312</t>
  </si>
  <si>
    <t>1097-4644</t>
  </si>
  <si>
    <t>10.1002/jcb.25359</t>
  </si>
  <si>
    <t>WOS:000368857900018</t>
  </si>
  <si>
    <t>Henríquez-Vargas, L; Loyola, J; Sanhueza, D; Donoso, P</t>
  </si>
  <si>
    <t>Henriquez-Vargas, L.; Loyola, J.; Sanhueza, D.; Donoso, P.</t>
  </si>
  <si>
    <t>NUMERICAL STUDY OF RECIPROCAL FLOW POROUS MEDIA BURNERS COUPLED WITH THERMOELECTRIC GENERATION</t>
  </si>
  <si>
    <t>JOURNAL OF POROUS MEDIA</t>
  </si>
  <si>
    <t>A numerical study based on direct thermal to electric energy conversion was performed in reciprocal flow porous media burners coupled with thermoelectric modules. A two-dimensional mathematical model for filtrational combustion and a finite time thermodynamics model for the thermoelectric elements energy fluxes were employed to predict the optimal set of operational and structural variables that maximize the system overall efficiency. Flammability limits were found for establishment of stable conditions and further computation of electric current and power output generated within the system. The parametric study, which included variation of reactor cross-sectional area and wall insulation, showed that the major values for electric current and power output were obtained for either reactors with no insulation at the middle zone or with a lower cross-sectional area. The ranges of maxima found for electric current and power output were [630, 790] mA and [3.5, 5.5] W, respectively.</t>
  </si>
  <si>
    <t>Donosoga, Pablo/HZI-2632-2023; Henríquez-Vargas, Luis/Q-3617-2019</t>
  </si>
  <si>
    <t>Donoso Garcia, Pablo/0000-0001-9839-8691</t>
  </si>
  <si>
    <t>1091-028X</t>
  </si>
  <si>
    <t>1934-0508</t>
  </si>
  <si>
    <t>10.1615/JPorMedia.v18.i3.60</t>
  </si>
  <si>
    <t>WOS:000352968200006</t>
  </si>
  <si>
    <t>Crampon, M</t>
  </si>
  <si>
    <t>Crampon, Mickael</t>
  </si>
  <si>
    <t>Lyapunov exponents in Hilbert geometry</t>
  </si>
  <si>
    <t>ERGODIC THEORY AND DYNAMICAL SYSTEMS</t>
  </si>
  <si>
    <t>We study the Lyapunov exponents of the geodesic flow of a Hilbert geometry. We prove that all of the information is contained in the shape of the boundary at the endpoint of the chosen orbit. We have to introduce a regularity property of convex functions to make this link precise. As a consequence, Lyapunov manifolds tangent to the Lyapunov splitting appear very easily. All of this work can be seen as a consequence of convexity and the flatness of Hilbert geometries.</t>
  </si>
  <si>
    <t>0143-3857</t>
  </si>
  <si>
    <t>1469-4417</t>
  </si>
  <si>
    <t>10.1017/etds.2012.145</t>
  </si>
  <si>
    <t>WOS:000338294400006</t>
  </si>
  <si>
    <t>Cárdenas-Jirón, GI; Cortez, L</t>
  </si>
  <si>
    <t>Cardenas-Jiron, Gloria I.; Cortez, Luis</t>
  </si>
  <si>
    <t>Assessment of the photosensitization properties of cationic porphyrins in interaction with DNA nucleotide pairs</t>
  </si>
  <si>
    <t>JOURNAL OF MOLECULAR MODELING</t>
  </si>
  <si>
    <t>We present a theoretical assessment of the photosensitization properties of meso-mono(N-methylpyridyl) triphenylporphyrin (1, MmPyP(+)), which interacts with DNA nucleotide pairs [adenine (A)-thymine (T); guanine (G)-cytosine (C)] via an external binding mode. The photosensitization properties of the arrangements 1A, 1T, 1G and 1C were investigated. A set of density functionals (B3LYP, PBE0, CAM-B3LYP, M06-2X, B97D) with the 6-31G(d) basis set was used to calculate the electronic absorption spectra in solution (water) following TD-DFT methodology. In all the arrangements, with the exception of 1C, the functional PBE0 produced the lowest deviation of the Soret band (0.1-0.2 eV). Using this functional, we show that the porphyrin-nucleotide interaction is stabilized, as reflected by a larger HOMO-LUMO gap than free porphyrin. A more important effect of the interaction corresponds to the red-shift of the Soret band of MmPyP(+), which is in agreement with experimental results. This behavior could be explained by the higher symmetry found in arrangements with a lower dipole moment, and by the more symmetrical distribution of electronic density along the molecular orbitals, which provokes electronic transitions of lower energy. The structural model allowed us to show that MmPyP(+) improves the characteristics as a photosensitizer when it interacts with nucleotide pairs due to the longer wavelength required for the Soret band. Results obtained for porphyrins with larger monocationic substituents (2, MmAP+; 3, MONPP+) do not lead to the same behavior. Although the structural model is insufficient to describe porphyrin photosensitization, it suggests that improvements in this property are produced by the inclusion of a cationic charge in the pyridyl ring and a smaller size of the substituent leading to a better communication in the porphyrin-nucleotide pair.</t>
  </si>
  <si>
    <t>YANOWSKY-REYES, GUILLERMO/AAA-1311-2021; Cardenas-Jiron, Gloria/H-9508-2012</t>
  </si>
  <si>
    <t>Cardenas-Jiron, Gloria/0000-0003-4305-8088</t>
  </si>
  <si>
    <t>1610-2940</t>
  </si>
  <si>
    <t>0948-5023</t>
  </si>
  <si>
    <t>10.1007/s00894-013-1822-z</t>
  </si>
  <si>
    <t>WOS:000320954600027</t>
  </si>
  <si>
    <t>Henríquez-Vargas, L; Maiza, M; Donoso, P</t>
  </si>
  <si>
    <t>Henriquez-Vargas, L.; Maiza, M.; Donoso, P.</t>
  </si>
  <si>
    <t>NUMERICAL STUDY OF THERMOELECTRIC GENERATION WITHIN A CONTINUOUS FLOW POROUS MEDIA BURNER</t>
  </si>
  <si>
    <t>A numerical study based on direct thermal to electric energy conversion was performed in a continuous flow porous media burner. The optimal lengths and placements of thermoelectric elements for a set of operational variables (filtration velocity and composition of gas mixture) were sought in order to maximize the system overall efficiency. A two-temperature resistance model for finite time thermodynamics was developed for the thermoelectric elements energy fluxes. Different operational variable sets that allowed wave stabilization inside the reactor were employed, giving rise to different thermal gradients and total power output. Results indicate an optimal thermoelements length and region for its placement inside the steep thermal gradients for maximum power production.</t>
  </si>
  <si>
    <t>10.1615/JPorMedia.v16.i10.50</t>
  </si>
  <si>
    <t>WOS:000326202400005</t>
  </si>
  <si>
    <t>Castro, J; Vera, J; González, A; Moenne, A</t>
  </si>
  <si>
    <t>Castro, Jorge; Vera, Jeannette; Gonzalez, Alberto; Moenne, Alejandra</t>
  </si>
  <si>
    <t>Oligo-Carrageenans Stimulate Growth by Enhancing Photosynthesis, Basal Metabolism, and Cell Cycle in Tobacco Plants (var. Burley)</t>
  </si>
  <si>
    <t>JOURNAL OF PLANT GROWTH REGULATION</t>
  </si>
  <si>
    <t>Leaves of tobacco plants var. Burley were sprayed with water (control) or with oligo-carrageenans kappa2 (K), lambda (L), and iota (I) at 1 mg ml(-1), once a week, four times in total, and cultivated for 4 months without treatment. Plants treated with K, L, and I showed an increase in leaf biomass of 1.9, 1.8, and 2.5 times, respectively, despite that cellular size was similar in control and treated plants. In addition, net photosynthesis, efficiency of photosystem II and the level of chlorophyll a and b increased in plants treated with oligo-carrageenans. Moreover, the activity of ribulose 1,5-biphosphate carboxylase/oxygenase (rubisco) increased in treated plants, mainly with oligo-carrageenan I, whereas its content did not change compared to control plants. The activity of several NAD(P)H-synthesizing enzymes involved in basal metabolism increased in treated plants, mainly with oligo-carrageenan I. Furthermore, the relative level of transcripts encoding the cell cycle regulatory cyclins A and D and CDKs A and B increased in treated plants, mainly with oligo-carrageenan I. In addition, the amount of ascorbate (ASC) and the activity of ascorbate peroxidase (AP) increased in treated plants, mainly with oligo-carrageenan I, whereas the level of glutathione remained unchanged. Interestingly, the increases in total ascorbate and AP activity linearly correlated with the increase in leaf biomass. Thus, oligo-carrageenans enhanced photosynthesis, basal metabolism, and cell cycle as well as ASC levels and AP activity which may explain, at least in part, the stimulation of plant growth.</t>
  </si>
  <si>
    <t>González, Alberto/IYJ-8593-2023</t>
  </si>
  <si>
    <t>Gonzalez Figueroa, Alberto/0000-0002-5777-9022</t>
  </si>
  <si>
    <t>0721-7595</t>
  </si>
  <si>
    <t>1435-8107</t>
  </si>
  <si>
    <t>10.1007/s00344-011-9229-5</t>
  </si>
  <si>
    <t>WOS:000303509400004</t>
  </si>
  <si>
    <t>Campos, MS</t>
  </si>
  <si>
    <t>Salinas Campos, Maximiliano</t>
  </si>
  <si>
    <t>INDIGENOUS, MOORISH AND AFRICAN WOMEN: MESTIZAJES AND REPRESENTATION OF A LOVING COEXISTENCE IN CHILE</t>
  </si>
  <si>
    <t>CHUNGARA-REVISTA DE ANTROPOLOGIA CHILENA</t>
  </si>
  <si>
    <t>Mestizaje has been understood and taught from a colonial and patriarchal perspective as the existence or the abandonment of a European 'father'. Thus, the mestizo a historical negativity, or a permanent reminder of the violence of 'father'. Whereas its reality and imagination are far richer and more complex. In the process of cultural mixing, the active and leading role of non-western women gave the ethnic dynamic process more vitality and creativity than that presented by official images from the colonial West. Indigenous, Moorish, and African women established a way of life where the sentiment of love became fundamental part of human coexistence.</t>
  </si>
  <si>
    <t>0717-7356</t>
  </si>
  <si>
    <t>10.4067/S0717-73562012000200009</t>
  </si>
  <si>
    <t>WOS:000305856800009</t>
  </si>
  <si>
    <t>Díaz, P; López, D; Matiacevich, S; Osorio, F; Enrione, J</t>
  </si>
  <si>
    <t>Diaz, Paulo; Lopez, Daniel; Matiacevich, Silvia; Osorio, Fernando; Enrione, Javier</t>
  </si>
  <si>
    <t>State diagram of salmon (Salmo salar) gelatin films</t>
  </si>
  <si>
    <t>JOURNAL OF THE SCIENCE OF FOOD AND AGRICULTURE</t>
  </si>
  <si>
    <t>11th International Symposium on the Properties of Water (ISOPOW)</t>
  </si>
  <si>
    <t>SEP, 2010</t>
  </si>
  <si>
    <t>Queretaro, MEXICO</t>
  </si>
  <si>
    <t>BACKGROUND: A state diagram presents different physical states of a biomaterial as a function of solid content and temperature. Despite their technological interest, little information is available on protein systems such as gelatin/water mixtures. The objective of this work was to develop state diagrams of salmon gelatin (SG) and bovine gelatin (BG) in order to determine maximal freeze concentration parameters (T-g', T-m' and X-s') and to relate possible differences to their biochemical characteristics. RESULTS: Biochemical characterisation of SG showed lower molecular weight and iminoacid concentration compared with BG. Likewise, the glass transition temperature (T-g) was lower for SG at X-s &gt; 0.8, which was associated with its lower molecular weight. Unexpectedly, the depression of freezing temperature (T-f) was greater for SG at X-s &gt; 0.1, which was associated with its higher ash content. Isothermal annealing produced effective values of T-g' approximate to -52 degrees C, T-m' approximate to -46 degrees C and X-s' approximate to 0.6 for both gelatins. Interestingly, the enthalpy change associated with T-m' (Delta HTm) was significantly higher for SG than for BG after annealing, indicating a higher proportion of ice present at about -50 degrees C. CONCLUSION: Maximal freeze concentration parameters were similar between the two gelatins, though differences in biochemical properties were evident. The results show that there are likely different ways of interaction of SG and BG with water. (C) 2011 Society of Chemical Industry</t>
  </si>
  <si>
    <t>Enrione, Javier/I-9225-2014; López, Daniel/C-9803-2016; osorio, fernando/AAY-7304-2021</t>
  </si>
  <si>
    <t>Enrione, Javier/0000-0002-3916-6775; Lopez Angulo, Daniel/0000-0001-5287-1391; Diaz-Calderon, Paulo/0000-0002-8375-2210; osorio, fernando/0000-0001-7206-0924</t>
  </si>
  <si>
    <t>0022-5142</t>
  </si>
  <si>
    <t>1097-0010</t>
  </si>
  <si>
    <t>10.1002/jsfa.4451</t>
  </si>
  <si>
    <t>WOS:000296385900009</t>
  </si>
  <si>
    <t>Mahn, AV; Muñoz, MC; Zamorano, MJ</t>
  </si>
  <si>
    <t>Mahn, Andrea V.; Cristina Munoz, M.; Zamorano, Mauricio J.</t>
  </si>
  <si>
    <t>Discovery of Biomarkers That Reflect the Intake of Sodium Selenate by Nutritional Proteomics</t>
  </si>
  <si>
    <t>JOURNAL OF CHROMATOGRAPHIC SCIENCE</t>
  </si>
  <si>
    <t>12th Latin American Congress on Chromatography and Related Techniques</t>
  </si>
  <si>
    <t>OCT 27-30, 2008</t>
  </si>
  <si>
    <t>Santa Catarina, BRAZIL</t>
  </si>
  <si>
    <t>0021-9665</t>
  </si>
  <si>
    <t>10.1093/chromsci/47.9.840</t>
  </si>
  <si>
    <t>WOS:000270500200023</t>
  </si>
  <si>
    <t>Villablanca, ME; Nadal, JI; Cruzat, FA; Rojas, WC</t>
  </si>
  <si>
    <t>Villablanca, M. E.; Nadal, J. I.; Cruzat, F. A.; Rojas, W. C.</t>
  </si>
  <si>
    <t>Harmonic improvement in 12-pulse series-connected line-commutated rectifiers</t>
  </si>
  <si>
    <t>IET POWER ELECTRONICS</t>
  </si>
  <si>
    <t>An innovative method for reducing current distortion on the ac side of 12-pulse series-connected line-commutated ac/dc rectifiers is presented. Furthermore, the overlap conduction of thyristors is completely eliminated. The methodology involves an accurate shaping of the dc current by using two self-commutated switches (IGBTs). This dc-current shaping is reflected back into the shaping of the ac input currents, which become pure sine waves. Both rectifying and inverting operations are possible with a simple control circuit, which is able to deal with both rapid load variations and failures in the self-commutated switches. HVdc applications of this innovative method are briefly examined, together with experimental results showing both the steady state and the transient behaviour of the technology by using a 380 V 20 kVA 50 Hz laboratory prototype.</t>
  </si>
  <si>
    <t>Castillo Rojas, Wilson/JLM-1536-2023</t>
  </si>
  <si>
    <t>Castillo-Rojas, Wilson Andres/0000-0001-8158-0585</t>
  </si>
  <si>
    <t>1755-4535</t>
  </si>
  <si>
    <t>1755-4543</t>
  </si>
  <si>
    <t>10.1049/iet-pel.2007.0014</t>
  </si>
  <si>
    <t>WOS:000276385000015</t>
  </si>
  <si>
    <t>Mascayano, C; Rezende, MC; Mendez, C; Nuñez, G; Chiang, V</t>
  </si>
  <si>
    <t>Mascayano, Carolina; Caroli Rezende, Marcos; Mendez, Carolina; Nunez, Gabriel; Chiang, Valeska</t>
  </si>
  <si>
    <t>Solute-Solvent Interactions in Solutions of Solvatochromic Phenoxides: A Dynamics Simulation Study</t>
  </si>
  <si>
    <t>JOURNAL OF SOLUTION CHEMISTRY</t>
  </si>
  <si>
    <t>Solute-solvent interactions in protic (water, methanol and 2-propanol) and aprotic (DMSO) solvents of four solvatochromic phenoxides, the 4- and 2-pyridiniophenoxides, Brooker's merocyanine and the N-methyloxyquinolinium betaine, were investigated with the aid of molecular dynamics simulations. Although the size of the first solvation shell of the phenoxide oxygen of all betaines remains constant in the three protic solvents, it comprises increasingly fewer solvent molecules as the volume of the hydroxylic solvent increases. In DMSO, the donor phenoxide group of the 4-pyridiniophenoxide betaine is loosely solvated, leading to an internal charge-transfer with smaller transition energies than in protic media.</t>
  </si>
  <si>
    <t>Nuñez, Gabriel/IAN-2843-2023; Caroli, Marcos/H-3570-2019</t>
  </si>
  <si>
    <t>Rezende, Marcos/0000-0003-2040-9009; Nunez Vivanco, Gabriel/0000-0002-2858-1789; Mendez-Galvez, Carolina/0000-0001-7977-9595; Mascayano Collado, Carolina Lorena/0000-0002-3488-9309</t>
  </si>
  <si>
    <t>0095-9782</t>
  </si>
  <si>
    <t>1572-8927</t>
  </si>
  <si>
    <t>10.1007/s10953-009-9369-4</t>
  </si>
  <si>
    <t>WOS:000263543800008</t>
  </si>
  <si>
    <t>Bubnovich, V; Quijada, E; Reyes, A</t>
  </si>
  <si>
    <t>Bubnovich, V.; Quijada, E.; Reyes, A.</t>
  </si>
  <si>
    <t>Computer Simulation of Atmospheric Freeze Drying of Carrot Slices in a Fluidized Bed</t>
  </si>
  <si>
    <t>NUMERICAL HEAT TRANSFER PART A-APPLICATIONS</t>
  </si>
  <si>
    <t>Nam and Song's model, which describes the first stage of vacuum freeze drying, is adapted to atmospheric pressure conditions in a pulsating fluidized bed, discretizing the differential equations by finite-difference according to the implicit scheme. The generated algebraic systems of equations are solved by the tridiagonal matrix algorithm (TDMA). The effect of the variable time step on computation time is analyzed. The effect of particle size reduction, bed temperature increase, and the incorporation of infrared radiation made it possible to reduce drying times. Comparison with experimental values of the first stage of the freeze drying of carrot slices and the values calculated from the model showed a maximum mean quadratic error of 0.09.</t>
  </si>
  <si>
    <t>Quijada-Maldonado, Esteban/0000-0003-1411-4327</t>
  </si>
  <si>
    <t>1040-7782</t>
  </si>
  <si>
    <t>PII 913222000</t>
  </si>
  <si>
    <t>10.1080/10407780903107386</t>
  </si>
  <si>
    <t>WOS:000268192900005</t>
  </si>
  <si>
    <t>Prado, H</t>
  </si>
  <si>
    <t>Prado, Humberto</t>
  </si>
  <si>
    <t>Stability properties for solution operators</t>
  </si>
  <si>
    <t>SEMIGROUP FORUM</t>
  </si>
  <si>
    <t>We study stability properties of certain evolution equations including the fractional Cauchy problem. Under some spectral assumptions these equations are governed either by a resolvent or a regularized resolvent or a k-convoluted semi-group. We investigate the long time behavior for bounded solutions by a direct application of the ergodic theorems for regularized resolvents of Lizama and Prado (J. Approx. Theory 122: 42-61, 2003), Prado (Semigroup Forum 73: 243-252, 2006). We apply our results to the qualitative study of the fractional diffusion-wave equation on L-p(R).</t>
  </si>
  <si>
    <t>0037-1912</t>
  </si>
  <si>
    <t>1432-2137</t>
  </si>
  <si>
    <t>10.1007/s00233-008-9071-7</t>
  </si>
  <si>
    <t>WOS:000263116800006</t>
  </si>
  <si>
    <t>Contreras, ML; Alvarez, J; Guajardo, D; Rozas, R</t>
  </si>
  <si>
    <t>Contreras, M. L.; Alvarez, J.; Guajardo, D.; Rozas, R.</t>
  </si>
  <si>
    <t>Algorithm for exhaustive and nonredundant organic stereoisomer generation</t>
  </si>
  <si>
    <t>JOURNAL OF CHEMICAL INFORMATION AND MODELING</t>
  </si>
  <si>
    <t>Generation of organic stereoisomers with R/S, Z/E, and/or M/P configurations that may contain heteroatoms, multiple bonds, and any kind of cycle (isolated, spiro, condensed, and nested) is described. Inputs for processing are molecular structures in a N_tuple format resident on an automatic (canonical) or manual (non canonical) generated file which are processed by doing internal molecular graph construction, a weighted bipartite tree construction for all atoms and bonds to detect stereocenters, and symmetrical atom groups (SAG) with some specific SAG parameters that constitute a novel way for redundancy elimination of meso structures. Finally, determination of ligand CIP priorities allows for writing the output N_tuples with stereoisomer description. Several examples showing application of this methology to a wide number of structures are also presented.</t>
  </si>
  <si>
    <t>1549-9596</t>
  </si>
  <si>
    <t>1549-960X</t>
  </si>
  <si>
    <t>NOV 27</t>
  </si>
  <si>
    <t>10.1021/ci6002762</t>
  </si>
  <si>
    <t>WOS:000242298100009</t>
  </si>
  <si>
    <t>On the asymptotic behavior of regularized operator farnilies</t>
  </si>
  <si>
    <t>Let us assume that (R(t))(t &gt;= 0) is an (a, k) -regularized resolvent family with generator A on a Banach space X. In this work we study different types of asymptotic behavior of R (t) for large values of t.</t>
  </si>
  <si>
    <t>SEP-OCT</t>
  </si>
  <si>
    <t>10.1007/s00233-006-0613-6</t>
  </si>
  <si>
    <t>WOS:000243133500007</t>
  </si>
  <si>
    <t>Mallol, J; Castro-Rodríguez, JA</t>
  </si>
  <si>
    <t>Differences in prevalence of asthma, rhinitis, and eczema between parental and self-completed questionnaires in adolescents</t>
  </si>
  <si>
    <t>PEDIATRIC PULMONOLOGY</t>
  </si>
  <si>
    <t>This study was undertaken to compare, for the first time in a developing country, the prevalence of asthma, rhinitis, and eczema in children aged 13-14 years when questionnaires from the International Study of Asthma and Allergies in Childhood (ISAAC) were independently completed by children and parents. A random sample of 3,178 children completed the ISAAC questionnaire at school, while in another sample of 3,387 children, the questionnaire was completed by their parents at home. The prevalence of asthma, rhinitis, and eczema symptoms was significantly higher when questionnaires were completed by adolescents themselves rather than by the parents, particularly for those symptoms that could be better perceived by children or that were more severe, e.g., wheezing with exercise, severe episodes of wheezing, nocturnal cough, and awaking with wheezing in the last 12 months. The diagnosis of hay fever and eczema was also reported more frequently by adolescents compared to their parents. The prevalence of asthma ever and wheezing in the last 12 months was not significantly different between the two samples. In a randomly selected subset of 550 pairs where adolescents and parents came from the same family, asthma ever had the highest agreement (kappa = 0.72, 95% CI: 0.64-0.80), but agreement was poor for rhinitis and eczema ever. In conclusion, the prevalence of asthma, rhinitis, and eczema symptoms varied according to whether the information was reported by independent samples of adolescent or parents. However, the prevalence of wheezing in the last 12 months and asthma ever was quite similar between adolescents and parents, suggesting that these questions are crucial for assessing asthma in epidemiological studies.</t>
  </si>
  <si>
    <t>Castro-Rodriguez, Jose/ABA-2760-2021</t>
  </si>
  <si>
    <t>Castro-Rodriguez, Jose A./0000-0002-0708-4281; Mallol, Javier/0000-0003-2528-8672</t>
  </si>
  <si>
    <t>8755-6863</t>
  </si>
  <si>
    <t>10.1002/ppul.20398</t>
  </si>
  <si>
    <t>WOS:000237072200011</t>
  </si>
  <si>
    <t>Spencer, EO</t>
  </si>
  <si>
    <t>Chronicle of an announced pandemic?</t>
  </si>
  <si>
    <t>REVISTA MEDICA DE CHILE</t>
  </si>
  <si>
    <t>In the last years our country has been affected by several outbreaks of infectious diseases such as Cholera and Hanta virus and recently, by pathogens associated to red tide. Chile was able to manage those emergencies using the local health system. The new threat that may emerge and could eventually overcome that capacity, is the possible H5N1 influenza virus outbreak. Influenza is responsible for the most destructive pandemic, the Spanish influenza, that killed over 40 million individuals in 1918. The new influenza strain (H5N1) is at present endemic in poultry in Asia and has been associated to human fatal cases in Hong Kong and Vietnam. Even though this strain is not able yet to be transmitted among humans, evidence has accumulated that such ability could be reached by the new strain, since it was already detected in pigs. That particular evidence may indicate that the virus could adapt to infect humans, since a similar situation was observed in several of the influenza pandemics. The World Health Organization set a task force to develop a strategy that may help to control the virus spread. Several countries are already stocking anti-flu drugs and others are developing new vaccine that are currently been assayed in human volunteers. It is possible that we may have a new vaccine before the outbreak; this development is even faster than for SARS. The mayor question to be addressed for developing countries is: What will be done if we do not have the vaccine on time?.</t>
  </si>
  <si>
    <t>0034-9887</t>
  </si>
  <si>
    <t>0717-6163</t>
  </si>
  <si>
    <t>WOS:000233207100001</t>
  </si>
  <si>
    <t>Rubio, MA; Lissi, E; Villena, G; Caroca, V; Gramsch, E; Ruiz, A</t>
  </si>
  <si>
    <t>Estimation of hydroxyl and hydroperoxyl radicals concentrations in the urban atmosphere of Santiago</t>
  </si>
  <si>
    <t>Photochemical smog episodes are frequent in Santiago of Chile city. We have measured the concentration of the main free radical precursors (formaldehyde. ozone. nitrogen dioxide, peroxyacetyl nitrate and nitrous acid), nitrogen monoxide and the irradiance. Calculations of the rate of OH* production were performed for different periods of the year and at emission (Cerrillos and Estacion Central) and receptor sites (Las Condes). From these data and simple steady state considerations were derived the concentrations of hydroxyl and hydroperoxyl radicals. Daily profiles of both radicals show a noticeable accumulation during early afternoon, the time of most intense oxidants accumulation. During summer time, hydroperoxyl radical concentrations are higher in Las Condes than in Cerrillos. The concentrations calculated for both radicals are higher than those estimated in other cities. suggesting a particularly high photochemical activity in the urban atmosphere of Santiago of Chile.</t>
  </si>
  <si>
    <t>Bajo, Maria/ABF-6991-2020; Gramsch, Ernesto/M-5507-2017</t>
  </si>
  <si>
    <t>Gramsch, Ernesto/0000-0002-6787-7355; Villena, Guillermo/0000-0002-1867-1879</t>
  </si>
  <si>
    <t>WOS:000229785200006</t>
  </si>
  <si>
    <t>Cancino, RA; Rodríguez, FJ; Pérez, MA; Rabagliati, E</t>
  </si>
  <si>
    <t>Styrene/1-alkene copolymerization by CpTiCl3-additive initiator systems.</t>
  </si>
  <si>
    <t>Initiator systems resulting from the combination of cyclopentadienyltitanium trichloride (CpTiCl3), ethylaluminium dichloride (EtAlCl2) with and without methylaluminoxane (MAO), were used to initiate styrene (S) homopolymerization and S/1-alkene copolymerization. The CpTiCl3-EtAlCl2, system turned out to be an effective initiator of styrene homopolymerization as well as of styrene/1-decene (S/1-C10H20) and styrene/1-hexadecene (S/1-C16H32) copolymerization. Both S/1-C(10)H20 and S/1-C16H32 copolymers obtained from various S/1-alkene molar ratios in the initial feed contained variable amounts of boiling-butanone-insoluble product which was a S/1-alkene copolymer according to NMR and DSC analyses. The copolymers obtained showed Tg values which decrease as the proportion of I-alkene in the initial feed increases.</t>
  </si>
  <si>
    <t>WOS:000230996800011</t>
  </si>
  <si>
    <t>Orellana, C; Labbé, R</t>
  </si>
  <si>
    <t>Simple broad-band frequency-independent analog I/Q generator</t>
  </si>
  <si>
    <t>REVIEW OF SCIENTIFIC INSTRUMENTS</t>
  </si>
  <si>
    <t>A wide frequency range, analog in-phase/quadrature generator was developed for use in synchronous detectors. With the parameters chosen for the realization reported in this Note, it can, in principle, operate from 60 Hz up to 400 kHz. Using good quality sine input, deviations from the 90degrees phase lag of the quadrature output are not larger than 0.2degrees in the frequency range between 60 Hz and 100 kHz. (C) 2004 American Institute of Physics.</t>
  </si>
  <si>
    <t>Labbe, Raul/C-4581-2008</t>
  </si>
  <si>
    <t>Labbe, Raul/0000-0003-4233-8387; Orellana, Christian/0000-0002-4081-4055</t>
  </si>
  <si>
    <t>0034-6748</t>
  </si>
  <si>
    <t>1089-7623</t>
  </si>
  <si>
    <t>10.1063/1.1753094</t>
  </si>
  <si>
    <t>WOS:000221793800046</t>
  </si>
  <si>
    <t>Gumucio, CP</t>
  </si>
  <si>
    <t>The sociology of religion with the advent of the year 2050 - A Latin American viewpoint</t>
  </si>
  <si>
    <t>SOCIAL COMPASS</t>
  </si>
  <si>
    <t>Any attempt to grasp that which is currently at stake in sociology of religion from a Latin American point of view requires awareness of the current context, including multiple on-going processes of globalization and geopolitical tensions in the post-September 11 world. The internal contradictions of the process of modernization and the inequalities involved in globalization create repercussions in the field of religion in Latin America, with its diverse and plural character. The emergence of new religious phenomena-neo-pagan magical cults, anti-globalization movements with spiritual overtones, Pentecostal cults, African-American cults, New Age movements, various ecclesiastical movements-and the greater or lesser influence of each established church or denomination in Latin American societies, all this will depend, in future, upon global scenarios and upon the general climate of uncertainty which exists, and which has an effect on the search for meaning and people's need for ritual expression.</t>
  </si>
  <si>
    <t>Parker, Cristián/J-4947-2017</t>
  </si>
  <si>
    <t>0037-7686</t>
  </si>
  <si>
    <t>1461-7404</t>
  </si>
  <si>
    <t>10.1177/0037768604040790</t>
  </si>
  <si>
    <t>WOS:000220190400005</t>
  </si>
  <si>
    <t>Chacón, M; Maureira, B</t>
  </si>
  <si>
    <t>Sanfeliu, A; Trinidad, JFM; Ochoa, JAC</t>
  </si>
  <si>
    <t>Causal networks for modeling health technology utilization in Intensive Care Units</t>
  </si>
  <si>
    <t>PROGRESS IN PATTERN RECOGNITION, IMAGE ANALYSIS AND APPLICATIONS</t>
  </si>
  <si>
    <t>LECTURE NOTES IN COMPUTER SCIENCE</t>
  </si>
  <si>
    <t>9th Iberoamerican Congress on Pattern Recognition</t>
  </si>
  <si>
    <t>OCT 16-29, 2004</t>
  </si>
  <si>
    <t>Puebla, MEXICO</t>
  </si>
  <si>
    <t>Inst Cybernet, Math &amp; Phys Cuba,Ctr Applicat Adv Technol Cuba,Univ La Salle, Mexico,Autonomous Univ Puebla,Int Assoc Patern Recognit,Cuban Assoc Pattern Recognit,Portuguese Assoc Pattern Recognit,Spanish Assoc Pattern Recognit &amp; Image Anal,SIGPR SBC,Mexican Assoc Comp Vis, Neurocomp &amp; Robit</t>
  </si>
  <si>
    <t>This study presents the application of Bayesian networks (Bn) to explain Neonatal Intensive Care Unit relationships. Information was compiled retrospectively from the medical records at two neonatal intensive care units of 523 neonates (63 deaths). A total of 31 variables were used for the model, eleven to characterize admission conditions and severity of illness as well as the 20 technologies. With mortality as the output variable, the K2 search algorithm and Geiger-Heckerman quality measures were used in the training that generated the Bn. Evidence propagation was used to assess the training, which yielded a sensitivity of 77.78% and a specificity of 91.30%, in the classification of mortality. Clinical criteria, correlations and logistical regression were used to analyse the relationships the model provided. The Bn found clinically coherent relationships as recognizable conditions that directly affect mortality such as congenital malformations are seen and it exposes the least effective technologies among those studied, bicarbonate treatment.</t>
  </si>
  <si>
    <t>0302-9743</t>
  </si>
  <si>
    <t>3-540-23527-2</t>
  </si>
  <si>
    <t>WOS:000225085900081</t>
  </si>
  <si>
    <t>Osorio, F; Gahona, E; Alvarez, F</t>
  </si>
  <si>
    <t>Water absorption effects on biaxial extensional viscosity of wheat flour dough</t>
  </si>
  <si>
    <t>JOURNAL OF TEXTURE STUDIES</t>
  </si>
  <si>
    <t>Biaxial extensional viscosities of wheat flour dough at three water absorption levels were determined as a function of biaxial strain rates using lubricated squeezing flow. The shape of the curves obtained in this study showed a sharp increase followed by a gradual increase which could indicate the presence of viscoelastic effects, which is not the usual case reported in the published literature for other products when using this technique. Plasticizing effect of water coupled with the effect of the starch and the interaction among the other components of wheat flour dough could explain the rheological behavior of flour dough during lubricated squeezing flow testing. Values of biaxial extensional viscosities of wheat flour dough for the three water absorption levels obtained in this study showed significant differences in the entire deformation range (P &lt; 0.05).</t>
  </si>
  <si>
    <t>osorio, fernando/AAY-7304-2021</t>
  </si>
  <si>
    <t>osorio, fernando/0000-0001-7206-0924</t>
  </si>
  <si>
    <t>0022-4901</t>
  </si>
  <si>
    <t>10.1111/j.1745-4603.2003.tb01372.x</t>
  </si>
  <si>
    <t>WOS:000184097000003</t>
  </si>
  <si>
    <t>Cubillos, FA; Lima, EL</t>
  </si>
  <si>
    <t>Kraslawski, A; Turunen, I</t>
  </si>
  <si>
    <t>Real-time optimization systems based on grey-box neural models</t>
  </si>
  <si>
    <t>EUROPEAN SYMPOSIUM ON COMPUTER AIDED PROCESS ENGINEERING - 13</t>
  </si>
  <si>
    <t>COMPUTER-AIDED CHEMICAL ENGINEERING</t>
  </si>
  <si>
    <t>13th European Symposium on Computer Aided Process Engineering (ESCAPE-13)</t>
  </si>
  <si>
    <t>JUN 01-04, 2003</t>
  </si>
  <si>
    <t>LAPPEENRANTA, FINLAND</t>
  </si>
  <si>
    <t>Lappeenranta Univ Technol</t>
  </si>
  <si>
    <t>This paper investigate the feasibility using of grey-box neural type models (GNM) for design and operation of model based Real Time Optimization (RTO) systems operating in a dynamical fashion. The GNM is based on fundamental conservation laws associated with neural networks (NN) used to model uncertain parameters. The proposed approach is applied to the simulated Williams-Otto reactor, considering three GNM process approximations. Obtained results demonstrate the feasibility of the use of the GNM models in the RTO technology in a dynamic fashion.</t>
  </si>
  <si>
    <t>CUBILLOS, FRANCISCO/0000-0001-7863-4394</t>
  </si>
  <si>
    <t>1570-7946</t>
  </si>
  <si>
    <t>0-444-51368-X</t>
  </si>
  <si>
    <t>WOS:000183369400066</t>
  </si>
  <si>
    <t>Quezada, LE; Córdova, FM; Palominos, P; Ramírez, W</t>
  </si>
  <si>
    <t>A rapid tool for strategic internal analysis of manufacturing firms</t>
  </si>
  <si>
    <t>INTERNATIONAL JOURNAL OF PRODUCTION RESEARCH</t>
  </si>
  <si>
    <t>16th International Conference on Production Research (ICPR)</t>
  </si>
  <si>
    <t>AUG, 2001</t>
  </si>
  <si>
    <t>CZECH TECH UNIV, PRAGUE, CZECH REPUBLIC</t>
  </si>
  <si>
    <t>Czech Assoc Sci &amp; Tech Soc</t>
  </si>
  <si>
    <t>CZECH TECH UNIV</t>
  </si>
  <si>
    <t>This paper examines strengths and weaknesses of companies in the context of the value chain as a way to assess a manufacturing firm. For doing this, the executives of 20 companies were interviewed and asked about the strengths and weaknesses they thought their companies had. The responses were classified according to the elements of the value chain and new sub-classifications were created. In this way, it was possible to discover the main concerns the executives had about their company and to see if there were some comonality in their responses. It was found that the main concerns were in the areas of Production and Sales, as opposed to Finances, Human Resources, Technology and Procurement. As a result, a proposition is made about the use of this value chain and its dimensions as a way for rapid internal assessment of a manufacturing firm. A case study is presented in which the developed tool was implemented. An internal analysis of a company was undertaken in few hours.</t>
  </si>
  <si>
    <t>Quezada, Luis/W-8168-2019; CORDOVA, FELISA/S-1093-2019</t>
  </si>
  <si>
    <t>Palominos, Pedro/0000-0002-5695-3025; CORDOVA, FELISA/0000-0002-5557-8569; Quezada, Luis/0000-0003-1364-9266</t>
  </si>
  <si>
    <t>0020-7543</t>
  </si>
  <si>
    <t>OCT 15</t>
  </si>
  <si>
    <t>10.1080/00207540210163900</t>
  </si>
  <si>
    <t>WOS:000179163300033</t>
  </si>
  <si>
    <t>Devés Valdés, E</t>
  </si>
  <si>
    <t>Cultural studies and Latin-American thought</t>
  </si>
  <si>
    <t>CUADERNOS HISPANOAMERICANOS</t>
  </si>
  <si>
    <t>0011-250X</t>
  </si>
  <si>
    <t>WOS:000178392800002</t>
  </si>
  <si>
    <t>Matsuhiro, B; Rubio, MJ</t>
  </si>
  <si>
    <t>Chemical modification of lemon pectin.</t>
  </si>
  <si>
    <t>The basic hydrolysis of the extract from lemon mesocarp afforded a pectin rich in galacturonic acid. The reaction with bromine allowed the selective oxidation of carbon 2, giving a ketone function in good yield. The reductive amination of the oxidised polysaccharide and subsequent acetylation gave an analog of the Vi polysaccharide of Salmonella typhi. The analogue was used as a model compound for the introduction of a side chain by amidation with caprolactam and for the conjugation of an acidic polysaccharide by amidation to the protein, bovine serum albumin.</t>
  </si>
  <si>
    <t>WOS:000173712000011</t>
  </si>
  <si>
    <t>Celentano, DJ</t>
  </si>
  <si>
    <t>A large strain thermoviscoplastic formulation for the solidification of SG cast iron in a green sand mould</t>
  </si>
  <si>
    <t>INTERNATIONAL JOURNAL OF PLASTICITY</t>
  </si>
  <si>
    <t>7th International Symposium on Plasticity and Its Current Applications</t>
  </si>
  <si>
    <t>JAN, 1999</t>
  </si>
  <si>
    <t>CANCUN, MEXICO</t>
  </si>
  <si>
    <t>This paper presents a large strain thermoviscoplastic formulation for the analysis of the solidification process of spheroidal graphite (S.G.) cast iron in a green sand mould. This formulation includes two different non-associate constitutive models in order to describe the thermomechanical behaviour of each of such materials during the whole process. The performance of these models is evaluated in the analysis of a solidification test. (C) 2001 Elsevier Science Ltd. All rights reserved.</t>
  </si>
  <si>
    <t>0749-6419</t>
  </si>
  <si>
    <t>1879-2154</t>
  </si>
  <si>
    <t>10.1016/S0749-6419(00)00095-4</t>
  </si>
  <si>
    <t>WOS:000171891600003</t>
  </si>
  <si>
    <t>Cardenas, V; Palma, G</t>
  </si>
  <si>
    <t>Some remarks on oscillating inflation -: art. no. 027302</t>
  </si>
  <si>
    <t>In a recent paper Damour and Mukhanov described a scenario where inflation may continue during the oscillatory phase. This effect is possible because the scalar field spends a significant fraction of each period of oscillation on the upper part of the potential. Such an additional period of inflation could push perturbations after the slow roll regime to observable scales. Although in this work we show that the small region of the Damour-Mukhanov parameter q gives the main contribution to oscillating inflation, it was not satisfactorily understood until now. Furthermore, it gives an expression for the energy density spectrum of perturbations, which is well behaved in the whole physical range of q.</t>
  </si>
  <si>
    <t>Cardenas, Victor/A-5403-2012</t>
  </si>
  <si>
    <t>Cardenas, Victor Hugo/0000-0002-9788-3967</t>
  </si>
  <si>
    <t>2470-0010</t>
  </si>
  <si>
    <t>2470-0029</t>
  </si>
  <si>
    <t>10.1103/PhysRevD.61.027302</t>
  </si>
  <si>
    <t>WOS:000084855600086</t>
  </si>
  <si>
    <t>On the superconducting sphere in an external magnetic field</t>
  </si>
  <si>
    <t>AMERICAN JOURNAL OF PHYSICS</t>
  </si>
  <si>
    <t>The magnetic field inside and outside a superconducting sphere in an external magnetic field is determined solving the Maxwell-London equations by standard mathematical methods, which formally explain the ansatz used in a number of textbooks. (C) 1999 American Association of Physics Teachers.</t>
  </si>
  <si>
    <t>0002-9505</t>
  </si>
  <si>
    <t>10.1119/1.19126</t>
  </si>
  <si>
    <t>WOS:000082386000007</t>
  </si>
  <si>
    <t>Juan, BR; Jorge, GC; de Paul, MZV</t>
  </si>
  <si>
    <t>Salgado, L; Filho, FA</t>
  </si>
  <si>
    <t>Fabrication and hot extrusion of mechanically alloying Cu-15wt%Cr alloy</t>
  </si>
  <si>
    <t>ADVANCED POWDER TECHNOLOGY</t>
  </si>
  <si>
    <t>MATERIALS SCIENCE FORUM</t>
  </si>
  <si>
    <t>1st International Latin American Conference on Powder Technology</t>
  </si>
  <si>
    <t>NOV 10-12, 1997</t>
  </si>
  <si>
    <t>SAO PAULO, BRAZIL</t>
  </si>
  <si>
    <t>ABC,IPEN,MPIF,SINTERCONSULT,FAPESP,CNPq,FINEP</t>
  </si>
  <si>
    <t>Mechanical alleging (MA) of copper-chromium (Cu-15wt%Cr) elemental powders was carried out using a planetary ball mill with tungsten carbide balls during 60 h, using rotation speed of 200 and 350 rpm The evolution of element combination in the milling was examined through X-rays diffraction, observing that the saturation grade of chromium depends on the milling time and rotation speed of the mill. The lattice parameter of copper decreases as the chromium enters into solution, reaching a minimum value of 3.599 Angstrom for 50 h. The Vickers hardness of mechanically alloyed powder increased with milling time due to plastic deformation, tending to a value of 594 HV. The mechanical alloyed powders were consolidated by hot extrusion after encapsulation and degassing at 500, 600 and 700 degrees C, using an extrusion ratio of 10:1 and an extrusion speed of about 5 mm(-1). The powder consolidation and the final Vickers hardness depended strongly on the pre-heating temperature. Chemical analysis of the extruded bars showed that it was contaminated with W and Fe, Finally, aging heat treatments at 900 and 1000 degrees C aiming to raise the hardness of the extruded bars were performed.</t>
  </si>
  <si>
    <t>0255-5476</t>
  </si>
  <si>
    <t>0-87849-825-7</t>
  </si>
  <si>
    <t>299-3</t>
  </si>
  <si>
    <t>10.4028/www.scientific.net/MSF.299-300.470</t>
  </si>
  <si>
    <t>WOS:000079831600059</t>
  </si>
  <si>
    <t>Gramsch, E</t>
  </si>
  <si>
    <t>Noise characteristics of avalanche photodiode arrays of the bevel-edge type</t>
  </si>
  <si>
    <t>IEEE TRANSACTIONS ON ELECTRON DEVICES</t>
  </si>
  <si>
    <t>A calculation of the noise characteristics of beveled-edge avalanche photodiode arrays is presented. It describes well the observed results from 64-element arrays with 1.27 x 1.27 mm(2) and 0.45 x 0.45 mm(2) pixel size. The main source of noise at low gain is Johnson noise from the interpixel resistance. At high gain, the shot noise from the bulk dark current dominates. There is an intermediate narrow gain region (M = 10-25) where the noise current decreases to 0.1 pA/root Hz in both arrays and the performance of the pixels is optimized. A comparison between the model and experimental data shows that the bulk dark current per unit area is higher in the array than a single element APD, This increase is most probably due to the grooving process, which create defects that generate high bulk dark current.</t>
  </si>
  <si>
    <t>0018-9383</t>
  </si>
  <si>
    <t>10.1109/16.701493</t>
  </si>
  <si>
    <t>WOS:000074344100028</t>
  </si>
  <si>
    <t>Rabagliati, FM; Perez, M; Ayal, HA; Terraza, CA; Quijada, R</t>
  </si>
  <si>
    <t>Polymerization of styrene by diphenylzinc-additive systems -: Part VI:: Ph2Zn-Cp2TiCl2-MAO systems</t>
  </si>
  <si>
    <t>IUPAC Marcoseoul 96 Meeting</t>
  </si>
  <si>
    <t>AUG, 1996</t>
  </si>
  <si>
    <t>SEOUL, SOUTH KOREA</t>
  </si>
  <si>
    <t>The polymerization of styrene using combined systems of diphenylzinc-biscyclopentadienyltitanium dichloride-methylaluminoxane, Ph2Zn-Cp2TiCl2-MAO, in toluene at 60 degrees C produced highly syndiotactic polystyrene. The syndiotacticity was established first by polymer insolubility in chloroform benzene or toluene, and also by continuous extraction in boiling butanone. DSC analysis confirmed this finding and showed signals corresponding to the melting temperature, T-m, of syndiotactic polystyrene.</t>
  </si>
  <si>
    <t>QUIJADA, RAUL/0000-0003-0791-6954; Terraza, Claudio/0000-0002-6326-8771</t>
  </si>
  <si>
    <t>10.1007/s002890050204</t>
  </si>
  <si>
    <t>WOS:000071086600005</t>
  </si>
  <si>
    <t>Escudey, M; Diaz, P; Foerster, JE; Galindo, G</t>
  </si>
  <si>
    <t>Binary cation exchange equilibria (K, Ca, Mg, Zn) on synthetic aluminosilicates. Effect of iron oxide and organic matter coatings</t>
  </si>
  <si>
    <t>The binary cation exchange equilibria involving K, Ca, Mg and Zn on a synthetic short range order aluminosilicate (Al-Si) were studied; the effect of sequential coatings of iron oxide (Fe) and organic matter (OM) were also considered. The Gaines and Thomas thermodynamic approach based on equivalent fractions was used. The cation exchange capacity (CEC) decreases in the sequence Al-Si &gt; Al-Si-Fe-MO &gt; Al-Si-Fe, which is related to the surface charge associated with the type of coating. The exchange selectivity decreases in the sequence K&gt;Ca greater than or equal to Zn&gt;Mg without exceptions. The selectivity between two cations can be inferred from the data of binary exchange obtained in relation with a third common cation. The surface heterogeneity depends on the cations involved in the equilibria instead of coating; thus, similar curves are obtained for the three compounds as a function of the equilibrium considered.</t>
  </si>
  <si>
    <t>WOS:A1995TN57900006</t>
  </si>
  <si>
    <t>TERRAZA, CA; RABAGLIATI, FM</t>
  </si>
  <si>
    <t>POLYMERIZATION OF STYRENE WITH DIPHENYLZINC-WATER SYSTEMS PREVIOUSLY AGED</t>
  </si>
  <si>
    <t>Diphenylzinc-water systems, Ph(2)Zn-H2O, were aged at various temperatures and for various lengths of time. These systems by themselves and those to which t-butyl chloride was added, ph(2)Zn-H2O-Bu(t)Cl, were used as initiator for styrene polymerizations. For Ph(2)Zn-H2O systems, both conversion and molecular weight of the polymers were much affected by ageing. Ph(2)Zn-H2O-Bu(t)Cl systems, after ageing at various temperatures, did not improve their capability to induce styrene polymerization at -78 degrees C in dichloromethane, confirming their ionic nature.</t>
  </si>
  <si>
    <t>10.1007/BF00963130</t>
  </si>
  <si>
    <t>WOS:A1995TD28000012</t>
  </si>
  <si>
    <t>VARGASHERNANDEZ, Y; GAETEGARRETON, L; MONTOYAVITINI, F</t>
  </si>
  <si>
    <t>ULTRASONICS; ULTRASONICS; ULTRASONICS</t>
  </si>
  <si>
    <t>ULTRASONIC STUDY OF TURBULENCE</t>
  </si>
  <si>
    <t>ULTRASONICS INTERNATIONAL 93 - CONFERENCE PROCEEDINGS</t>
  </si>
  <si>
    <t>Ultrasonics International Conference</t>
  </si>
  <si>
    <t>JUL 06-08, 1993</t>
  </si>
  <si>
    <t>VIENNA, AUSTRIA</t>
  </si>
  <si>
    <t>ULTRASONICS</t>
  </si>
  <si>
    <t>Montoya, Fausto/L-5962-2014</t>
  </si>
  <si>
    <t>Montoya, Fausto/0000-0002-8817-8705</t>
  </si>
  <si>
    <t>0-750618-77-9</t>
  </si>
  <si>
    <t>WOS:A1993BA27D00116</t>
  </si>
  <si>
    <t>PEREZ, P</t>
  </si>
  <si>
    <t>MEMORY MELTING IN NEURAL NETWORKS</t>
  </si>
  <si>
    <t>PHYSICAL REVIEW A</t>
  </si>
  <si>
    <t>1050-2947</t>
  </si>
  <si>
    <t>10.1103/PhysRevA.39.4303</t>
  </si>
  <si>
    <t>WOS:A1989U317500074</t>
  </si>
  <si>
    <t>ORELLANA, M</t>
  </si>
  <si>
    <t>TEXTUAL MEANING AND WORD FUNCTION IN ORAL POETRY - THE 1ST-PERSON IN CHILEAN VERSE AT CHILDRENS FUNERALS</t>
  </si>
  <si>
    <t>WOS:A1988U593600011</t>
  </si>
  <si>
    <t>URETAZANARTU, S; VERA, RM; ZAGAL, JH</t>
  </si>
  <si>
    <t>LEAD DEPOSITION ON IRIDIUM AND ELECTROOXIDATION OF FORMIC-ACID</t>
  </si>
  <si>
    <t>JOURNAL OF THE ELECTROCHEMICAL SOCIETY</t>
  </si>
  <si>
    <t>zagal, jose/L-9648-2014; Vera, Rodrigo/AAF-5070-2019</t>
  </si>
  <si>
    <t>0013-4651</t>
  </si>
  <si>
    <t>C342</t>
  </si>
  <si>
    <t>WOS:A1986D603100788</t>
  </si>
  <si>
    <t>CACERES, T; URZUA, C; LISSI, EA</t>
  </si>
  <si>
    <t>DECOMPOSITION OF DI-TERT-BUTYL NITROXIDE IN AQUEOUS-SOLUTIONS</t>
  </si>
  <si>
    <t>10.1002/kin.550170110</t>
  </si>
  <si>
    <t>WOS:A1985ADX8200009</t>
  </si>
  <si>
    <t>VASQUEZ, C</t>
  </si>
  <si>
    <t>ISOLATION AND PARTIAL CHARACTERIZATION OF BSTVI, A THERMOSTABLE ISOSCHIZOMER OF XHOI</t>
  </si>
  <si>
    <t>BIOCHEMISTRY INTERNATIONAL</t>
  </si>
  <si>
    <t>A type II restriction endonuclease, which was named BstVI, was isolated and partially purified from a spore-forming, gram-positive thermophilic bacilli [Bacillus Steorothermophilus]. On the basis of its digestion patterns on various DNA, this enzyme is an isoschizomer of XhoI, isolated originally from Xanthomonas holcicola. Besides being highly thermostable, the enzyme is produced in very large amounts by this bacterial strain. A single purification step renders it free of unspecific nucleases and suitable for performing restriction analysis and cloning experiments.</t>
  </si>
  <si>
    <t>0158-5231</t>
  </si>
  <si>
    <t>WOS:A1985AGW6100018</t>
  </si>
  <si>
    <t>RIERA, G</t>
  </si>
  <si>
    <t>THE GEOMETRY OF THE PERIOD MAPPING ON CYCLIC COVERS OF P1</t>
  </si>
  <si>
    <t>COMPOSITIO MATHEMATICA</t>
  </si>
  <si>
    <t>0010-437X</t>
  </si>
  <si>
    <t>WOS:A1984SF08200009</t>
  </si>
  <si>
    <t>ZAGAL, J; URETAZANARTU, S</t>
  </si>
  <si>
    <t>ELECTROOXIDATION OF HYDRAZINE CATALYZED BY SULFONATED PHTHALOCYANINES ABSORBED ON A GRAPHITE ELECTRODE</t>
  </si>
  <si>
    <t>Ureta-Zañartu, Maria/G-5239-2019; zagal, jose/L-9648-2014</t>
  </si>
  <si>
    <t>1945-7111</t>
  </si>
  <si>
    <t>10.1149/1.2123483</t>
  </si>
  <si>
    <t>WOS:A1982PJ51800017</t>
  </si>
  <si>
    <t>ENCINA, MV; DIAZ, S; LISSI, E</t>
  </si>
  <si>
    <t>REACTIVITY OF AMINES TOWARD TERT-BUTOXY RADICALS - EFFECT OF SOLVENT AND AMINE STRUCTURE</t>
  </si>
  <si>
    <t>10.1002/kin.550130203</t>
  </si>
  <si>
    <t>WOS:A1981LA60200002</t>
  </si>
  <si>
    <t>Parker, Cristian</t>
  </si>
  <si>
    <t>Religious and Spiritual Diversity in Multiple Modernities: A Decolonial Perspective Focusing on Peripheral Religious Expressions</t>
  </si>
  <si>
    <t>RELIGIONS</t>
  </si>
  <si>
    <t>This paper challenges the World Religion Paradigm (WRP) dominating religious studies, advocating for a decolonial approach that focuses on diverse and often marginalized religious expressions. The approach that prioritizes world religions over the rich diversity of religious expressions in multiple modernities turns out to be insufficient and biased. Through theoretical research, this paper explores the implications of multiple modernities for the religious landscape. Drawing on Eisenstadt's theory of multiple modernities, the analysis critiques linear notions of modernization and secularization, and it highlights the complex interplay between religious centers and peripheries. It develops a critical examination of how the theory of the Axial Age, by prioritizing elites and centers in the historical genesis of world religions, generates a preconception that overlooks the religious and spiritual productivity of the peripheries, which persists within current interpretative frameworks. To emphasize the dynamic between center and periphery as a key factor in understanding religious diversity, the text proposes some theoretical theses. By embracing a diversity paradigm and decolonizing frameworks, this paper offers a more inclusive understanding of religious phenomena, contributing to a broader discourse on religion and spirituality beyond Eurocentric perspectives.</t>
  </si>
  <si>
    <t>2077-1444</t>
  </si>
  <si>
    <t>10.3390/rel15060726</t>
  </si>
  <si>
    <t>WOS:001256492100001</t>
  </si>
  <si>
    <t>Zambrano-Angulo, M; Pino-Rios, R; Pino-López, E; Cárdenas-Jirón, G</t>
  </si>
  <si>
    <t>Zambrano-Angulo, Michael; Pino-Rios, Ricardo; Pino-Lopez, Eduardo; Cardenas-Jiron, Gloria</t>
  </si>
  <si>
    <t>Theoretical study of lithium oxide clusters adsorbed on anatase TiO2 surface</t>
  </si>
  <si>
    <t>SURFACES AND INTERFACES</t>
  </si>
  <si>
    <t>The search for materials that have broad applicability as photocatalysts is growing interest. Titanium dioxide (TiO2) is a semiconductor with demonstrated photocatalytic properties, and its improvement with lithium oxide (LO) adsorption (LO-TiO2) is investigated using density functional theory (DFT). The modeling of the electronic structure of three types of LO as lithium oxide (Li2O)n, lithium peroxide (Li2O2)n, and lithium superoxide radical (LiO2)n (n = 1,2,3) adsorbed on anatase TiO2 shows an increase in their reactivities. The bandgap energy decreases in the range of 3.07-0.33 eV compared to TiO2 (3.2 eV) and conducting states from LO and 2p orbital of O(TiO2) towards 3d orbital of titanium (TiO2) are generated. The Independent Gradient Model and the intrinsic bond strength index are applied to gain insight into the intermolecular interactions between LO and TiO2. These results are coherent with that predicted by the interaction energy of LO-TiO2, which suggests that the more stable systems are (Li2O)2 and (Li2O2)3. Optical properties calculated with TD-DFT show a visible shift of the main absorption band compared to TiO2. The theoretical results show that the adsorption of lithium oxide onto a TiO2 surface would be an excellent strategy to produce a material as a visible light-activated photocatalyst.</t>
  </si>
  <si>
    <t>; Cardenas-Jiron, Gloria/H-9508-2012</t>
  </si>
  <si>
    <t>Pino, Eduardo Francisco/0000-0002-7851-3952; Cardenas-Jiron, Gloria/0000-0003-4305-8088; Zambrano Angulo, Michael/0000-0001-6456-361X</t>
  </si>
  <si>
    <t>2468-0230</t>
  </si>
  <si>
    <t>10.1016/j.surfin.2023.102856</t>
  </si>
  <si>
    <t>APR 2023</t>
  </si>
  <si>
    <t>WOS:000981903100001</t>
  </si>
  <si>
    <t>Marques, ALD; Contreras, NS</t>
  </si>
  <si>
    <t>Marques, Ana Laura dos Santos; Contreras, Nestor Singer</t>
  </si>
  <si>
    <t>Biliteracy at university for future translators: perceptions and correlations</t>
  </si>
  <si>
    <t>This research aims to describe lecturers' and students' perceptions about the development of their academic writing in language learning in the context of an undergraduate Spanish-English-Portuguese translation programme. The concept of biliteracy (Hornberger, 1990; 2003; 2013) is compared to the features identified by the participants' experiences in the writing of academic genres in their first language (L1), Spanish, and in their second languages (SL), Portuguese and English. Data are examined in terms of writing content, means and contexts that are required to produce meanings in those languages at university level. The methodological design involves a longitudinal case study. For this paper, data obtained from a first semi-structured interview round were gathered. These were classified in two categories: writing contexts and mastery of genres required in their programmes. Results reveal that students move along English-Spanish-Portuguese biliteracy contexts according to the specific purposes of writing tasks. They appear to struggle with achieve the required academic register and relate their experiences with the languages they study. Lecturers, on the other hand, writing practice is approached from mostly monolingual course units. These results highlight the linguistic and pedagogical implications concerning the collective and personal development of academic writing in SL, English and Portuguese, as well as the participants' L1, Spanish.</t>
  </si>
  <si>
    <t>10.15443/RL3311</t>
  </si>
  <si>
    <t>WOS:001024284800010</t>
  </si>
  <si>
    <t>Pardo, A</t>
  </si>
  <si>
    <t>Pardo, Angel</t>
  </si>
  <si>
    <t>SQUARE-TILED TORI</t>
  </si>
  <si>
    <t>DISCRETE AND CONTINUOUS DYNAMICAL SYSTEMS</t>
  </si>
  <si>
    <t>We study square-tiled tori, that is, tori obtained from a finite collection of unit squares by parallel side identifications. Square-tiled tori can be parametrized in a natural way that allows to count the number of square-tiled tori tiled by a given number of square tiles. There is a natural SL(2, Z)-action on square-tiled tori and we classify SL(2, Z)-orbits using two numerical invariants that can be easily computed. We deduce the exact size of every SL(2, Z)-orbit. In particular, this answers a question by M. Bolognesi on the number of cyclic covers of the torus, which corresponds to particular SL(2, Z)-orbits of square-tiled tori. We also give the asymptotic behavior of the number of cyclic square-tiled tori.</t>
  </si>
  <si>
    <t>Pardo, Angel/IQW-7152-2023</t>
  </si>
  <si>
    <t>Pardo, Angel/0000-0001-5121-3071</t>
  </si>
  <si>
    <t>1078-0947</t>
  </si>
  <si>
    <t>1553-5231</t>
  </si>
  <si>
    <t>2022 DEC</t>
  </si>
  <si>
    <t>10.3934/dcds.2022185</t>
  </si>
  <si>
    <t>WOS:000919592500001</t>
  </si>
  <si>
    <t>Neutrino flavor mixing with approximate μ-τ symmetry within the low-scale minimal linear seesaw model</t>
  </si>
  <si>
    <t>Neutrino flavor mixing is explained within the recently proposed low-scale minimal linear seesaw model of neutrino mass generation, a variant of the standard linear seesaw led by a Dirac pair of extra sterile neutrinos which is odd under a discrete Z2 symmetry and has a mass at or below the GeV scale. The tri-bimaximal mixing and its deviations are derived straightforwardly on the basis of the symmetry between mu and tau flavors, without introducing non-abelian discrete flavor symmetries in the first place.</t>
  </si>
  <si>
    <t>Matute, Ernesto/0000-0002-0547-6732</t>
  </si>
  <si>
    <t>SEP 21</t>
  </si>
  <si>
    <t>10.1142/S0217732322501966</t>
  </si>
  <si>
    <t>WOS:000904027100002</t>
  </si>
  <si>
    <t>Aedo, R</t>
  </si>
  <si>
    <t>Aedo, Roberto</t>
  </si>
  <si>
    <t>OF THE BLOOD, THE PASSION AND OTHER MATTERS: ABOUT THE POETIC OF CARLOS DROGUETT</t>
  </si>
  <si>
    <t>ANALES DE LITERATURA CHILENA</t>
  </si>
  <si>
    <t>0717-6058</t>
  </si>
  <si>
    <t>0719-0913</t>
  </si>
  <si>
    <t>WOS:000817165400009</t>
  </si>
  <si>
    <t>Chacón, M; Rojas-Pescio, H; Peñaloza, S; Landerretche, J</t>
  </si>
  <si>
    <t>Chacon, Max; Rojas-Pescio, Hector; Penaloza, Sergio; Landerretche, Jean</t>
  </si>
  <si>
    <t>Machine Learning Models and Statistical Complexity to Analyze the Effects of Posture on Cerebral Hemodynamics</t>
  </si>
  <si>
    <t>ENTROPY</t>
  </si>
  <si>
    <t>The mechanism of cerebral blood flow autoregulation can be of great importance in diagnosing and controlling a diversity of cerebrovascular pathologies such as vascular dementia, brain injury, and neurodegenerative diseases. To assess it, there are several methods that use changing postures, such as sit-stand or squat-stand maneuvers. However, the evaluation of the dynamic cerebral blood flow autoregulation (dCA) in these postures has not been adequately studied using more complex models, such as non-linear ones. Moreover, dCA can be considered part of a more complex mechanism called cerebral hemodynamics, where others (CO2 reactivity and neurovascular-coupling) that affect cerebral blood flow (BF) are included. In this work, we analyzed postural influences using non-linear machine learning models of dCA and studied characteristics of cerebral hemodynamics under statistical complexity using eighteen young adult subjects, aged 27 +/- 6.29 years, who took the systemic or arterial blood pressure (BP) and cerebral blood flow velocity (BFV) for five minutes in three different postures: stand, sit, and lay. With models of a Support Vector Machine (SVM) through time, we used an AutoRegulatory Index (ARI) to compare the dCA in different postures. Using wavelet entropy, we estimated the statistical complexity of BFV for three postures. Repeated measures ANOVA showed that only the complexity of lay-sit had significant differences.</t>
  </si>
  <si>
    <t>Rojas-Pescio, Hector/0000-0002-9543-3516; Penaloza, Sergio/0000-0001-9413-5309</t>
  </si>
  <si>
    <t>1099-4300</t>
  </si>
  <si>
    <t>10.3390/e24030428</t>
  </si>
  <si>
    <t>WOS:000776846300001</t>
  </si>
  <si>
    <t>Biofilm Formation Is Crucial for Efficient Copper Bioleaching From Bornite Under Mesophilic Conditions: Unveiling the Lifestyle and Catalytic Role of Sulfur-Oxidizing Bacteria</t>
  </si>
  <si>
    <t>FRONTIERS IN MICROBIOLOGY</t>
  </si>
  <si>
    <t>Biofilm formation within the process of bioleaching of copper sulfides is a relevant aspect of iron- and sulfur-oxidizing acidophilic microorganisms as it represents their lifestyle in the actual heap/dump mining industry. Here, we used biofilm flow cell chambers to establish laminar regimes and compare them with turbulent conditions to evaluate biofilm formation and mineralogic dynamics through QEMSCAN and SEM-EDS during bioleaching of primary copper sulfide minerals at 30 degrees C. We found that laminar regimes triggered the buildup of biofilm using Leptospirillum spp. and Acidithiobacillus thiooxidans (inoculation ratio 3:1) at a cell concentration of 10(6) cells/g mineral on bornite (Cu5FeS4) but not for chalcopyrite (CuFeS2). Conversely, biofilm did not occur on any of the tested minerals under turbulent conditions. Inoculating the bacterial community with ferric iron (Fe3+) under shaking conditions resulted in rapid copper recovery from bornite, leaching 40% of the Cu content after 10 days of cultivation. The addition of ferrous iron (Fe2+) instead promoted Cu recovery of 30% at day 48, clearly delaying the leaching process. More efficiently, the biofilm-forming laminar regime almost doubled the leached copper amount (54%) after 32 days. In-depth inspection of the microbiologic dynamics showed that bacteria developing biofilm on the surface of bornite corresponded mainly to At. Thiooxidans, while Leptospirillum spp. were detected in planktonic form, highlighting the role of biofilm buildup as a means for the bioleaching of primary sulfides. We finally propose a mechanism for bornite bioleaching during biofilm formation where sulfur regeneration to sulfuric acid by the sulfur-oxidizing microorganisms is crucial to prevent iron precipitation for efficient copper recovery.</t>
  </si>
  <si>
    <t>1664-302X</t>
  </si>
  <si>
    <t>OCT 22</t>
  </si>
  <si>
    <t>10.3389/fmicb.2021.761997</t>
  </si>
  <si>
    <t>WOS:000716490200001</t>
  </si>
  <si>
    <t>Castillo, C; Dintrans, PV; Maddaleno, M</t>
  </si>
  <si>
    <t>Castillo, Claudio; Dintrans, Pablo Villalobos; Maddaleno, Matilde</t>
  </si>
  <si>
    <t>The successful COVID-19 vaccine rollout in Chile: Factors and challenges</t>
  </si>
  <si>
    <t>VACCINE: X</t>
  </si>
  <si>
    <t>As the COVID-19 pandemic continues causing problems around the world, Chile is facing a new episode of increasing cases and deaths. However, at the same time, the country has succeeded in providing vaccines for an important part of its population over a short period. What are the factors behind this successful process? What are the challenges faced by the country today? This article explores potential explanations for the Chilean paradigm, regarding the COVID-19 vaccine rollout. Borrowing from implementation science frameworks, the analysis proposed an alternative explanation-based on multiple actors, approaches, and history-as opposed to one in which the outcome is due mainly to the government's performance. The rapid and extensive coverage of vaccination can be explained by the role played by the government and the academia in securing vaccines through a pragmatic approach; the capacity built at local level, as well as the coordination between the health system and local authorities; and favorable vaccine culture, developed through the implementation of the National Immunization Program. Short and long-term elements (such as investment in infrastructure and relationships between stakeholders, and actions carried out during the pandemic), as well as contextual factors (such as the political and socioeconomic context), provide a more complex story to explain the observed outcomes. While other countries could try to follow the Chilean example, the article shows that short-term actions are necessary but might not be sufficient to achieve results. At a global level, the situation calls for rethinking how countries will face these global challenges, including issues such as international cooperation and global health governance. (C) 2021 Published by Elsevier Ltd.</t>
  </si>
  <si>
    <t>maddaleno, matilde/0000-0001-8725-4086; Castillo, Claudio A./0000-0001-8925-2236; Villalobos Dintrans, Pablo/0000-0002-2236-6447</t>
  </si>
  <si>
    <t>2590-1362</t>
  </si>
  <si>
    <t>10.1016/j.jvacx.2021.100114</t>
  </si>
  <si>
    <t>WOS:000697046800002</t>
  </si>
  <si>
    <t>THE LANDSCAPE OF CATASTROPHIC LOSS</t>
  </si>
  <si>
    <t>NASHIM-A JOURNAL OF JEWISH WOMENS STUDIES &amp; GENDER ISSUES</t>
  </si>
  <si>
    <t>Our biases and personal experiences inform our view of the world. Literature creates an alternative reality, and our memories of life's experiences help us create an entirely different universe. We are inclined to put together the pieces we want to remember, and these become our individual memory. Our perceptions of events and the ways we read them depend greatly on whether we live them as adults or in our formative years. Selective memory may have a healing effect or may torment us with images that won't go away. This personal essay explores how members of the second generation endeavor to work around the black holes in their family memories, where references, dates and information has been lost or erased as a result of political violence and traumatic experiences. Using some fiction and non-fictional texts as examples, I examine the ways in which I have constructed my identity, heritage and literary work.</t>
  </si>
  <si>
    <t>0793-8934</t>
  </si>
  <si>
    <t>1565-5288</t>
  </si>
  <si>
    <t>10.2979/nashim.39.1.09</t>
  </si>
  <si>
    <t>WOS:000761549800010</t>
  </si>
  <si>
    <t>Bacheleta, VC</t>
  </si>
  <si>
    <t>Bacheleta, Vivienne C.</t>
  </si>
  <si>
    <t>Entering a new decade: The Journal leaps forward with revamped platforms and renewed editorial processes</t>
  </si>
  <si>
    <t>Bachelet, Vivienne/JAN-7158-2023</t>
  </si>
  <si>
    <t>Bachelet, Vivienne C./0000-0002-5715-9755</t>
  </si>
  <si>
    <t>e8247</t>
  </si>
  <si>
    <t>10.5867/medwave.2021.05.8247</t>
  </si>
  <si>
    <t>WOS:000681764400001</t>
  </si>
  <si>
    <t>Becerra, D</t>
  </si>
  <si>
    <t>Gonzalez, RS; Barraza, GM; Magana, FI; Calquin, DC; Castillo, D</t>
  </si>
  <si>
    <t>Becerra, Diego</t>
  </si>
  <si>
    <t>Recognition, symmetry, and community: thinking the structural limitations of the police state in light of the October 2019 revolt</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</si>
  <si>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</si>
  <si>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978-956-303-478-3</t>
  </si>
  <si>
    <t>WOS:000651158400009</t>
  </si>
  <si>
    <t>Medina, JC; Frade, IM</t>
  </si>
  <si>
    <t>Cabrera Medina, Johana; Magana Frade, Irene</t>
  </si>
  <si>
    <t>Cyberpsychology and the COVID-19 pandemic</t>
  </si>
  <si>
    <t>Cabrera-Medina, Johana/0000-0002-5444-688X</t>
  </si>
  <si>
    <t>WOS:000651158400012</t>
  </si>
  <si>
    <t>Gómez, DD</t>
  </si>
  <si>
    <t>Domingo Gomez, Daniel</t>
  </si>
  <si>
    <t>Los Cantores Africanos. Arrival and reception of the Blackface Minstrelsy in the second half of the 19th century in Chile (1860)</t>
  </si>
  <si>
    <t>REVISTA MUSICAL CHILENA</t>
  </si>
  <si>
    <t>In September 1860, an American theater company arrived in Chile Cantores Africanos (Ethiopian Minstrels), which performed at the Victoria Theater in Valparaiso and the Municipal Theater of Santiago. This article analyzes, through the newspapers El Mercurio de Valparaiso and El Ferrocarril, how their arrival was, as well as the program they performed and their Chilean reception. We propose that this company corresponds to the first documented arrival of the Blackface Minstrelsy to Chile. Therefore, initially we contextualize this form of popular American entertainment. Next, we examine its arrival in 19th century Chile. Our hypothesis is that, although it did not have a great impact on local society, this artistic representation reinforced both the sense of racial otherness and reaffirmed an aesthetic and musical superiority of the audience gathered there.</t>
  </si>
  <si>
    <t>Domingo, Daniel/KEI-4460-2024</t>
  </si>
  <si>
    <t>0716-2790</t>
  </si>
  <si>
    <t>0717-6252</t>
  </si>
  <si>
    <t>WOS:000729401500002</t>
  </si>
  <si>
    <t>Kaschel, H; Palominos, P; Martin, R; Barrientos, J; Quiroga, J</t>
  </si>
  <si>
    <t>Kaschel, Hector; Palominos, Pedro; Martin, Rodrigo; Barrientos, Juan; Quiroga, Jose</t>
  </si>
  <si>
    <t>Technological Architecture for Open Smart Cities</t>
  </si>
  <si>
    <t>Rapid urban growth as a result of migration from rural to urban areas, reaching a urbanization rate of 68% by 2050, has put pressure on management, planning and development of cities, which has generated major problems such as pollution, urban inequality, bad mobility among other challenges. In recent years a new paradigm has emerged to face these challenges and it is the concept of smart cities and lately of Open Smart Cities One of the fundamental pillars to transform cities into smart cities is to have an enabling ICT infrastructure. In this paper, the state of the art of technological architecture to achieve Open Smart Cities is presented.</t>
  </si>
  <si>
    <t>Barrientos, Juan/LZG-7831-2025</t>
  </si>
  <si>
    <t>Kaschel, Hector/0000-0002-0868-7834; Palominos, Pedro/0000-0002-5695-3025</t>
  </si>
  <si>
    <t>10.1109/ICAACCA51523.2021.9465285</t>
  </si>
  <si>
    <t>WOS:000855764500112</t>
  </si>
  <si>
    <t>Paez, F; Kaschel, H</t>
  </si>
  <si>
    <t>Paez, Felipe; Kaschel, Hector</t>
  </si>
  <si>
    <t>Towards a Robust Computer Security Layer for the LIN Bus</t>
  </si>
  <si>
    <t>The increasing local and remote wireless connection possibilities available to common vehicles (such as cellular, Bluetooth, V2X communication) have raised significant cybersecurity concerns. This paper presents an up-to-date compilation about security vulnerabilities present in the most relevant in-vehicle communication buses (CAN, LIN, FlexRay), and a summary of various cybersecurity proposals for CAN and FlexRay, from various authors. Possible cyberattacks on the LIN bus are presented in detail, in order to outline the design of a robust IT security layer for this bus, thereby significantly contributing to the safety of vehicle occupants.</t>
  </si>
  <si>
    <t>10.1109/ICAACCA51523.2021.9465340</t>
  </si>
  <si>
    <t>WOS:000855764500031</t>
  </si>
  <si>
    <t>Bello, FA; Köhler, J; Hinrechsen, K; Araya, V; Hidalgo, L; Jara, JL</t>
  </si>
  <si>
    <t>Bello, Felipe A.; Kohler, Jacqueline; Hinrechsen, Karen; Araya, Victor; Hidalgo, Luciano; Luis Jara, Jose</t>
  </si>
  <si>
    <t>Using machine learning methods to identify significant variables for the prediction of first-year Informatics Engineering students dropout</t>
  </si>
  <si>
    <t>Köhler, Jacqueline/HOC-7820-2023; Jara, JL/J-7254-2015; Hidalgo, Luciano/HKO-3764-2023</t>
  </si>
  <si>
    <t>Jara, JL/0000-0002-3348-7017; Kohler, Jacqueline/0000-0002-9506-2989; Hidalgo, Luciano/0000-0001-8875-172X</t>
  </si>
  <si>
    <t>10.1109/sccc51225.2020.9281280</t>
  </si>
  <si>
    <t>WOS:000848755600080</t>
  </si>
  <si>
    <t>Moraga, JA; Quezada, LE; Palominos, PI; Oddershede, AM; Silva, HA</t>
  </si>
  <si>
    <t>Moraga, Javier A.; Quezada, Luis E.; Palominos, Pedro I.; Oddershede, Astrid M.; Silva, Hernan A.</t>
  </si>
  <si>
    <t>A quantitative methodology to enhance a strategy map</t>
  </si>
  <si>
    <t>This paper presents a methodology to improve the identification of causal relationships of an existing strategy map of a company, using a multi-decision criteria method. A strategy map is one of the components of a balanced scorecard (BSC). It contains strategic objectives grouped into four perspectives and the cause-effect link between those objectives. There is no standard method for identifying those relationships. In many companies, they are identified conceptually, using the experience and knowledge of the company's managers. Even though, the literature presents a number of articles using multicriteria decision methods to model a balanced scorecard, only a few of them deal with the identification of the causal relationships. However, t is assumed (by the authors) that the strategy map obtained using their method is better than strategy map that would have been obtained using only the judgment of managers. This paper does not assume that and this is the reason why the existing strategy map (or a map obtained using a qualitative approach) is combined with a map obtained by using a quantitative method to arrive to a final strategy map. This is the contribution of the paper. The method uses the Decision-making Trial and Evaluation Laboratory (DEMATEL) method to identify the relationships of a strategy map. Then the resulting map is compared with the existing strategy map (or a map obtained using a qualitative approach). To identify the similarities and differences the K-means clustering method is used. From those similarities and differences found, it is decided which causal relationships will be included in the final strategy map. As an illustration, the application of the proposed methodology in a manufacturing company is shown.</t>
  </si>
  <si>
    <t>Quezada, Luis/W-8168-2019</t>
  </si>
  <si>
    <t>Palominos, Pedro/0000-0002-5695-3025</t>
  </si>
  <si>
    <t>1873-7579</t>
  </si>
  <si>
    <t>10.1016/j.ijpe.2019.05.020</t>
  </si>
  <si>
    <t>WOS:000504505100004</t>
  </si>
  <si>
    <t>Aedo, JN; Cruchaga, M; del Barrio, EC</t>
  </si>
  <si>
    <t>Nunez Aedo, Jonathan; Cruchaga, Marcela; Castillo del Barrio, Ernesto</t>
  </si>
  <si>
    <t>Study on the dependence with the filling level of the sloshing wave pattern in a rectangular tank</t>
  </si>
  <si>
    <t>PHYSICS OF FLUIDS</t>
  </si>
  <si>
    <t>This work presents a study of the influence of the filling level on the wave pattern during a sloshing problem. To this end, a rectangular tank of aspect ratio 2:1 is mounted on a shake table subject to controlled external motions. A frequency sweep analysis is performed nearest to the primary resonance frequency using two different amplitudes of imposed motion and different water depths. The wave evolution is registered at certain control points. In particular, this work is devoted to identifying the effect of the filling level on the dynamics of the wave patterns, emphasizing the nonlinearities of the free surface and their dependence on the water depth. The free surface measurements are compared with those obtained from a fixed mesh finite element simulation of the Navier-Stokes equations. The free surface is tracked using a Lagrangian technique. The effect of the bottom boundary conditions on the wave pattern is also evaluated from these simulations. From the experiments, it is confirmed that maximum and minimum wave heights do not change for larger water depth, i.e., when deep water conditions are fulfilled. This fact is also reflected by the numerical results. The computed wave evolution satisfactorily matches the experimental data. In addition, analytical solutions obtained using a potential flow approach are also evaluated. They fail in the description of nonlinear responses, but their coefficients can be numerically or experimentally characterized to fit more realistic solutions.</t>
  </si>
  <si>
    <t>Castillo, Ernesto/D-1612-2015; Cruchaga, Marcela/M-7522-2014</t>
  </si>
  <si>
    <t>Castillo, Ernesto/0000-0001-7013-6008; Cruchaga, Marcela/0000-0002-8708-2402; Nunez, Jonathan/0000-0003-2008-5219</t>
  </si>
  <si>
    <t>1070-6631</t>
  </si>
  <si>
    <t>1089-7666</t>
  </si>
  <si>
    <t>10.1063/1.5133420</t>
  </si>
  <si>
    <t>WOS:000505571100001</t>
  </si>
  <si>
    <t>Parada, SP; Jujihara, BA; Zuniga, MPA; Salas, CB</t>
  </si>
  <si>
    <t>Candia, JG</t>
  </si>
  <si>
    <t>Peredo Parada, Santiago; Acuna Jujihara, Barbara; Aedo Zuniga, Maria Paz; Barrera Salas, Claudia</t>
  </si>
  <si>
    <t>TRANSFORMATIONAL LEARNING FOR SUSTAINABILITY: PERCEPTION OF TEACHING PERFORMANCE IN TRAINING FOR THE TRANSITION AND SCALE UP OF AGROECOLOGY</t>
  </si>
  <si>
    <t>IMPACTO EN EL SABER Y SENTIR DOCENTE: NUEVAS TENDENCIAS Y EXPERIENCIAS SIGNIFICATIVAS EN TEMATICAS DE EDUCACION SUPERIOR, VOL 3</t>
  </si>
  <si>
    <t>The formation of change agents for transition and expansion of Agroecology requires and educational praxis that exceeds the point of view, strictly, academic and that promotes reflective and transformative abilities, highlighting the need of a new approach to learning. The objective of this work is to determine the perception of teachers and students about their performances in the implementation of a transformative learning approach and the incorporation of sustainable practices in the student body. The methodology consisted in the application of a quantitative questionnaire applied to students and teachers incorporating a qualitative question to students. The evaluation was carried out at three levels: at the macro level by connection with the previous knowledge of the student body; at the meso level, transforming the meetings between teachers and students in spaced of permanent dialogue in the formative process; and at the micro level presenting the topics in a way that invites interjection, questioning, implementation and motivation to go in depth in knowledge obtained by the students. The results show that, both, students and teachers, recognize a pedagogical practice with and approach that generates a change in those who attend it. In turn, there is a consistent perception in the student body regarding it produced a change that tends to build more sustainable societies, in one of the fields in which they are involved. Therefore, it is concluded that the use of a learning approach that seeks to transform promotes the formation of change agents that incorporate new practices, attitudes and thoughts that can contribute to the transition and scale up of Agroecology.</t>
  </si>
  <si>
    <t>978-956-6095-00-2; 978-956-303-351-9</t>
  </si>
  <si>
    <t>WOS:000608842500007</t>
  </si>
  <si>
    <t>Piñones, JAR</t>
  </si>
  <si>
    <t>Rementeria Pinones, Jose A.</t>
  </si>
  <si>
    <t>Library Policy: Case of Chilean Public Policies, 2010-2019 period.</t>
  </si>
  <si>
    <t>TECNOLOGIA Y SOCIEDAD: APORTES PARA EL DESARROLLO DE POLITICAS EN CHILE, VOL 2</t>
  </si>
  <si>
    <t>This article is a bibliographic study on library policy in Chile through the analysis of the Public Sector Budget Law, 2010-2019 period. A historical approach that serves as a context of the analyzed phenomenon is carried out jointly to the state of the art. The institutions analyzed were: SNBP public libraries, ex-DIBAM SNPC libraries, BCN Library of Congress, and CRA School Libraries. In addition, the FPC Scientific Publications Fund, and, Access to Electronic Information for BEIC Science and Technology, the FNFLL National Book and Reading Promotion Fund, and the PFLPI Early Childhood Promotion Plan. The budget allocated to such institutions had an increase of 79.9%. The BCN National Congress Library maintains a relative balance, with non-significant increases and decreases in its budget, the increase was 2.3%. The National Service of the Cultural Patrimony SNPC ex DIBAM and the National System of Public Libraries SNBP, had an increase of 71.6% and 61.8% respectively. The budget of the CRA School Libraries, has been unstable and tends to decline, in 2018 it had a reduction of 42.2% in relation to 2012. The budget for access to BEIC-FPC scientific publications, increased by 290, 9% in the period. The FNFLL and PFLPI reader promotion programs, their budgets have grown by 54% and 95.2% respectively. The Chilean State maintains an implicit library policy through the Budget Law with which it regulates the limits of the actions of the underlying library institutions and programs.</t>
  </si>
  <si>
    <t>978-956-6095-05-7</t>
  </si>
  <si>
    <t>WOS:000608874800004</t>
  </si>
  <si>
    <t>Martinez, JA</t>
  </si>
  <si>
    <t>Chile's foreign policy towards Argentina, Bolivia and Peru in the framework of multilateralism: threat or opportunity? (1900-1930) Preface</t>
  </si>
  <si>
    <t>POLITICA EXTERIOR DE CHILE ANTE ARGENTINA, BOLIVIA Y PERU EN EL MARCO DEL MULTILATERALISMO: AMENAZA U OPORTUNIDAD? (1900-1930)</t>
  </si>
  <si>
    <t>978-956-8416-95-9</t>
  </si>
  <si>
    <t>WOS:000608871900001</t>
  </si>
  <si>
    <t>Wong, V; Cortes, M; Navarro, C; Imarai, M</t>
  </si>
  <si>
    <t>Wong, V.; Cortes, M.; Navarro, C.; Imarai, M.</t>
  </si>
  <si>
    <t>Atlantic salmon lymphocytes: Infection target cells for Piscirickettsia salmonis?</t>
  </si>
  <si>
    <t>1095-9947</t>
  </si>
  <si>
    <t>P-074</t>
  </si>
  <si>
    <t>10.1016/j.fsi.2019.04.143</t>
  </si>
  <si>
    <t>WOS:000474676700116</t>
  </si>
  <si>
    <t>Peña, R; Ganga, MA</t>
  </si>
  <si>
    <t>Pena, Ruben; Angelica Ganga, Maria</t>
  </si>
  <si>
    <t>Novel antimicrobial peptides produced by Candida intermedia LAMAP1790 active against the wine-spoilage yeast Brettanomyces bruxellensis</t>
  </si>
  <si>
    <t>ANTONIE VAN LEEUWENHOEK INTERNATIONAL JOURNAL OF GENERAL AND MOLECULAR MICROBIOLOGY</t>
  </si>
  <si>
    <t>Brettanomyces bruxellensis negatively impacts on the sensorial quality of wine by producing phenolic compounds associated with unpleasant odors. Thus, the control of this spoilage yeast is a critical factor during the winemaking process. A recent approach used to biocontrol undesired microorganisms is the use of yeast released antimicrobial peptides (AMPs), but this strategy has been poorly applied to wine-related microorganisms. The aim of this study was to evaluate the antifungal capacity of Candida intermedia LAMAP1790 against wine-spoilage strains of B. bruxellensis and fermentative strains of Saccharomyces cerevisiae, and also to determine the chemical nature of the compound. The exposure of strains to the supernatant of C. intermedia saturated cultures showed antifungal activity against B. bruxellensis, without affecting the growth of S. cerevisiae. By fractionation and concentration of C. intermedia supernatants, it was determined that the antifungal activity was related to the presence of heat-labile peptides with molecular masses under 5kDa. To our knowledge, this is the first report of AMPs secreted by C. intermedia that control B. bruxellensis. This could lead to the development of new biocontrol strategies against this wine-spoilage yeast.</t>
  </si>
  <si>
    <t>Ganga, Maria/S-8176-2019</t>
  </si>
  <si>
    <t>Ganga, Maria Angelica/0000-0001-5921-7448; Pena, Ruben/0000-0002-8246-1008</t>
  </si>
  <si>
    <t>0003-6072</t>
  </si>
  <si>
    <t>1572-9699</t>
  </si>
  <si>
    <t>10.1007/s10482-018-1159-9</t>
  </si>
  <si>
    <t>WOS:000458283300015</t>
  </si>
  <si>
    <t>Reyes, A; Vásquez, J; Pailahueque, N; Mahn, A</t>
  </si>
  <si>
    <t>Reyes, A.; Vasquez, J.; Pailahueque, N.; Mahn, A.</t>
  </si>
  <si>
    <t>Effect of drying using solar energy and phase change material on kiwifruit properties</t>
  </si>
  <si>
    <t>Solar energy has great potential as an alternative energy source, but variations in solar radiation require the use of additional energy sources to maintain a continuous drying process. We developed a process for drying kiwifruit using a solar dryer and an energy accumulation system with paraffin wax as phase change material. The final moisture content, total polyphenols, and antioxidant capacity were evaluated and compared with freeze drying. The analyzed experimental factors were kiwi slice thickness and the use or nonuse of fuzzy logic control systems to regulate the air flow through the devices. Critical moisture content, shrinkage, solar panel, and solar energy accumulator efficiencies were calculated. In addition, five empirical models were fitted to the drying curves. The solar panel showed an efficiency between 56 and 76%. The use of the fuzzy logic control system extended the period of available energy, thus prolonging the use of the solar panel and solar energy accumulator and using only 10% of the stored energy; otherwise, without the control system, 43% of the stored energy was used. The highest drying rates were achieved for kiwifruit slices 4 mm thick, using the solar dryer with the control system. The loss of polyphenols and antioxidant capacity were minimal for kiwifruit slices of thickness 8 mm without the control system.</t>
  </si>
  <si>
    <t>Pailahueque, Nicolas/GYA-3286-2022</t>
  </si>
  <si>
    <t>JAN 25</t>
  </si>
  <si>
    <t>10.1080/07373937.2018.1450268</t>
  </si>
  <si>
    <t>WOS:000464533200010</t>
  </si>
  <si>
    <t>Fuentes, C; Nuñes, V; Chavez, H</t>
  </si>
  <si>
    <t>Fuentes, Carlos; Nunes, Victor; Chavez, Hector</t>
  </si>
  <si>
    <t>Towards Frequency-Responsive Solid-State Transformers</t>
  </si>
  <si>
    <t>Frequency control is one of the main research topics in electrical power systems. Nowadays, it is possible to found diverse strategies to improved it, such as disconnection automatisms, Virtual and Sinthetic inertia. In the present study, a new strategy is presented, based on to limit the powerflow directed towards distribution loads. State of art of load models shows that the power flow in low voltage system dependence of bus voltage. Thereby, by using a voltage source converters it is possible to impose a certain voltage in order to mantain the frequency control of electrical power system. Finally, studies case are simulated to verify the proposed strategy by using ERCOT system model.</t>
  </si>
  <si>
    <t>Lago-Fuentes, Carlos/J-4361-2019</t>
  </si>
  <si>
    <t>10.1109/chilecon47746.2019.8988070</t>
  </si>
  <si>
    <t>WOS:000542919100173</t>
  </si>
  <si>
    <t>Administrative careers in Chile, 1884-1920 Patronage or bureaucratic careers?</t>
  </si>
  <si>
    <t>Historians and contemporaries alike have criticized Chilean public administration during the Parliamentary period due to the emergence of clientelism in the selection of public workers. Notwithstanding, a great part of these impressions are not based on evidence. This article analyzes the development of administrative careers in public services between 1884 and 1920, specifically studying the hiring and promotion processes. It concludes that, despite the nonexistence of a bureaucratic framework for career management, in practice there was a de facto civil service system which permitted long administrative careers within public administration.</t>
  </si>
  <si>
    <t>WOS:000457774000001</t>
  </si>
  <si>
    <t>Castillo, FB</t>
  </si>
  <si>
    <t>Betancourt Castillo, Francisco</t>
  </si>
  <si>
    <t>Private businesses supported by the authority. The commercial competition Callao-Valparaiso: an accusation in 1804</t>
  </si>
  <si>
    <t>One topic that has always been addressed by historiography, regarding the commercial competition between the main ports of Peru and Chile, is the situation regarding Chilean wheat that was highly demanded in the Peruvian market. Notwithstanding, this enmity or competition has been studied little, taking into account businesses and the concrete interests of those who arc the true protagonists of this story: traders and storekeepers. Focusing on them, the present article attempts to contribute to the knowledge about this competition in the South American Pacific. It makes visible not only an economic issue but also, one related to politics and groups of influence. The article particularly attempts to figure out the backstory behind the rivalry through established merchants in Chile, basing this investigation on an accusation of monopoly made to the viceroy of Peru in 1804.</t>
  </si>
  <si>
    <t>WOS:000457774000002</t>
  </si>
  <si>
    <t>The Socio-existential Anchors: The Case of the Future Expectations</t>
  </si>
  <si>
    <t>DADOS-REVISTA DE CIENCIAS SOCIAIS</t>
  </si>
  <si>
    <t>The goal of this article is to discuss the work that individuals develop to sustain themselves in social life, focusing on the question of socio-existential anchors, and in particular on one type of these: the expectations of the future. After a review of the theoretical debate and based on the results of a qualitative empirical research for the case of Chile, the text analyzes the way in which the figure of the going to the South-Field is constituted as the foundation of these expectations of the future and acts as an anchor for social existences. This analysis will allow to argue that the socio-existential anchors are active in specific individuals but are socially shared and can be understood as a response, with nuances according to social group, at once singular and general, to the structural requirements to which it is exposed at a certain historical moment.</t>
  </si>
  <si>
    <t>0011-5258</t>
  </si>
  <si>
    <t>1678-4588</t>
  </si>
  <si>
    <t>10.1590/001152582018155</t>
  </si>
  <si>
    <t>WOS:000452596300003</t>
  </si>
  <si>
    <t>Baigorrotegui, G; Gana, MTS</t>
  </si>
  <si>
    <t>Laspra, B; Cerezo, JAL</t>
  </si>
  <si>
    <t>Baigorrotegui, Gloria; Santander Gana, Maria Teresa</t>
  </si>
  <si>
    <t>Localities Facing the Construction of Fossil-Fuel Power Plants. Two Experiences to Address the Hostile Face Electricity Infrastructures</t>
  </si>
  <si>
    <t>SPANISH PHILOSOPHY OF TECHNOLOGY: CONTEMPORARY WORK FROM THE SPANISH SPEAKING COMMUNITY</t>
  </si>
  <si>
    <t>Philosophy of Engineering and Technology</t>
  </si>
  <si>
    <t>This chapter is inspired by interesting experiences concerning electricity infrastructures facing local uprisings in two towns separated by a great distance: to address the hostile face building fossil-fuel power plants in mobilized citizen localities. Hostility levels are presented as different pulses, in which unexpected public demonstrations invade the public arena, possibly resulting from socio-technical closures in environmental impact evaluations. They mirror secret energy alliances, showing the influences and pressures of these transnational businesses. We also consider collective actions, incorporating interpretations and new and unexpected alliances. Our proposal draws on two qualitative, ethnographic studies about local socio-environmental conflicts contrary to the construction of fossil-fuel power plants, one of which arose in the Basque region of Spain, and the other in Coquimbo, Chile. Finally, we maintain that these geographically disperse studies, with their differing results, contribute to the discussion of locality as a framework of resistance against violent infrastructures, which goes beyond normalized processes and unfolds on other levels of action.</t>
  </si>
  <si>
    <t>978-3-319-71958-0; 978-3-319-71957-3</t>
  </si>
  <si>
    <t>10.1007/978-3-319-71958-0_16</t>
  </si>
  <si>
    <t>10.1007/978-3-319-71958-0</t>
  </si>
  <si>
    <t>WOS:000431825500017</t>
  </si>
  <si>
    <t>Oyarzún, JE</t>
  </si>
  <si>
    <t>Beltramin, JB</t>
  </si>
  <si>
    <t>Espinoza Oyarzun, Jaime</t>
  </si>
  <si>
    <t>Admission by gender at the Technological Faculty of the University of Santiago of Chile in the period 2012-2017.</t>
  </si>
  <si>
    <t>TECNOLOGIA Y SOCIETY: UNA MIRADA MULTIDISCIPLINARIA, VOL 1</t>
  </si>
  <si>
    <t>Since its creation in 1969, the Technological Faculty of the University of Santiago of Chile (USACH) has focused its teaching work on the formation of a highly qualified human resource to cover the needs of national companies. From its first income cohort it was possible to appreciate that, given the time and the sociocultural context, this race was mainly attended by men, being the female members a minority, particularly in the specialties of a purely industrial nature. This described situation has had a slow changing, but a predominantly male orientation is still maintained. This paper aims to show, from the data of annual income to the career, what has been the variation that has occurred in terms of gender in the period 2012 to 2017 inclusive. Verify, in global terms, the highest income of male students and, in an analysis for each of the specialties, show the distribution by gender which in turn, will show that there are markedly feminine and other markedly masculine careers as others with an income approximately equated. The causes of this disparity will be pointed out in terms of female income and, finally, a proposal will be made to improve the admission of women to the specialization of hard or industrial technology.</t>
  </si>
  <si>
    <t>978-956-303-399-1</t>
  </si>
  <si>
    <t>WOS:000483366800010</t>
  </si>
  <si>
    <t>Hernández, C; Tecpan, S</t>
  </si>
  <si>
    <t>Correa, R; Huerta, L; Roa, L; Soto, L</t>
  </si>
  <si>
    <t>Hernandez, Carla; Tecpan, Silvia</t>
  </si>
  <si>
    <t>Correct answers with wrong justifications? Analysis of explanations in classical mechanics with FCI test</t>
  </si>
  <si>
    <t>XX CHILEAN PHYSICS SYMPOSIUM</t>
  </si>
  <si>
    <t>Journal of Physics Conference Series</t>
  </si>
  <si>
    <t>20th Chilean Physics Symposium</t>
  </si>
  <si>
    <t>NOV 30-DEC 02, 2016</t>
  </si>
  <si>
    <t>Univ Tecnologica Metropolitana, Santiago, CHILE</t>
  </si>
  <si>
    <t>Univ Tecnologica Metropolitana, Phys Dept</t>
  </si>
  <si>
    <t>Univ Tecnologica Metropolitana</t>
  </si>
  <si>
    <t>This study presents the results of an analysis of the explanations constructed by future physics teachers about their chosen answers in a conceptual test in classic mechanics. Additionally, to selecting a multiple-choice answer in the Force Conceptual Inventory test [1] the teachers were required to give an explanation for their answers in order to determine the relationship between their level of conceptual knowledge and the quality of the explanations they gave using this knowledge. The results suggest that the 28 participants have difficulties in constructing adequate physical explanations. They suggest too that they have deficiencies in the development of their scientific thinking skills and in the use of their prior knowledge. We propose indicators for the construction of explanations in physics and we discuss the implications for the initial formation of physics teachers.</t>
  </si>
  <si>
    <t>Hernandez-Silva, Carla/O-5942-2019</t>
  </si>
  <si>
    <t>Hernandez-Silva, Carla/0000-0003-2974-4989</t>
  </si>
  <si>
    <t>1742-6588</t>
  </si>
  <si>
    <t>1742-6596</t>
  </si>
  <si>
    <t>10.1088/1742-6596/1043/1/012056</t>
  </si>
  <si>
    <t>WOS:000545262900056</t>
  </si>
  <si>
    <t>Herrera, PLS; Cáceres, GV; Gómez, HAN</t>
  </si>
  <si>
    <t>Saa Herrera, Pedro Luis; Vilca Caceres, Gumercindo; Nunez Gomez, Hernan Alfredo</t>
  </si>
  <si>
    <t>Learning teaching methodology to generate transcendent knowledge based on failure analysis</t>
  </si>
  <si>
    <t>In the knowledge society, the organizations that acquire, create, disseminate and use knowledge, achieve a sustainable development, especially in the area of industrial maintenance of any organization; in our country, this paradigmatic change is still incipient, since either a fault history is not recorded, or it is not constituted as an integral database that allows strategic decisions to be made; the particular case of failure analysis is used only ex post to establish responsibilities in catastrophic cases that justify its application. This research contributes in the disciplinary when applying the analysis of failure in an ex ante trial of the process, that is, in the potential functional failure and in the training of the Industrial Maintenance Technologist develops a teaching-learning methodology that integrates the analysis of failure and its technologies in the construction of transcendent knowledge as a relevant, reliable and compatible database that supports the operational reliability of the assets; build a subject program that includes the respective learning outcomes together with a profile of the facilitator teacher in a student-centered, practical and collaborative teaching-learning system.</t>
  </si>
  <si>
    <t>Herrera, Paula/IAR-7000-2023</t>
  </si>
  <si>
    <t>WOS:000480327100012</t>
  </si>
  <si>
    <t>Reyes, A; Henriquez-Vargas, L; Rivera, J; Sepulveda, F</t>
  </si>
  <si>
    <t>Reyes, A.; Henriquez-Vargas, L.; Rivera, J.; Sepulveda, F.</t>
  </si>
  <si>
    <t>Theoretical and experimental study of aluminum foils and paraffin wax mixtures as thermal energy storage material</t>
  </si>
  <si>
    <t>RENEWABLE ENERGY</t>
  </si>
  <si>
    <t>This study analyzes the effect of increased thermal conductivity in energy storage, using paraffin wax with 8% w/w of aluminum foils, obtained from waste materials. Three configurations previously not published of the aluminum foil were tested: stripes, horizontal perforated disks and vertical perforated foils. The aluminum foils doubled the thermal conductivity, achieving values of 0.63 W/mK, without significant statistical influence of the metallic configuration inside this material. Solidification time depended on the configuration of the aluminum foils, where differences of up to 38% were detected between horizontal perforated disks and stripes. The equations for the solidification process were numerically solved in Matlab using the finite volume method, finding good agreement for the simulated output air temperature when compared with experimental values (relative error &lt;10 %). Later, a thermal energy accumulator was designed and assessed, which consisted of 12 cans with paraffin wax, using the horizontal perforated disks configuration. The energy stored by the phase change material was removed with air velocities between 0.5 - 1.5 m/s, reaching efficiencies close to 90% for the maximum air velocity. (C) 2016 Elsevier Ltd. All rights reserved.</t>
  </si>
  <si>
    <t>Henríquez-Vargas, Luis/Q-3617-2019; Sepúlveda, Francesca/AAW-8092-2021</t>
  </si>
  <si>
    <t>Sepulveda Palma, Francisco Hernan/0000-0002-1930-3859</t>
  </si>
  <si>
    <t>0960-1481</t>
  </si>
  <si>
    <t>1879-0682</t>
  </si>
  <si>
    <t>10.1016/j.renene.2016.08.057</t>
  </si>
  <si>
    <t>WOS:000388775700022</t>
  </si>
  <si>
    <t>Carvajal, L; Artigas, A; Monsalve, A; Arévalo, E</t>
  </si>
  <si>
    <t>Carvajal, Linton; Artigas, Alfredo; Monsalve, Alberto; Arevalo, Elizabeth</t>
  </si>
  <si>
    <t>Monitoring Heat Treatments in Steels by a Non Destructive Ultrasonic Method</t>
  </si>
  <si>
    <t>MATERIALS RESEARCH-IBERO-AMERICAN JOURNAL OF MATERIALS</t>
  </si>
  <si>
    <t>In order to determine if heat treatments can be discerned by nondestructive ultrasonic testing, samples of SAE 1045 and SAE 4140 steels were subjected to the classical heat treatments of annealing, normalizing, quenching, and quenching and tempering, and their elastics constants, Young's, shear and Poisson's moduli, were monitored by ultrasound. Results show that the microstructural differences associated to the various heat treatments generate differences on the elastic constants that can be effectively discerned by the use of longitudinal and shear ultrasonic waves. Special attention is given to Poisson's modulus, since for its determination only times of flight of longitudinal and shear ultrasonic waves, and not the distance the waves travel, are required, which is of quite practical importance, since measurements are simplified and a fundamental source of error is eliminated. It is thus shown that the microstructural evolution of a steel part subjected to heat treatments can be monitored by this simple ultrasonic method.</t>
  </si>
  <si>
    <t>Artigas, Alfredo/Y-1185-2019</t>
  </si>
  <si>
    <t>Monsalve, Alberto/0000-0002-5772-8815; Carvajal Ortega, Linton Patricio/0000-0002-5414-2755</t>
  </si>
  <si>
    <t>1516-1439</t>
  </si>
  <si>
    <t>1980-5373</t>
  </si>
  <si>
    <t>10.1590/1980-5373-MR-2016-1083</t>
  </si>
  <si>
    <t>WOS:000430187600053</t>
  </si>
  <si>
    <t>San Juan, E; Soto, I; Salinas, G; Adasme, P</t>
  </si>
  <si>
    <t>San Juan, Enrique; Soto, Ismael; Salinas, Gustavo; Adasme, Pablo</t>
  </si>
  <si>
    <t>Separation of VLC signals using FastIca and InfoMax</t>
  </si>
  <si>
    <t>This paper proposes two methods of separation of VLC signals, based on the stadistical variation 1) FastIca and 2) InfoMax, the first one based in the stadistical covariance of the negentrophy and the second one based in the artificial neural network for the analysis of covariance of the values from signals. This values are results of a simulation and experimental transference of information through Visible Light Communication, the simulation without noise, and the experimental process with noise.</t>
  </si>
  <si>
    <t>WOS:000428142700012</t>
  </si>
  <si>
    <t>Montenegro, JEE; Singh, DP</t>
  </si>
  <si>
    <t>Montenegro, Javier Esteban Enriquez; Singh, Dinesh Pratap</t>
  </si>
  <si>
    <t>Effective parameter study for the facile and controlled growth of silver molybdate nano/micro rods</t>
  </si>
  <si>
    <t>FRONTIERS OF MATERIALS SCIENCE</t>
  </si>
  <si>
    <t>Controlled growth of nano/micro structures by controlling the effective parameters is the basic requirement for the application point of view in various areas. Here we report the facile growth of silver molybdate nano/micro rods by mixing the solution of silver nitrate and ammonium molybdate at ambient condition followed by hydrothermal treatment at various temperatures for 12 h. To achieve the goal for the synthesis of long, high yield and homogeneous nanorods various effective parameters have been studied to set the most effective conditions for the growth. Among possible effective parameters first the temperature of the furnace was set by warring the temperature and then at the set temperature the concentration of reactants (NH4)(6)Mo7O24 and silver nitrate are varied respect to each other. The pH and temperature values were monitored during the mixing of the reactants. Structural/microstructural characterization revealed the optimum condition of 150 degrees C of the furnace and the concentration of (NH4)(6)Mo7O24 and silver nitrate as described in various tables.</t>
  </si>
  <si>
    <t>Montenegro, Javier/K-8895-2016; SINGH, DINESH/A-2509-2011</t>
  </si>
  <si>
    <t>ENRIQUEZ, JAVIER/0000-0002-2502-5787; SINGH, DINESH/0000-0002-2893-7749</t>
  </si>
  <si>
    <t>2095-025X</t>
  </si>
  <si>
    <t>2095-0268</t>
  </si>
  <si>
    <t>10.1007/s11706-016-0360-x</t>
  </si>
  <si>
    <t>WOS:000402681000005</t>
  </si>
  <si>
    <t>Religious Pluralism and New Political Identities in Latin America</t>
  </si>
  <si>
    <t>LATIN AMERICAN PERSPECTIVES</t>
  </si>
  <si>
    <t>The role of religion in Latin American politics can no longer be interpreted with reductionist schemes. The faithfulcitizensare combining faith and politics in unprecedented ways, and churches and denominations are no longer factors of political identity. The reconfiguration of new social and political movements interweaves complex linkages with the religious. The transformations of the political field and especially of democratic processes have reshaped identities in a context of increasing religious and cultural diversity with relatively less Catholic presence and greater Evangelical presence. Institutional secularization and religious pluralism seem to go hand in hand with a new cleavage between religion and politics.</t>
  </si>
  <si>
    <t>0094-582X</t>
  </si>
  <si>
    <t>1552-678X</t>
  </si>
  <si>
    <t>10.1177/0094582X15623771</t>
  </si>
  <si>
    <t>WOS:000374416600002</t>
  </si>
  <si>
    <t>Gonzalez-Ibáñez, R; Varela-Otárola, JL; Barrera-Pulgar, C</t>
  </si>
  <si>
    <t>Gonzalez-Ibanez, Roberto; Varela-Otarola, Jose Luis; Barrera-Pulgar, Carlos</t>
  </si>
  <si>
    <t>Evaluating Body-Centered Interactions in an Image Search Task</t>
  </si>
  <si>
    <t>PROCEEDINGS OF THE 2016 ACM CONFERENCE ON HUMAN INFORMATION INTERACTION AND RETRIEVAL (CHIIR'16)</t>
  </si>
  <si>
    <t>ACM SIGIR Conference on Human Information Interaction and Retrieval</t>
  </si>
  <si>
    <t>MAR 13-17, 2016</t>
  </si>
  <si>
    <t>Carrboro, NC</t>
  </si>
  <si>
    <t>Assoc Comp Machinery,ACM SIGIR,ACM SIGCHI</t>
  </si>
  <si>
    <t>Interacting with information in digital environments involves a physical gap between people and information. Although current advances in interaction technology provide the means for helping bridge this gap, little is known about whether this gap affects user experience and performance in the context of information-related tasks such as information search. In this paper we present preliminary results from a larger study focused on immersive interaction with digital information objects. In particular, we report those derived from a user study designed to evaluate interactions with digital information objects through body gestures in the context of an image search task. Our results suggest that compared to traditional interactions through mouse, this type of interaction not only helps lessen cognitive workload, but also leads to achieve similar precision in terms of the information collected.</t>
  </si>
  <si>
    <t>Gonzalez-Ibanez, Roberto/0000-0002-4193-6548</t>
  </si>
  <si>
    <t>978-1-4503-3751-9</t>
  </si>
  <si>
    <t>10.1145/2854946.2854998</t>
  </si>
  <si>
    <t>WOS:000389808700035</t>
  </si>
  <si>
    <t>Pérez-Arrau, G; Valdivia, R</t>
  </si>
  <si>
    <t>Erickson, GS; Rothberg, HN</t>
  </si>
  <si>
    <t>Perez-Arrau, Gregorio; Valdivia, Rodrigo</t>
  </si>
  <si>
    <t>Knowledge Management in Chile's Public Sector: Identification of Current Structural Objectives</t>
  </si>
  <si>
    <t>PROCEEDINGS OF THE 13TH INTERNATIONAL CONFERENCE ON INTELLECTUAL CAPITAL KNOWLEDGE MANAGEMENT &amp; ORGANISATIONAL LEARNING (ICICKM 2016)</t>
  </si>
  <si>
    <t>Proceedings of the International Conference on Intellectual Capital Knowledge Management &amp; Organizational Learning</t>
  </si>
  <si>
    <t>13th International Conference on Intellectual Capital Knowledge Management and Organisational Learning (ICICKM)</t>
  </si>
  <si>
    <t>OCT 14-15, 2016</t>
  </si>
  <si>
    <t>Ithaca Coll, Ithaca, NY</t>
  </si>
  <si>
    <t>Marist Coll</t>
  </si>
  <si>
    <t>Ithaca Coll</t>
  </si>
  <si>
    <t>In recent years, the emerging concept of knowledge management has captured increasing interest in the public sector in Chile. The social and economic progress of the country in the last quarter of a century has led public-service organizations developing new strategies to cope with a more complex and demanding environment; one in which knowledge and learning are increasingly recognized as being critical (Oviedo-Garcia et al. 2014). However, although the growing interest of public managers in this subject, there is a significant lack of research on KM practices in the public sector in Chile, how these experiences have been put into practice; how organizational and cultural barriers influences the development of KM programs and what results have been achieved. The aim of this article is to describe and analyze the implementation of policies, practices and knowledge management tools in the Chilean public sector. To do this we have identified what we call the five structural objectives of knowledge management in the Chilean public sector, obtained from the qualitative analysis of six experiments in public organizations these practices have been implemented successfully. Likewise, those aspects of the Chilean social and cultural environment that facilitate or hinder the implementation of knowledge management in the organizations of the Chilean public sector are analyzed. The relevance of this research is given by the need to cover the obvious lack of research on how knowledge management appears in the public sector, particularly in developing countries. On the latter, it is essential to know the degree of penetration that this model has had in the organizations of these countries, and then the way in which their specific social and cultural context has affected the implementation of knowledge management policies and practices.</t>
  </si>
  <si>
    <t>2048-9803</t>
  </si>
  <si>
    <t>978-1-911218-14-2</t>
  </si>
  <si>
    <t>WOS:000400299900043</t>
  </si>
  <si>
    <t>Seguel, F; Adasme, P; Soto, I; Nuñez, B</t>
  </si>
  <si>
    <t>Younas, M; Awan, I; Kryvinska, N; Strauss, C; VanThanh, D</t>
  </si>
  <si>
    <t>Seguel, Fabian; Adasme, Pablo; Soto, Ismael; Nunez, Belarmino</t>
  </si>
  <si>
    <t>Optimal Resource Allocation for Non-Real Time Visible Light Communication Networks</t>
  </si>
  <si>
    <t>MOBILE WEB AND INTELLIGENT INFORMATION SYSTEMS, (MOBIWIS 2016)</t>
  </si>
  <si>
    <t>Lecture Notes in Computer Science</t>
  </si>
  <si>
    <t>13th International Conference on Mobile Web and Intelligent Information Systems (MobiWis)</t>
  </si>
  <si>
    <t>AUG 22-24, 2016</t>
  </si>
  <si>
    <t>Vienna, AUSTRIA</t>
  </si>
  <si>
    <t>In this paper, we consider the optimal joint resource allocation problem of subcarrier and power for non-real time wireless networks that use visible light communication (VLC) technology. VLC has been recognized as a promising technology as it allows to transmit data in considerably higher orders of magnitude compared to traditional radio frequency (RF) methods [3]. Therefore, it is expected that most of the current existing protocols for resource allocation using traditional RF technologies will adapt to VLC technology in the near future. We model the resource allocation problem by means of a mixed integer nonlinear optimization problem that we further linearize using a piecewise linear approximation method. The latter allows to compute optimal and near optimal solutions for the problem. Optimal solutions can be obtained as long as the number of line segments is sufficiently large. Subsequently, we propose a variable neighborhood search based decomposition procedure that allows to compute, in average, tight near optimal solutions in less than one second compared to the high CPU time required by the piecewise linear model.</t>
  </si>
  <si>
    <t>Seguel, Fabian/ABC-4765-2020; Adasme, Pablo/U-1735-2019</t>
  </si>
  <si>
    <t>Soto, Ismael/0000-0002-5501-5651; Adasme, Pablo/0000-0003-2500-3294; Seguel, Fabian/0000-0001-6567-8988</t>
  </si>
  <si>
    <t>978-3-319-44215-0; 978-3-319-44214-3</t>
  </si>
  <si>
    <t>10.1007/978-3-319-44215-0_16</t>
  </si>
  <si>
    <t>WOS:000388793100016</t>
  </si>
  <si>
    <t>Huth &amp; Co.'s credit strategies: a global merchant-banker's risk management, c. 1810-1850</t>
  </si>
  <si>
    <t>ESTUDIOS DE ECONOMIA</t>
  </si>
  <si>
    <t>The pivotal role played by non-banking institutions in supporting the expansion of international trade after the Napoleonic Wars and before first globalization c. 1870-1913 has long been recognised. Merchant-bankers in particular played a crucial role by advancing monies to consignors of products all over the world. Without this form of credit, many international trade operations could not have taken place. Despite the important extant literature on merchant-banking, we knew little about how these international lenders protected themselves against the risks involved in advancing during this period, in particular for merchant-bankers who had diversified both geographically and byproducts. This paper is concerned with the risk protection strategies followed by one of these actors: Huth &amp; Co., the first of these companies to globalize their operations. During this expansionary period they provided credit to many of their connections all over the work thus becoming an important financial intermediary within world trade. This paper therefore, provides the first account of the credit risk management strategies followed by this pioneer global lender.</t>
  </si>
  <si>
    <t>0718-5286</t>
  </si>
  <si>
    <t>WOS:000365929200002</t>
  </si>
  <si>
    <t>KARL HOLMQVIST AND ANNE-JAMES CHATON: REPETITION AS LIBERATION</t>
  </si>
  <si>
    <t>REVISTA 180</t>
  </si>
  <si>
    <t>In this essay I analyze some works by swedish artist Karl Holmqvist and french sound poet Anne-James Chaton, which coincide to use words repetition in a visual or sound level. I compare this procedure with similar examples from conceptual art and electronic music, and I propose some parameters that allow to determine the ways in which language's materiality and meanings are affected, as well as the effects implied by this poetics.</t>
  </si>
  <si>
    <t>0718-2309</t>
  </si>
  <si>
    <t>WOS:000359277500009</t>
  </si>
  <si>
    <t>Gaete-Garretón, L</t>
  </si>
  <si>
    <t>GallegoJuarez, JA; Graff, KF</t>
  </si>
  <si>
    <t>Gaete-Garreton, L.</t>
  </si>
  <si>
    <t>The use of power ultrasound in mining</t>
  </si>
  <si>
    <t>POWER ULTRASONICS: APPLICATIONS OF HIGH-INTENSITY ULTRASOUND</t>
  </si>
  <si>
    <t>Woodhead Publishing Series in Electronic and Optical Materials</t>
  </si>
  <si>
    <t>Gaete-Garreton, Luis/0000-0002-2234-8783</t>
  </si>
  <si>
    <t>2050-1501</t>
  </si>
  <si>
    <t>978-1-78242-036-1; 978-1-78242-028-6</t>
  </si>
  <si>
    <t>10.1016/B978-1-78242-028-6.00035-1</t>
  </si>
  <si>
    <t>WOS:000403083400035</t>
  </si>
  <si>
    <t>Nayarrete-Yánez, BE; Higueras-Seguel, V</t>
  </si>
  <si>
    <t>Eric Nayarrete-Yanez, Bernardo; Higueras-Seguel, Victor</t>
  </si>
  <si>
    <t>Chile from sequential theory of decentralization, 1990-2010</t>
  </si>
  <si>
    <t>CONVERGENCIA-REVISTA DE CIENCIAS SOCIALES</t>
  </si>
  <si>
    <t>The article presents the analysis of the decentralization process in Chile, focused on the past two decades (1990-2010). We have applied the Sequential Theory of Decentralization to develop the analytical work. We contrast this model with the Chilean case to observe its practical usefulness in future research. Conclusions indicate that along the entire process of decentralization, national interests have prevailed over the sub-national ones. Regarding the sequence of decentralization, administrative and financial aspects have outweighed the political dimension. The method of analysis was the testing of theories on case studies, through the description inferential qualitative studies.</t>
  </si>
  <si>
    <t>1405-1435</t>
  </si>
  <si>
    <t>SEP-DEC</t>
  </si>
  <si>
    <t>WOS:000342962000007</t>
  </si>
  <si>
    <t>On the reconciliation by cojugation in 1 dimension and classification C1</t>
  </si>
  <si>
    <t>We show that the space of actions of every finitely generated, nilpotent group by C-1 orientation-preserving diffeomorphisms of the circle is path-connected. This is done via a general result that allows any given action on the interval to be connected to the trivial one by a continuous path of topological conjugates.</t>
  </si>
  <si>
    <t>1570-5846</t>
  </si>
  <si>
    <t>10.1112/S0010437X13007811</t>
  </si>
  <si>
    <t>WOS:000339489600005</t>
  </si>
  <si>
    <t>González, A; Gutiérrez-Cutiño, M; Moenne, A</t>
  </si>
  <si>
    <t>Gonzalez, Alberto; Gutierrez-Cutino, Marlen; Moenne, Alejandra</t>
  </si>
  <si>
    <t>Oligo-Carrageenan Kappa-Induced Reducing Redox Status and Increase in TRR/TRX Activities Promote Activation and Reprogramming of Terpenoid Metabolism in Eucalyptus Trees</t>
  </si>
  <si>
    <t>In order to analyze whether the reducing redox status and activation of thioredoxin reductase (TRR)/thioredoxin(TRX) system induced by oligo-carrageenan (OC) kappa in Eucalyptus globulus activate secondary metabolism increasing terpenoid synthesis, trees were sprayed on the leaves with water, with OC kappa, or with inhibitors of NAD(P) H, ascorbate (ASC) and (GSH) synthesis and TRR activity, CHS-828, lycorine, buthionine sulfoximine (BSO) and auranofine, respectively, and with OC kappa and cultivated for four months. The main terpenoids in control Eucalyptus trees were eucalyptol (76%), alpha-pinene (7.4%), aromadendrene (3.6%), silvestrene (2.8%), sabinene (2%) and alpha-terpineol (0.9%). Treated trees showed a 22% increase in total essential oils as well as a decrease in eucalyptol (65%) and sabinene (0.8%) and an increase in aromadendrene (5%), silvestrene (7.8%) and other ten terpenoids. In addition, treated Eucalyptus showed seven de novo synthesized terpenoids corresponding to carene, a-terpinene, alpha-fenchene, gamma-maaliene, spathulenol and alpha-camphenolic aldehyde. Most increased and de novo synthesized terpenoids have potential insecticidal and antimicrobial activities. Trees treated with CHS-828, lycorine, BSO and auranofine and with OC kappa showed an inhibition of increased and de novo synthesized terpenoids. Thus, OC kappa-induced reducing redox status and activation of TRR/TRX system enhance secondary metabolism increasing the synthesis of terpenoids and reprogramming of terpenoid metabolism in Eucalyptus trees.</t>
  </si>
  <si>
    <t>Figueroa, Alberto/AAA-7911-2020</t>
  </si>
  <si>
    <t>10.3390/molecules19067356</t>
  </si>
  <si>
    <t>WOS:000338586700028</t>
  </si>
  <si>
    <t>Rueda, J</t>
  </si>
  <si>
    <t>Rueda C, Jorge</t>
  </si>
  <si>
    <t>LAUGHTER AND RESISTANCE IN THE POPULATIONS OF SANTIAGO DE CHILE: 1973-1989.</t>
  </si>
  <si>
    <t>INTERSECCIONES EN ANTROPOLOGIA</t>
  </si>
  <si>
    <t>This article reveals how laughter (laughing) became a part of the socio-popular context during Pinochet's regime. It was, in fact, a way to represent the meaning of life and a form of resistance. A record of oral histories was collected in which people made laughing a feature that activated and reproduced the choice for life. The sample considered for selection in the document archive was extracted from communities emblematic of the general population's resistance.</t>
  </si>
  <si>
    <t>1850-373X</t>
  </si>
  <si>
    <t>WOS:000346671300004</t>
  </si>
  <si>
    <t>Garin, J. L.; Mannheim, R. L.</t>
  </si>
  <si>
    <t>Rietveld quantitative analysis of cast super duplex steel</t>
  </si>
  <si>
    <t>POWDER DIFFRACTION</t>
  </si>
  <si>
    <t>60th Denver X-ray Conference (DXC)</t>
  </si>
  <si>
    <t>AUG 01-05, 2011</t>
  </si>
  <si>
    <t>Colorado Springs, CO</t>
  </si>
  <si>
    <t>To interpret highly superimposed diffraction patterns, the Rietveld method together with conventional X-ray powder diffraction techniques were carried out on a series of heat-treated weldments of cast super duplex stainless steel. High temperature processing of this type of alloys causes embrittlement and loss of corrosion resistance owing to precipitation of intermediate phases, principally sigma-phase. The annealing processing of the samples proceeded at temperatures in the range of 800-950 degrees C for periods of time from 1 to 96 h. This procedure permitted an accurate quantification of the microstructural components such as austenite, ferrite and sigma-phase in all studied samples. The contents of sigma-phase in the heat-affected zones of all weldments reached asymptotical values of 30-38 wt% after 96 h of heat treatment. (C) International Centre for Diffraction Data [doi:10.1017/S0885715612000383]</t>
  </si>
  <si>
    <t>0885-7156</t>
  </si>
  <si>
    <t>1945-7413</t>
  </si>
  <si>
    <t>10.1017/S0885715612000383</t>
  </si>
  <si>
    <t>WOS:000306028500014</t>
  </si>
  <si>
    <t>RESTORATION OF PARITY SYMMETRY THROUGH PRESYMMETRY</t>
  </si>
  <si>
    <t>Presymmetry, the hidden symmetry underlying the charge and generational patterns of quarks and leptons, is utilized for repairing the left-right asymmetry of the standard model with Dirac neutrinos. It is shown that the restoration of parity is consequent with an indispensable left-right symmetric residual presymmetry. Thus, presymmetry substantiates left-Tight symmetry and the experimental search for the latter is the test of the former, with the nature of neutrinos as a crucial feature that can distinguish the left-right symmetry alone and its combination with presymmetry. This phenomenological implication is in accordance with the fact that Majorana neutrinos are usually demanded in the first case, but forbidden in the second.</t>
  </si>
  <si>
    <t>NOV 10</t>
  </si>
  <si>
    <t>10.1142/S0217732311036917</t>
  </si>
  <si>
    <t>WOS:000296654000004</t>
  </si>
  <si>
    <t>Vásquez, OC</t>
  </si>
  <si>
    <t>Vasquez, Oscar C.</t>
  </si>
  <si>
    <t>MANAGEMENT OF MUNICIPAL SOLID WASTE IN GRAN SANTIAGO IN CHILE: CHALLENGES AND OPPORTUNITIES</t>
  </si>
  <si>
    <t>REVISTA INTERNACIONAL DE CONTAMINACION AMBIENTAL</t>
  </si>
  <si>
    <t>0188-4999</t>
  </si>
  <si>
    <t>WOS:000304810900007</t>
  </si>
  <si>
    <t>Mellado, C</t>
  </si>
  <si>
    <t>Mellado, Claudia</t>
  </si>
  <si>
    <t>EXAMINING PROFESSIONAL AND ACADEMIC CULTURE IN CHILEAN JOURNALISM AND MASS COMMUNICATION EDUCATION</t>
  </si>
  <si>
    <t>JOURNALISM STUDIES</t>
  </si>
  <si>
    <t>This article discusses key findings from a survey of the professional patterns, scholarly productivity, and educational characteristics of Chilean Journalism and Mass Communication (JMC) educators, as well as documentary information about the schools where they work. The results reveal a weak academic culture that contrasts with a strong professional culture among the members of this community, but also the influence that both organizational and individual variables have on Chilean JMC educators' orientations. Specifically, the analyses indicated that the level of education, part-time/full-time commitment, and the type of university are the most influential factors in defining both the prevalence of a professional culture and the lack of research productivity. These findings support other international studies, indicating a global tendency across key variables that influence academic development in the field. Likewise, it shows how distant Chilean JCM educators are from the university-scholarly tradition.</t>
  </si>
  <si>
    <t>Mellado, Claudia/0000-0002-9281-1526</t>
  </si>
  <si>
    <t>1461-670X</t>
  </si>
  <si>
    <t>1469-9699</t>
  </si>
  <si>
    <t>PII 926994743</t>
  </si>
  <si>
    <t>10.1080/1461670X.2010.507373</t>
  </si>
  <si>
    <t>WOS:000290675700007</t>
  </si>
  <si>
    <t>Leiva-Valdebenito, SA; Torres-Avilés, FJ</t>
  </si>
  <si>
    <t>Leiva-Valdebenito, Susana A.; Torres-Aviles, Francisco J.</t>
  </si>
  <si>
    <t>A Review of the Most Common Partition Algorithms in Cluster Analysis: A Comparative Study</t>
  </si>
  <si>
    <t>REVISTA COLOMBIANA DE ESTADISTICA</t>
  </si>
  <si>
    <t>This study is oriented to compare several partition methods in the context of cluster analysis, whichare also called non hierarchical methods. In this work, a simulation study is performed to compare the results obtained from the implementation of hte algorithms k-means, K-medians, PAM and CLARA when continuous multivariate information is available. Aditionally, a study of simulation is presented to compare partition algorithms qualitative information, comparing the efficiency of the PAM and k-modes algorithms. The efficiency of the algorithms is compared using the Adjusted Rand Index and the correct classification rate. Finally, the algorithms are applied to real databases with predefined clases.</t>
  </si>
  <si>
    <t>Torres-Aviles, Francisco/J-8269-2013</t>
  </si>
  <si>
    <t>Torres-Aviles, Francisco/0000-0001-7973-4709</t>
  </si>
  <si>
    <t>0120-1751</t>
  </si>
  <si>
    <t>WOS:000294415700010</t>
  </si>
  <si>
    <t>Pizarro, J; Vergara, PM; Rodríguez, JA; Valenzuela, AM</t>
  </si>
  <si>
    <t>Pizarro, Jaime; Vergara, Pablo M.; Rodriguez, Jose A.; Valenzuela, Alejandra M.</t>
  </si>
  <si>
    <t>Heavy metals in northern Chilean rivers: Spatial variation and temporal trends</t>
  </si>
  <si>
    <t>JOURNAL OF HAZARDOUS MATERIALS</t>
  </si>
  <si>
    <t>Rivers of central-northern Chile are exposed to pollution from different sources, including mining activities, natural orogenic process, volcanic activity, and geology. In order to determine the contribution of mining to river pollution, the spatio-temporal dynamics of chemical species dissolved in 12 rivers of central-northern Chile was assessed. Of all the rivers studied, the Elqui showed the highest historical mean concentrations of As, Cu and Pb. The Aconcagua had the highest concentration of Hg and a large Cr concentration, while the Rapel showed elevated concentrations of Cu and Mo. The Elqui and the Aconcagua were clustered as distinct groups by a cluster analysis based on two independent principal components. Hierarchical Bayesian models showed annual trends but no seasonal effects in heavy metal concentrations. As and Cu in the Elqui had positive annual slopes. Sulphate concentration exceeded 100 mg L-1 in nine rivers, and in seven of them it had positive annual slopes. Our findings suggest that mining pollution is the main process contributing to this increasing annual trend in As, Cu and SO42-. Therefore, in order to improve the water quality of these rivers it is necessary to identify the main sources of heavy metals associated with mining activities. (C) 2010 Elsevier B.V. All rights reserved.</t>
  </si>
  <si>
    <t>Rodriguez, Jose/KVC-0374-2024; Vergara, Pablo/F-2519-2010</t>
  </si>
  <si>
    <t>0304-3894</t>
  </si>
  <si>
    <t>1873-3336</t>
  </si>
  <si>
    <t>1-3</t>
  </si>
  <si>
    <t>10.1016/j.jhazmat.2010.05.076</t>
  </si>
  <si>
    <t>WOS:000280601300099</t>
  </si>
  <si>
    <t>Ugarte, D; Gajardo, T; Campos, C; Sepúlveda, T</t>
  </si>
  <si>
    <t>Ugarte, D.; Gajardo, T.; Campos, C.; Sepulveda, T.</t>
  </si>
  <si>
    <t>STATUS OF THE PRIMARY BILIARY CIRRHOSIS AND FREQUENCY OF SCLERODERMA IN PATIENTS OF THE BARROS LUCO CENTRE BETWEEN 2002 AND 2009</t>
  </si>
  <si>
    <t>JCR-JOURNAL OF CLINICAL RHEUMATOLOGY</t>
  </si>
  <si>
    <t>1076-1608</t>
  </si>
  <si>
    <t>S50</t>
  </si>
  <si>
    <t>WOS:000276765300142</t>
  </si>
  <si>
    <t>Fediakova, E</t>
  </si>
  <si>
    <t>Fediakova, Evguenia</t>
  </si>
  <si>
    <t>Religious tradition and Chilean Evangelical youth - 1990-2008: conflict of generations?</t>
  </si>
  <si>
    <t>Historically, the Evangelical churches in Chile belonged to an isolated religious category, discriminated by the dominant catholic culture. Feeling rejected by the society, Chilean Evangelicals elaborated the identity of resistance: this is to say, a rejection to the existing norms and the exclusion of the discriminators by the discriminated. Nevertheless, in the last 20 years, new generations of believers are challenging the authorities and the traditional relations of power formed in their churches, elaborating new forms of civil involvement and changing the identity of resistance of their parents to an identity of project.</t>
  </si>
  <si>
    <t>WOS:000291067700006</t>
  </si>
  <si>
    <t>Abuin, E; Calderón, C; Lissi, E</t>
  </si>
  <si>
    <t>Abuin, Elsa; Calderon, Cristian; Lissi, Eduardo</t>
  </si>
  <si>
    <t>Interaction of alkylpyridinium chlorides with human serum albumin studied by fluorescence techniques</t>
  </si>
  <si>
    <t>JOURNAL OF PHOTOCHEMISTRY AND PHOTOBIOLOGY A-CHEMISTRY</t>
  </si>
  <si>
    <t>A study has been made on the interaction of cetylpyridium chloride (CPC) and dodecylpyridinium chloride (DPC) with human serum albumin (HSA) in aqueous solution (22 degrees C, pH = 7.0). The study was performed using techniques based on the effect promoted by the addition of the surfactants on the fluorescence of the protein tryptophan group. From the dependence of the fluorescence quenching with the protein concentration, the binding isotherms of the surfactants with the protein were determined. The results indicate that CPC is considerably more efficient than DPC in quenching the fluorescence of the tryptophan group. However, even for CPC, eight surfactant molecules must be bound (in average) to each HSA molecule to quench half of the protein intrinsic fluorescence, suggesting an association to zones far away from the locus of the fluorescent moiety. Information regarding the locus of CPC and DPC association to HSA was obtained from their effect on the fluorescence of dansyl derivatives bound to the protein. The results show that: (i) CPC binds to site 2 or near it, quenching the fluorescence of the probe bound to this site and increasing the fluorescence of the probe bound to site 1, and (ii) DPC is less efficient in modifying dansyl derivatives fluorescence, being able to interact weakly with compounds located at both sites 1 and 2. (C) 2007 Elsevier B.V. All rights reserved.</t>
  </si>
  <si>
    <t>Calderon, cristian/GQA-7422-2022</t>
  </si>
  <si>
    <t>1010-6030</t>
  </si>
  <si>
    <t>10.1016/j.jphotochem.2007.10.015</t>
  </si>
  <si>
    <t>WOS:000254763900020</t>
  </si>
  <si>
    <t>Bassi, D</t>
  </si>
  <si>
    <t>Fink, W</t>
  </si>
  <si>
    <t>Bassi, Danilo</t>
  </si>
  <si>
    <t>Multilevel control structure for autonomous robotic aircraft operation</t>
  </si>
  <si>
    <t>SPACE EXPLORATION TECHNOLOGIES</t>
  </si>
  <si>
    <t>Proceedings of SPIE</t>
  </si>
  <si>
    <t>Conference on Space Exploration Technologies</t>
  </si>
  <si>
    <t>MAR 17-18, 2008</t>
  </si>
  <si>
    <t>Orlando, FL</t>
  </si>
  <si>
    <t>SPIE</t>
  </si>
  <si>
    <t>In this paper, a global control structure for autonomous robotic aircraft is proposed. The main objective of this advanced control structure is to provide the unmanned aircraft with the necessary autonomy, at different levels, so that it can accomplish complex missions, like autonomous exploration and patrolling, without the remote attendance of an operator. The solution proposed is based on a robotic methodology that considers a multilevel control structure, with different real time requirements, where each level is built on multiple interconnected and clearly defined modules. The proposed control structure consists of a high level mission control and supervision module, an intermediate level control module for navigation and obstacle management, and at the lower level, the control module which deals with stability and vessel survival. An implementation of the control architecture is shown for a UAV platform used for geophysical exploration.</t>
  </si>
  <si>
    <t>0277-786X</t>
  </si>
  <si>
    <t>978-0-8194-7151-2</t>
  </si>
  <si>
    <t>69600B</t>
  </si>
  <si>
    <t>10.1117/12.782284</t>
  </si>
  <si>
    <t>WOS:000257463400009</t>
  </si>
  <si>
    <t>Magnetorheological flow in pipes: An exploration of the time-variation of Herschel-Bulkley parameters</t>
  </si>
  <si>
    <t>PROCEEDINGS OF THE ASME INTERNATIONAL MECHANICAL ENGINEERING CONGRESS AND EXPOSITION 2007, VOL 8, PTS A AND B: HEAT TRANSFER, FLUID FLOWS, AND THERMAL SYSTEMS</t>
  </si>
  <si>
    <t>NOV 11-15, 2007</t>
  </si>
  <si>
    <t>Seattle, WA</t>
  </si>
  <si>
    <t>In this paper it is analyzed the effects on the flow of the time-variation of Herschel-Bulkley model of fluid constitutive parameters. In this way, the influence of a varying magnetic field on the unsteady flow of a magnetic fluid is explored. Yield stress, viscosity and power index are assumed time-dependent. In particular, linear variations in time of these parameters are considered. The characteristics of the velocity field is analyzed for different values of the constants that determine the time structure of the constitutive parameters.</t>
  </si>
  <si>
    <t>978-0-7918-4302-4</t>
  </si>
  <si>
    <t>WOS:000254515301097</t>
  </si>
  <si>
    <t>Ulianova, O</t>
  </si>
  <si>
    <t>Ulianova, Olga</t>
  </si>
  <si>
    <t>Uncovering a myth: Emissaries of the communist international in Chile</t>
  </si>
  <si>
    <t>The article analyzes the interaction between Soviet Komintern emissaries and local communist followers as well as important sectors of Chilean society. It recognizes that communism was a key national and international factor in Chile's political evolution during the twentieth century, when the country was closely linked with world politics. This contributes to the discussion regarding the international dimension of the construction of Chile's political culture during the twentieth century. The article reconstructs one of the first and enigmatic forms of linking the world communist movement and Chile's Communist Party. Documents from Komintern archives, memories and local press sources, were used to explore this topic.</t>
  </si>
  <si>
    <t>WOS:000257209100005</t>
  </si>
  <si>
    <t>Bravo, P; Isaacs, F; Ramírez, G; Azócar, I; Trollund, E; Aguirre, MJ</t>
  </si>
  <si>
    <t>Bravo, Paz; Isaacs, Fabiola; Ramirez, Galo; Azocar, Ignacio; Trollund, Ejnar; Aguirre, Maria J.</t>
  </si>
  <si>
    <t>A potentiometric hydrazine sensor:: para-Ni-tetraaminophenyl-porphyrin/Co-cobaltite/SNO2:F modified electrode</t>
  </si>
  <si>
    <t>JOURNAL OF COORDINATION CHEMISTRY</t>
  </si>
  <si>
    <t>Three glass electrodes covered with Co-cobaltite/SnO2:F (to obtain conducting glass electrodes) modified with p-Ni-tetraaminophenylporphyrin are described. In one electrode the porphyrin wits absorbed on the electrode surface at room temperature, in another the porphyrin was electropolymerized on the electrode surface by cyclic voltammetry, and in the third the bare electrode was immersed in DMF containing the porphyrin and refluxed 6 h at 150 degrees C. The three electrodes were tested as electrocatalysts for the oxidation of hydrazine and as potentiometric sensors of this chemical. The electrode modified by refluxing showed good electrocatalytic behavior as well as a linear relationship between its open circuit potential and the concentration of hydrazine in a concentration range from 0.16 to 12 mu M, with fast response. These characteristics indicate that the conducting glass electrode of Co-cobaltite/SnO2:F covered with p-Ni-tetraaminophenylporphyrin by the reflux method is a good potentiometric sensor of hydrazine. The active site is probably the ligand that changes its electron density by formation of a supramolecular system.</t>
  </si>
  <si>
    <t>Aguirre, Maria/A-3935-2013; Azocar, Manuel/I-1226-2013</t>
  </si>
  <si>
    <t>Aguirre, Maria/0000-0003-1134-4469; Ramirez, Galo/0000-0002-6217-4730; Azocar Guzman, Manuel/0000-0003-1098-4659</t>
  </si>
  <si>
    <t>0095-8972</t>
  </si>
  <si>
    <t>NOV-DEC</t>
  </si>
  <si>
    <t>22-24</t>
  </si>
  <si>
    <t>10.1080/00958970701275790</t>
  </si>
  <si>
    <t>WOS:000251088000011</t>
  </si>
  <si>
    <t>de los Rios, V</t>
  </si>
  <si>
    <t>Literature and techonology in the works of Dario, Oquendo de Amat and Palma</t>
  </si>
  <si>
    <t>ROMANCE NOTES</t>
  </si>
  <si>
    <t>0035-7995</t>
  </si>
  <si>
    <t>10.1353/rmc.2007.0003</t>
  </si>
  <si>
    <t>WOS:000206244700009</t>
  </si>
  <si>
    <t>Moyano, PC; Troncoso, E; Pedreschi, F</t>
  </si>
  <si>
    <t>Moyano, P. C.; Troncoso, E.; Pedreschi, F.</t>
  </si>
  <si>
    <t>Modeling texture kinetics during thermal processing of potato products</t>
  </si>
  <si>
    <t>JOURNAL OF FOOD SCIENCE</t>
  </si>
  <si>
    <t>A kinetic model based on 2 irreversible serial chemical reactions has been proposed to fit experimental data of texture changes during thermal processing of potato products. The model links dimentionless maximum force F-MAX with processing time. Experimental texture changes were obtained during frying of French fries and potato chips at different temperatures, while literature data for balanching/cooking of potato cubes have been considered. A satisfactory agreement between experimental and predicted values was observed, with root mean square values (RMSs) in the range of 4.7% to 16.4% for French fries and 16.7% to 29.3% for potato chips. In the case of blanching/cooking, the proposed model gave RMSs in the range of 1.2% to 17.6%, much better than the 6.2% to 44.0% obtained with the traditional 1st-order kinetics. The model is able to predict likewise the transition from softening to hardening of the tissue during frying.</t>
  </si>
  <si>
    <t>0022-1147</t>
  </si>
  <si>
    <t>1750-3841</t>
  </si>
  <si>
    <t>E102</t>
  </si>
  <si>
    <t>E107</t>
  </si>
  <si>
    <t>10.1111/j.1750-3841.2006.00267.x</t>
  </si>
  <si>
    <t>WOS:000245079900021</t>
  </si>
  <si>
    <t>Fourier multipliers and periodic solutions of delay equations in Banach spaces</t>
  </si>
  <si>
    <t>JOURNAL OF MATHEMATICAL ANALYSIS AND APPLICATIONS</t>
  </si>
  <si>
    <t>In this paper we characterize the existence and uniqueness of periodic solutions of inhomogeneous abstract delay equations and establish maximal regularity results for strong solutions. The conditions are obtained in terms of R-boundedness of linear operators determined by the equations and L-p-Fourier multipliers. Periodic mild solutions are also studied and characterized. (c) 2005 Elsevier Inc. All fights reserved.</t>
  </si>
  <si>
    <t>0022-247X</t>
  </si>
  <si>
    <t>1096-0813</t>
  </si>
  <si>
    <t>DEC 15</t>
  </si>
  <si>
    <t>10.1016/j.jmaa.2005.12.043</t>
  </si>
  <si>
    <t>WOS:000241752600014</t>
  </si>
  <si>
    <t>Garin, J; Mannheim, R</t>
  </si>
  <si>
    <t>Garin, Jorge; Mannheim, Rodolfo</t>
  </si>
  <si>
    <t>Quantitative Detection of Intermediate Phases in Welds of Fe-Cr-Ni-C Alloys</t>
  </si>
  <si>
    <t>m19.p06</t>
  </si>
  <si>
    <t>S191</t>
  </si>
  <si>
    <t>10.1107/S0108767306096188</t>
  </si>
  <si>
    <t>WOS:000478081200382</t>
  </si>
  <si>
    <t>Pavez, J; Silva, JF; Melo, F</t>
  </si>
  <si>
    <t>Effects of alginic acid from marine algae on calcium carbonate electrodeposited coating</t>
  </si>
  <si>
    <t>JOURNAL OF CRYSTAL GROWTH</t>
  </si>
  <si>
    <t>The effect of alginic acid, extracted from the Lessonia trabeculata calcareous marine algae, was studied in the electrocrystallization of calcium carbonate (CaCO3) on indium tin oxide (ITO) transparent electrodes. Scanning electron microscopy, X-ray diffraction-collected data and microscopic observations show that the presence of Mg2+ at the electrolyte induces the magnesium calcite and aragonite phase formation along with the changes in morphology and crystal orientation. Addition of alginic acid strongly inhibits the effect of Mg2+ on the crystallization, receiving in favor of the nucleation and growth of calcite phase of CaCO3. These results suggest that the alginic acid acts as an organic template in the electrocrystallization of CaCO3, controlling the crystallographic orientation of crystal growth, and as a consequence, the crystal morphology. (c) 2005 Elsevier B.V. All rights reserved.</t>
  </si>
  <si>
    <t>Melo, Francisco/M-3923-2014; PAVEZ, JORGE/K-6904-2014</t>
  </si>
  <si>
    <t>PAVEZ, JORGE/0000-0002-5100-6707; Melo, Francisco Esteban/0000-0001-6818-5476</t>
  </si>
  <si>
    <t>0022-0248</t>
  </si>
  <si>
    <t>1873-5002</t>
  </si>
  <si>
    <t>SEP 1</t>
  </si>
  <si>
    <t>3-4</t>
  </si>
  <si>
    <t>10.1016/j.jcrysgro.2005.05.037</t>
  </si>
  <si>
    <t>WOS:000231429500025</t>
  </si>
  <si>
    <t>Díaz, G; Díaz, C; Inostroza, L; Reyes, A</t>
  </si>
  <si>
    <t>Rheological study of reconstituted powdered food.</t>
  </si>
  <si>
    <t>AFINIDAD</t>
  </si>
  <si>
    <t>The objective of this work was to characterize the rheology of aqueous slurries of commercial food powders and products, prepared at the laboratory. The measurements were made by using a rotational Brookfield viscometer especially adapted for small samples, at constant temperature. Rheograms were obtained for each fluid at different temperatures and solid concentrations. The generalized power model was fitted to the experimental values. The mixtures could be characterized as pseudoplastic fluids whose apparent viscosity was influenced significantly with the temperature.</t>
  </si>
  <si>
    <t>0001-9704</t>
  </si>
  <si>
    <t>WOS:000176771400015</t>
  </si>
  <si>
    <t>Henríquez, HR; Vásquez, CH</t>
  </si>
  <si>
    <t>Differentiability of solutions of the second order abstract Cauchy problem</t>
  </si>
  <si>
    <t>In this paper we study the differentiability of solutions of the second order abstract Cauchy problem when the underlying space is reflexive or at least has the Radon-Nikodym property. We consider the linear and semilinear case.</t>
  </si>
  <si>
    <t>Vasquez, Carlos H./0000-0003-0529-571X</t>
  </si>
  <si>
    <t>10.1007/s002330010092</t>
  </si>
  <si>
    <t>WOS:000174934400009</t>
  </si>
  <si>
    <t>Ureta-Zañartu, MS; Bravo, P; Reyes, G; Yáñez, C; Gancedo, JR; Gutiérrez, C; Marco, JF</t>
  </si>
  <si>
    <t>Cyclic voltammetric and EQCM study of the behaviour and stability of Pt-Ir deposits and Pt-Ir wire electrodes for methanol electrooxidation in acid solution</t>
  </si>
  <si>
    <t>The electro-oxidation of methanol at Pt-Ir and Pt deposits, and at Pt, Ir, and Pt-Ir wires in sulfuric acid solution was studied by cyclic voltammetry (CV), and in the case of Pt-Ir and Pt electrodeposits, also with the electrochemical quartz crystal microbalance (EQCM). The effect of repetitive potential cycling on the Pt-Ir deposits, in the absence and presence of methanol, was also investigated by EQCM. Ir did not increase the activity of Pt for methanol oxidation, nor there was a significant effect of potential cycling on the activity of Pt-Ir electrodes. EQCM and CV results showed that potential cycling produced a sintering of the Pt-Ir codeposits without loss of Ir to the solution. XPS analyses of cycled Pt-Ir/Ti electrodes showed that in the absence of methanol the lr/Pt ratio decreased with cycling to one half of its value for the fresh deposit if the upper potential limit was 0.86 V vs. SCE, but increased by 30% if the said limit was increased to 1.1 V, showing the growth of an Ir oxide layer. Quite unexpectedly, cycling up to 1.1 V in the presence of methanol completely eliminated Pt(II) species from the surface, and decreased very much the fraction of lr(IV) species.</t>
  </si>
  <si>
    <t>Ureta-Zañartu, Maria/G-5239-2019; Yañez, Claudia/I-2840-2013; Marco, JF/N-3176-2014</t>
  </si>
  <si>
    <t>Marco, JF/0000-0002-5147-1449</t>
  </si>
  <si>
    <t>WOS:000172210200013</t>
  </si>
  <si>
    <t>Moraga, NO; Salinas, CH</t>
  </si>
  <si>
    <t>Numerical study of unsteady 2D natural convection and solidification of a food inside a freezing chamber</t>
  </si>
  <si>
    <t>A numerical study for the conjugate analysis of unsteady natural convection and solidification during freezing of a rectangular food is presented. The SIMPLER finite volume method, with a nonuniform grid of 1575 nodes and nondimensional time steps of 2.5 X 10(-4) was used to solve continuity, linear momentum and energy equations for 10(4) less than or equal to Ra less than or equal to 10(6). The effects of Rayleigh number on the freezing curves and on average Nusselt number on the chamber wads and on the food surfaces are described. Transient results for streamlines and isotherms show nonsymmetric characteristics of the air flow around the food.</t>
  </si>
  <si>
    <t>Salinas, Carlos/D-8689-2012</t>
  </si>
  <si>
    <t>MAY 26</t>
  </si>
  <si>
    <t>WOS:000087403300005</t>
  </si>
  <si>
    <t>Gaete-Garretón, LF; Vargas-Hermández, YP; Velasquez-Lambert, C</t>
  </si>
  <si>
    <t>Application of ultrasound in comminution</t>
  </si>
  <si>
    <t>1st Joint Meeting Ultrasonics International Conference/World Congress on Ultrasonics (UI 99/WCU 99)</t>
  </si>
  <si>
    <t>JUN 29-JUL 01, 1999</t>
  </si>
  <si>
    <t>TECH UNIV DENMARK, LYNGBY, DENMARK</t>
  </si>
  <si>
    <t>Tech Univ Denmark</t>
  </si>
  <si>
    <t>TECH UNIV DENMARK</t>
  </si>
  <si>
    <t>This paper deals with a new technology for fine grinding of hard materials, based on a high-compression roller mill with ultrasonic capabilities. The machine was tested by producing fine powders from hard rocks, with and without ultrasonic activation, permitting the beneficial effects of ultrasound to be evaluated. The experimental set-up allows the following operational parameters to be measured: material flow, applied torque, angular velocity of the rollers, stress on the shafts, ultrasonic energy applied and the vibration amplitude and phase behaviour of the transducer roller. It is found that the application of ultrasonic energy diminishes the torque required, the stress over the shafts and the total energy consumed for the same grinding results. In addition, a reduction in the erosion of the grinding surfaces was found. The optimal value of the applied ultrasonic power was determined by measuring the specific rate of breakage, a parameter that refers to the energy consumed for the generation of 1 ton of material, for each size range. (C) 2000 Elsevier Science B.V. All rights reserved.</t>
  </si>
  <si>
    <t>0041-624X</t>
  </si>
  <si>
    <t>1874-9968</t>
  </si>
  <si>
    <t>1-8</t>
  </si>
  <si>
    <t>10.1016/S0041-624X(99)00170-5</t>
  </si>
  <si>
    <t>WOS:000086662100070</t>
  </si>
  <si>
    <t>Cárdenas, JL; Sepúlveda, S; García, A; Certanec, B</t>
  </si>
  <si>
    <t>Claussen, CF; Haid, CT; Hofferberth, B</t>
  </si>
  <si>
    <t>Vertical and horizontal vestibule-ocular reflex modifications in Parkinson's disease:: unilateral and bilateral simultaneous caloric tests</t>
  </si>
  <si>
    <t>EQUILIBRIUM RESEARCH, CLINICAL EQUILIBRIOMETRY AND MODERN TREATMENT</t>
  </si>
  <si>
    <t>INTERNATIONAL CONGRESS SERIES</t>
  </si>
  <si>
    <t>20th Regular Meeting of the Barany-Society</t>
  </si>
  <si>
    <t>SEP 12-15, 1998</t>
  </si>
  <si>
    <t>WURZBURG, GERMANY</t>
  </si>
  <si>
    <t>Barany Soc</t>
  </si>
  <si>
    <t>0531-5131</t>
  </si>
  <si>
    <t>0-444-50012-X</t>
  </si>
  <si>
    <t>WOS:000088270100140</t>
  </si>
  <si>
    <t>Contreras, ML; Trevisiol, GM; Alvarez, J; Arias, G; Rozas, R</t>
  </si>
  <si>
    <t>Response to the comment on Exhaustive generation of organic isomers. 5. Unsaturated optical and geometrical stereoisomers and a new CIP subrule - Correspondence</t>
  </si>
  <si>
    <t>JOURNAL OF CHEMICAL INFORMATION AND COMPUTER SCIENCES</t>
  </si>
  <si>
    <t>0095-2338</t>
  </si>
  <si>
    <t>10.1021/ci9904867</t>
  </si>
  <si>
    <t>WOS:000083858200035</t>
  </si>
  <si>
    <t>Barro, M; Vásquez, M; Spencer, E</t>
  </si>
  <si>
    <t>Use of a simple polymerase chain reaction combined with a heteroduplex mobility assay to characterize the non coding 5′ region of hepatitis C virus</t>
  </si>
  <si>
    <t>Background: One of the most used methods for the characterization of hepatitis C virus strains is the use of a nested polymerase chain reaction (PCR) with a restriction fragment length polymorphism (RFLP) assay. Sometimes, RFLP results do not differentiate new strains. There are other more complex methods and only the sequencing of the PCR fragment allows a correct characterization of the strain. Aim: To report the detection of hepatitis C virus using a single PCR assay of the 5' non codifying region. Material and methods: Thirty five serum samples coming from patients with chronic hepatitis or blood donors were assayed for hepatitis C virus. Results: The reported method increases the PCR sensitivity through the combination of polyacrylamide gel electrophoresis and silver staining of amplified products. This allowed the semi quantitative estimation of viral load and the characterization of amplified products through their electrophoretic motility. These PCR products were used in a heteroduplex motility assay, allowing the discrimination between sequences of different genotypes. Conclusions: Heteroduplex assays can be used to characterize the 5' non codifying region of the hepatitis C virus for routine laboratory purposes.</t>
  </si>
  <si>
    <t>WOS:000082403600004</t>
  </si>
  <si>
    <t>Exhaustive generation of organic isomers. 5. Unsaturated optical and geometrical stereoisomers and a new CIP subrule</t>
  </si>
  <si>
    <t>This work, based on graph theory, presents a US-CAMGEC software developed for analysis, generation, and counting organic unsaturated stereoisomers with isolated or cumulated double bonds in structures that may contain chiral carbon and heteroatoms with variable valences within the molecule. A new extension to N_tuple notation was done for describing accordingly either Z, E, r, or s double bond and R, S stereoisomerism, Algorithms for transforming both constitutional isomer N_tuples to their corresponding graphs and graphs to the corresponding configurational N_tuples were developed. Computational implementation of Cahn-Ingold-Prelog (CIP) rules was developed including a new subrule for discriminating priorities to rank complex ligands already containing chiral stereocenters and having no different atomic number partial ranks. Test results for families of symmetric and nonsymmetric hydrocarbons and their monohalogenated, mono- and dioxygenated, and mono- and dinitrogenated derivatives are presented.</t>
  </si>
  <si>
    <t>10.1021/ci9700586</t>
  </si>
  <si>
    <t>WOS:000080524900007</t>
  </si>
  <si>
    <t>Mendoza, L; Urzua, A</t>
  </si>
  <si>
    <t>Minor flavonoids and diterpenoids in the resinous trichome exudates from Pseudognaphalium cheiranthifolium, P-heterotrichium, P-vira vira and P-robustum</t>
  </si>
  <si>
    <t>10.1016/S0305-1978(97)00117-8</t>
  </si>
  <si>
    <t>WOS:000074411700012</t>
  </si>
  <si>
    <t>Zagal, JH; Gulppi, M; Isaacs, M; Cárdenas-Jirón, G; Aguirre, MJ</t>
  </si>
  <si>
    <t>Linear versus volcano correlations between electrocatalytic activity and redox and electronic properties of metallophthalocyanines</t>
  </si>
  <si>
    <t>In this paper we have reinvestigated the correlations between the electrocatalytic activity of metallophthalocyanines for O-2 reduction with the redox properties of the metal in the complex. We have extended these studies;to the electro-oxidation of thiols. For O-2 reduction, plots of log kat constant potential versus the M(III)/M(II) redox potential of the metallophthalocyanine containing Cr, Mn, Fe, and Co, give two parallel straight lines of slopes close to 2RT/F, instead of a volcano plot, as reported earlier. These lines correspond to two families with one including only Co complexes. For the oxidation of the thiols L-cysteine and 2-mercaptoethanol, single straight lines are obtained for each case when plotting log k versus the M(II)/M(I) redox potential of the metallophthalocyanine. The slope is close to 2RT/F. For O-2 reduction, log k decreases with driving force, whereas for the oxidation of thiols, it increases. For O-2 reduction, for the oxidation of L-cysteine and of 2-mercaptoethanol when activity (as log k) is compared along the transition series volcano-shaped curves are obtained, which illustrates the concept of 'tuning' frontier orbital energies for maximum reaction rates. Preliminary calculations of the electronic coupling between the metal in a TAP (tetraazaporphyrin) environment and the sulfur atom in a thiol show that this parameter exhibits the same trend (volcano correlation) found when log k is plotted versus the numbef of d-electron in the central metal. (C) 1998 Elsevier Science Ltd. All rights reserved.</t>
  </si>
  <si>
    <t>zagal, jose/L-9648-2014; Isaacs, Mauricio/N-3027-2013; Gulppi, Miguel/KTA-6210-2024; Aguirre, Maria/A-3935-2013; Cardenas-Jiron, Gloria/H-9508-2012</t>
  </si>
  <si>
    <t>Aguirre, Maria/0000-0003-1134-4469; Isaacs Casanova, Mauricio/0000-0003-0503-0949; Gulppi, Miguel/0000-0001-6099-4463; Cardenas-Jiron, Gloria/0000-0003-4305-8088</t>
  </si>
  <si>
    <t>8-9</t>
  </si>
  <si>
    <t>10.1016/S0013-4686(98)00257-6</t>
  </si>
  <si>
    <t>WOS:000077559300010</t>
  </si>
  <si>
    <t>CONTRERAS, ML; GONZALEZ, FD; ROZAS, R</t>
  </si>
  <si>
    <t>MM2 PARAMETERIZATION OF THE AZIDO GROUP WITH ELECTRON LONE PAIRS - CONFORMATIONAL-ANALYSIS OF 3'-AZIDOTHYMIDINE (AZT) AND STRUCTURE-ACTIVITY RELATIONSHIP FOR ITS ANALOGS AS POTENTIAL ANTI-HIV DRUGS</t>
  </si>
  <si>
    <t>MM2 molecular mechanics force field parameterization for the azido group is presented, taking into account the important interactions provided by its electron lone pairs. An extensive X-ray diffraction study for a known drug against AIDS having an azido group in its structure: AZT (3'-azidothymidine) was used as structural support. In that way, a set of torsional parameters (V-1, V-2, and V-3) and also equilibria distances and angles (r(o) and theta(o)) were obtained. Optimized parameters for the azido group allowed to obtain a conformational map for the AZT that satisfactory agrees with published X-ray diffraction data and with conformational population of the principal local minima found by analysis of many AZT derivative structures. In addition, energy calculations for AZT and its C5-substituted analogues were also performed. A relationship between the biological activity (EC(50)) and the energy (E(MM2)) with a correlation coefficient of 0.936 (n=10) was found.</t>
  </si>
  <si>
    <t>González-Nilo, Fernando/M-5671-2016</t>
  </si>
  <si>
    <t>WOS:A1995QV98900005</t>
  </si>
  <si>
    <t>ENCINAS, MV; LEMP, E; LISSI, EA</t>
  </si>
  <si>
    <t>VESICULAR EFFECT ON THE REACTIVITY OF ANTHRACENE-DERIVATIVES TOWARDS SINGLET MOLECULAR-OXYGEN</t>
  </si>
  <si>
    <t>JOURNAL OF PHOTOCHEMISTRY AND PHOTOBIOLOGY B-BIOLOGY</t>
  </si>
  <si>
    <t>The effect of dioctadecyldimethylammonium chloride (DODAC) vesicles upon the reactivity of several anthracene derivatives towards O2(1.DELTA.g) has been measured. Incorporation of the substrates into the vesicles decreases their consumption rate. The effect depends on both the substrate characteristics and the vesicle size. The most pronounced decreases are observed with those substrates for which deep incorporation of the anthryl group into the vesicles could be expected, i.e., 9-10-dimenthylanthracene and 3-(9-anthyrl)propionic acid. For these substrates, the reactivity is nearly two times smaller in the large (injected) vesicles than in the small (sonicated) vesicles. The dependence of the bleaching rates on the surfactant concentration allows the evaluation of the substrate distribution between the vesicles and the aqueous solution. For 9-methylanthracene and 9-anthracene-methanol, the partition constants are nearly ten times smaller in the large vesicles than in the smaller vesicles.</t>
  </si>
  <si>
    <t>1011-1344</t>
  </si>
  <si>
    <t>1873-2682</t>
  </si>
  <si>
    <t>10.1016/1011-1344(89)80025-9</t>
  </si>
  <si>
    <t>WOS:A1989T643100011</t>
  </si>
  <si>
    <t>ZAGAL, J; STURM, J</t>
  </si>
  <si>
    <t>ELECTROOXIDATION OF CYSTEINE ON VITAMIN-B12 ADSORBED ON OPG AND COMPARISON WITH OTHER CATALYSTS</t>
  </si>
  <si>
    <t>C135</t>
  </si>
  <si>
    <t>WOS:A1987G410200446</t>
  </si>
  <si>
    <t>ESCHSCHOLTZINE-N-OXIDE FROM ESCHSCHOLTZIA-CALIFORNICA</t>
  </si>
  <si>
    <t>JOURNAL OF NATURAL PRODUCTS</t>
  </si>
  <si>
    <t>0163-3864</t>
  </si>
  <si>
    <t>10.1021/np50047a028</t>
  </si>
  <si>
    <t>WOS:A1986F480600028</t>
  </si>
  <si>
    <t>ZAGAL, JH; HERRERA, P</t>
  </si>
  <si>
    <t>ELECTROCHEMISTRY OF CYSTEINE AND CYSTINE ON METAL-PHTHALOCYANINES ADSORBED ON A GRAPHITE ELECTRODE</t>
  </si>
  <si>
    <t>10.1016/0013-4686(85)80033-5</t>
  </si>
  <si>
    <t>WOS:A1985AHC8900005</t>
  </si>
  <si>
    <t>HOJMAN, S</t>
  </si>
  <si>
    <t>INTERPRETATION OF SYMMETRY TRANSFORMATIONS</t>
  </si>
  <si>
    <t>JOURNAL OF PHYSICS A-MATHEMATICAL AND GENERAL</t>
  </si>
  <si>
    <t>Hojman, Sergio/F-5801-2010</t>
  </si>
  <si>
    <t>Hojman, Sergio/0000-0001-6281-9861</t>
  </si>
  <si>
    <t>0305-4470</t>
  </si>
  <si>
    <t>L521</t>
  </si>
  <si>
    <t>L525</t>
  </si>
  <si>
    <t>10.1088/0305-4470/17/10/001</t>
  </si>
  <si>
    <t>WOS:A1984TB67900001</t>
  </si>
  <si>
    <t>MUNOZ, MA; TORRES, R; CASSELS, BK</t>
  </si>
  <si>
    <t>AURAPTEN AND FLINDERSINE FROM ZANTHOXYLUM-COCO</t>
  </si>
  <si>
    <t>Cassels, Bruce/H-6937-2013</t>
  </si>
  <si>
    <t>10.1021/np50021a023</t>
  </si>
  <si>
    <t>WOS:A1982NY12100023</t>
  </si>
  <si>
    <t>ZAGAL, J; FIERRO, C; MUNOZ, E; ROZAS, R</t>
  </si>
  <si>
    <t>ELECTROCATALYTIC PROPERTIES OF TRANSITION-METAL MACROCYCLICS FOR ANODIC REACTIONS</t>
  </si>
  <si>
    <t>zagal, jose/L-9648-2014; Muñoz, Eduardo/V-4600-2019</t>
  </si>
  <si>
    <t>C132</t>
  </si>
  <si>
    <t>WOS:A1981LF08600580</t>
  </si>
  <si>
    <t>MERKLEN, HA</t>
  </si>
  <si>
    <t>INTEGRAL NORMALIZERS OF SOLVABLE GROUPS</t>
  </si>
  <si>
    <t>NOTICES OF THE AMERICAN MATHEMATICAL SOCIETY</t>
  </si>
  <si>
    <t>A617</t>
  </si>
  <si>
    <t>WOS:A1975AR98100022</t>
  </si>
  <si>
    <t>Barahona, NA; Vergara, PM; Alaniz, AJ; Carvajal, MA; Castro, SA; Quiroz, M; Hidalgo-Corrotea, CM; Fierro, A</t>
  </si>
  <si>
    <t>Barahona, Nicolas A.; Vergara, Pablo M.; Alaniz, Alberto J.; Carvajal, Mario A.; Castro, Sergio A.; Quiroz, Madelaine; Hidalgo-Corrotea, Claudia M.; Fierro, Andres</t>
  </si>
  <si>
    <t>Understanding how environmental degradation, microclimate, and management shape honey production across different spatial scales</t>
  </si>
  <si>
    <t>ENVIRONMENTAL SCIENCE AND POLLUTION RESEARCH</t>
  </si>
  <si>
    <t>Although the abundance, survival, and pollination performance of honeybees are sensitive to changes in habitat and climate conditions, the processes by which these effects are transmitted to honey production and interact with beekeeping management are not completely understood. Climate change, habitat degradation, and beekeeping management affect honey yields, and may also interact among themselves resulting in indirect effects across spatial scales. We conducted a 2-year, multi-scale study on Chiloe Island (northern Patagonia), where we evaluated the most relevant environmental and management drivers of honey produced by stationary beekeepers. We found that the effects of microclimate, habitat, and management variables changed with the spatial scale. Among the environmental variables, minimum temperature, and cover of the invasive shrub, gorse (Ulex europaeus) had the strongest detrimental impacts on honey production at spatial scales finer than 4 km. Specialized beekeepers who adopted conventional beekeeping and had more mother colonies were more productive. Mean and minimum temperatures interacted with the percentage of mother colonies, urban cover, and beekeeping income. The gorse cover increased by the combination of high temperatures and the expansion of urban lands, while landscape attributes, such as Eucalyptus plantation cover, influenced beekeeping management. Results suggest that higher temperatures change the available forage or cause thermal stress to honeybees, while invasive shrubs are indicators of degraded habitats. Climate change and habitat degradation are two interrelated environmental phenomena whose effects on beekeeping can be mitigated through adaptive management and habitat restoration.</t>
  </si>
  <si>
    <t>Vergara, Pablo/F-2519-2010; Quiroz, Madelaine/ACG-9162-2022; Carvajal, Mario/GYU-2659-2022; Alaniz, Alberto/J-3104-2019</t>
  </si>
  <si>
    <t>0944-1344</t>
  </si>
  <si>
    <t>1614-7499</t>
  </si>
  <si>
    <t>10.1007/s11356-024-31913-1</t>
  </si>
  <si>
    <t>JAN 2024</t>
  </si>
  <si>
    <t>WOS:001153882900012</t>
  </si>
  <si>
    <t>Ordenes, EPH</t>
  </si>
  <si>
    <t>Ordenes, Estefania Paz Hermosilla</t>
  </si>
  <si>
    <t>The Sor-horrority of the Latin Monster: Visions of Fear from a Gender Perspective in Trabalhar cansa and As boas maneiras by Juliana Rojas, and O animal cordial by Gabriela Amaral Almeida</t>
  </si>
  <si>
    <t>This article aims to analyze fear from a gender perspective, through three horror films directed by women, Trabalhar cansa and As boas maneiras by Juliana Rojas and O animal cordial by Gabriela Amaral Almeida. The analysis seeks, on the one hand, to account for how fear is an experience with brands of gender, race, class, identity and sexuality that shape the way people live terror, and, on the other hand, in connection with the above, how contemporary horror cinema made by Latin American directors focuses on exploring the way women and dissidents experience and exercise terror. Both lines are analyzed from the Latin American context, in which terror emerges as a historical-cultural phenomenon that alludes to the colonial past of Latin America and the Caribbean. In this regard, the concept of sohorrority is proposed as a counterpart of sorority, which makes visible the forms of violence that women exercise against other women and dissidences and how this is the result of the privileges granted by the hetero-cis patriarchal capitalist system.</t>
  </si>
  <si>
    <t>10.5195/ct/2024.559</t>
  </si>
  <si>
    <t>WOS:001411013300011</t>
  </si>
  <si>
    <t>Kern, J; Marrero, D; Urrea, C</t>
  </si>
  <si>
    <t>Kern, John; Marrero, Dailin; Urrea, Claudio</t>
  </si>
  <si>
    <t>Fuzzy Control Strategies Development for a 3-DoF Robotic Manipulator in Trajectory Tracking</t>
  </si>
  <si>
    <t>This research delves into the development and evaluation of two distinct controllers for a 3-DoF robotic arm in the context of Industry 4.0. Two primary control strategies are presented in the study. The first is a Fuzzy Logic Controller that utilizes joint position error and its derivative as inputs, employing a set of 9 control knowledge rules. The second is an Adaptive Neuro-Fuzzy Inference System (ANFIS) Controller, trained to learn the inverse dynamic model of the robot through a structured dataset. The research emphasizes the importance of accurate parameter tuning and data acquisition to achieve optimal control system performance. Extensive experimentation was conducted to evaluate the controllers' performance in trajectory tracking and their response against external disturbances, such as load variations. The controllers exhibited remarkable precision and proficiency in tracking reference trajectories, with minimal deviations, overshoots, or oscillations. A quantitative analysis using performance indices such as root mean square error (RMSE) and the integral of the absolute value of the time-weighted error (ITAE) further confirmed the controllers' effectiveness. Notably, the ANFIS Controller consistently outperformed the Fuzzy Logic Controller, demonstrating superior precision in trajectory tracking. The study underscored the importance of selecting the right control method and obtaining high-quality training data. Challenges in parameter tuning for Fuzzy Logic Controllers and potential time constraints in training ANFIS were discussed. The findings have significant implications for advancing robotic control systems, particularly in the era of Industry 4.0.</t>
  </si>
  <si>
    <t>Marrero, Dailin/0009-0001-6095-8830; Urrea, Claudio/0000-0001-7197-8928</t>
  </si>
  <si>
    <t>10.3390/pr11123267</t>
  </si>
  <si>
    <t>WOS:001131353800001</t>
  </si>
  <si>
    <t>Yáñez, BN</t>
  </si>
  <si>
    <t>Yanez, Bernardo Navarrete</t>
  </si>
  <si>
    <t>Intergovernmental Relations in Chile</t>
  </si>
  <si>
    <t>The central, regional, provincial and local territorial model in Chile was designed and implemented under the authoritarian Pinochet regime in 1980 and remained unchanged for fifty years. The direct election of regional governors in 2021 and the rejected constitutional proposal of 2022 are generating a new road map in the discussion of Intergovernmental Relations (IGR). Through a review of the press and available literature, two scenarios that will influence this discussion are analyzed: the tension between the regional governor and the presidential delegate, and the model of autonomous territorial entities -regions, municipalities and indigenous communities- proposed by the Constituent Assembly.</t>
  </si>
  <si>
    <t>Navarrete Yanez, Bernardo/0000-0001-9186-3597</t>
  </si>
  <si>
    <t>10.1007/s11115-023-00716-2</t>
  </si>
  <si>
    <t>JUL 2023</t>
  </si>
  <si>
    <t>WOS:001026345100001</t>
  </si>
  <si>
    <t>Barbieri, S</t>
  </si>
  <si>
    <t>Barbieri, Sebastian</t>
  </si>
  <si>
    <t>APERIODIC SUBSHIFTS OF FINITE TYPE ON GROUPS WHICH ARE NOT FINITELY GENERATED</t>
  </si>
  <si>
    <t>PROCEEDINGS OF THE AMERICAN MATHEMATICAL SOCIETY</t>
  </si>
  <si>
    <t>We provide an example of a non-finitely generated group which admits a nonempty strongly aperiodic subshift of finite type. Furthermore, we completely characterize the groups with this property in terms of their finitely generated subgroups and the roots of their conjugacy classes.</t>
  </si>
  <si>
    <t>Barbieri, Sebastián/HTS-1654-2023</t>
  </si>
  <si>
    <t>0002-9939</t>
  </si>
  <si>
    <t>1088-6826</t>
  </si>
  <si>
    <t>10.1090/proc/16379</t>
  </si>
  <si>
    <t>WOS:001004285200001</t>
  </si>
  <si>
    <t>Javadi, M; Flores, EIS; Yanez, SJ; Avudaiappan, S; Pina, JC; Guzmán, CF</t>
  </si>
  <si>
    <t>Javadi, Masoud; Saavedra Flores, Erick I.; Yanez, Sergio J.; Avudaiappan, Siva; Pina, Juan C.; Guzman, Carlos F.</t>
  </si>
  <si>
    <t>Investigation of the Influence of Design Parameters on the Strength of Steel-Concrete Composite Shear Walls by Finite Element Simulations</t>
  </si>
  <si>
    <t>BUILDINGS</t>
  </si>
  <si>
    <t>In this paper, the influence of design parameters on the strength of steel-concrete composite shear walls is investigated by means of finite element (FE) simulations. The shear wall typology studied in this paper consists of multiple composite plate shear wall-concrete encased on one or both sides of the plates. The FE models include contact technology to capture debonding between concrete and steel, tensile cracking in concrete, and large deflection theory involving local instabilities. Some design parameters considered in this work are the height-to-width ratio of the steel plates and their thickness, number of steel plates, the cross-section of the columns, and the height-to-width ratio of the shear wall. Furthermore, a sensitivity analysis of the normalised shear strength per unit cost of structure for these design parameters is also studied. Our numerical predictions are validated successfully with experimental data reported in the literature, revealing the predictive capabilities of the model. The present results provide further insight into the structural behavior of steel-concrete composite shear walls and pave the way for the future development of more efficient and innovative steel-concrete composite systems.</t>
  </si>
  <si>
    <t>javadi, masoud/K-5625-2019; Flores, Erick/I-7646-2012; Guzmán, Carlos/JFB-1616-2023; Pina, Juan/AAC-3455-2021; Avudaiappan, Siva/AAV-7579-2021; Yanez, Sergio/G-5230-2019; Guzman, Carlos Felipe/D-7722-2013</t>
  </si>
  <si>
    <t>Pina, Juan Carlos/0000-0003-2556-3638; AVUDAIAPPAN, SIVA/0000-0002-4289-4298; Yanez, Sergio/0000-0002-8856-0955; Guzman, Carlos Felipe/0000-0002-5537-3854</t>
  </si>
  <si>
    <t>2075-5309</t>
  </si>
  <si>
    <t>10.3390/buildings13010187</t>
  </si>
  <si>
    <t>WOS:000917436800001</t>
  </si>
  <si>
    <t>Rossi, C</t>
  </si>
  <si>
    <t>Rossi, Carlo</t>
  </si>
  <si>
    <t>ENDURANTISM AND SPATIO-TEMPORAL EXTENSION</t>
  </si>
  <si>
    <t>According to the extended characterization of the debate between endurantists and perdurantists, material objects persist temporally either by virtue of being fully present at different moments in time, or by virtue of possessing temporal parts at different moments in time. The present paper sets out to make a defense of the endurantist theory from the objections raised by Barker and Dowe (2003; 2005) and Hofweber and Velleman (2011). Those objections attempt to show that Endurantism (i) logically assumes the characteristic thesis of perdurantist theory and (ii) is internally inconsistent. Against these objections, I argue that at least in some of its versions, Endurantist theory is perfectly coherent and assumes no commitment to the existence of temporal parts.</t>
  </si>
  <si>
    <t>2011-3668</t>
  </si>
  <si>
    <t>10.15446/ideasyvalores.v72n183.91210</t>
  </si>
  <si>
    <t>WOS:001190409700014</t>
  </si>
  <si>
    <t>Gamboa, J; Méndez, F</t>
  </si>
  <si>
    <t>Gamboa, J.; Mendez, F.</t>
  </si>
  <si>
    <t>Supersymmetric quantum mechanics of continuous topological insulators</t>
  </si>
  <si>
    <t>In this paper, we construct a class of quantum systems in a space continuum inspired by results from topological insulator physics. Instead of adding spin-orbit coupling terms suggested by time-reversal invariance as in conventional topological insulators, the terms L.S are determined using supersymmetry as a starting point. This procedure not only restricts the number of possible continuous topological insulators models, but also provides a systematic way to find new continuous topological insulators models. Some explicit quantum mechanical examples are discussed and applications to dark matter physics are also outlined.</t>
  </si>
  <si>
    <t>OCT 20</t>
  </si>
  <si>
    <t>28-29</t>
  </si>
  <si>
    <t>10.1142/S0217751X22501822</t>
  </si>
  <si>
    <t>WOS:000894448800001</t>
  </si>
  <si>
    <t>Castro, SA; Jerez, E</t>
  </si>
  <si>
    <t>Castro, Sergio A.; Jerez, Edith</t>
  </si>
  <si>
    <t>The fruit-color polymorphism in Gaultheria mucronata (L.f.) Hook. &amp;Arn. does not affect predispersive germination</t>
  </si>
  <si>
    <t>GAYANA BOTANICA</t>
  </si>
  <si>
    <t>The germinative dynamics of Gaultheria mucronata (L.f.) Hook. &amp; Arn. seeds from fruits of different colors were compared. Seeds from white, pink and dark-pink fruits were subjected to germination trials, evaluating the final germination percentage, accumulated germination percentage and the mean germination period (T-50). The results did not show statistically significant differences between the treatments, implying that the fruit color polymorphism does not show differences in the germinative behavior analyzed here.</t>
  </si>
  <si>
    <t>0016-5301</t>
  </si>
  <si>
    <t>0717-6643</t>
  </si>
  <si>
    <t>WOS:000976641300002</t>
  </si>
  <si>
    <t>Constitutive formulations for non-colloidal suspensions</t>
  </si>
  <si>
    <t>This work is a comprehensive overall view of a complex field still far from being settled on firm grounds, that of the constitutive structure of non-colloidal suspensions. Suspensions in industrial manufacturing processes are prevalent across a spectrum of diverse industries. It is critically important that the behavior of non-colloidal suspensions under forcing is predicted on a sound basis from an industrial operational point of view not to mention the fundamental scientific significance, thus the raison d'etre of the present work, a comprehensive up-to-date review of constitutive equations formulated to describe the flow of suspensions either dilute or dense under driving forces. This review only takes up the formulation of constitutive structures for non-colloidal suspensions and does not get into the rheology of suspensions per se. Thus, it is substantially more comprehensive in that sense than other reviews, which may have been published over the last two decades. It is also written not only for researchers in the field, but for those in related fields as well who may find it interesting, useful and related to their own research. Efforts have not been spared to be thorough in the presentation with commentaries about the successes and failures of each theory in their historical context and the reasons behind them. The link between different theories and the naturally unfolding succession of theories over time borne out of the necessity for better predictions as well as the challenges in the field at this time are given much emphasis at the expanse of a detailed in-depth account of various theories. For a detailed in-depth exposition, the reader is referred to the extensive reference list. (c) 2022 Elsevier B.V. All rights reserved.</t>
  </si>
  <si>
    <t>JUN 1</t>
  </si>
  <si>
    <t>10.1016/j.molliq.2022.118786</t>
  </si>
  <si>
    <t>WOS:000798811500001</t>
  </si>
  <si>
    <t>Vargas, JP; Lagos, APM; Torres, JGF; Kinney, IS; Cortés, SP; Hurtado, JP</t>
  </si>
  <si>
    <t>Pablo Vargas, Juan; Munoz Lagos, Angelica Patricia; Feriz Torres, Jose Guillermo; Scott Kinney, Ian; Perez Cortes, Sebastian; Pablo Hurtado, Juan</t>
  </si>
  <si>
    <t>Achieving Circularity through Novel Product-Service Systems in the Mining Industry: An Opportunity for Circularity</t>
  </si>
  <si>
    <t>The evolution toward sustainable mining can be achieved by implementing circular economies (CEs), and one way forward is via product-service systems (PSSs). However, applying PSSs in the mining industry is an area with little extant research. We seek to contribute to CE and sustainability research by proposing a model by which mining companies can achieve circularity through their suppliers: something which has not yet been explored. First, we present a critical literature review of published papers about the barriers and benefits in industries where servitization or PSS has been applied. We discuss barriers impeding PSS implementation in the mining industry, along with related concepts including CE and PSSs in digital technologies. With this study we hope to draw more discussion to the topic of PSSs in the mining industry and provide useful guidelines to academics and industry professionals for PSS implementation in mining: an important step toward circularity.</t>
  </si>
  <si>
    <t>Kinney, Ian/JZT-4599-2024; Hurtado Cruz, Juan Pablo/K-2568-2013; Vargas, Juan Pablo/N-2185-2015</t>
  </si>
  <si>
    <t>Munoz, Angelica Patricia/0000-0002-0173-2292; Kinney, Ian Scott/0000-0002-7037-6797; Perez Cortes, Sebastian Alexander/0000-0003-0366-1747; Hurtado Cruz, Juan Pablo/0000-0001-7602-8278; Feriz, Jose/0000-0003-4488-041X; Vargas, Juan Pablo/0000-0002-0783-0221</t>
  </si>
  <si>
    <t>10.3390/su14063614</t>
  </si>
  <si>
    <t>WOS:000774292400001</t>
  </si>
  <si>
    <t>Torregrosa, MC</t>
  </si>
  <si>
    <t>Torregrosa, Marcela Contreras</t>
  </si>
  <si>
    <t>Anglicisms in the new media. Current trends</t>
  </si>
  <si>
    <t>10.7764/onomazein.55.14</t>
  </si>
  <si>
    <t>WOS:000792304000001</t>
  </si>
  <si>
    <t>Oyarce, E; Roa, K; Boulett, A; Salazar-Marconi, P; Sánchez, J</t>
  </si>
  <si>
    <t>Oyarce, Estefania; Roa, Karina; Boulett, Andres; Salazar-Marconi, Paula; Sanchez, Julio</t>
  </si>
  <si>
    <t>Removal of lithium ions from aqueous solutions by an ultrafiltration membrane coupled to soluble functional polymer</t>
  </si>
  <si>
    <t>SEPARATION AND PURIFICATION TECHNOLOGY</t>
  </si>
  <si>
    <t>In this research, the separation and concentration of lithium ions (Li+) from the aqueous solution was studied by the liquid-phase polymer-based retention technique (LPR) using poly(sodium styrene sulfonate) (PSSNa), poly (potassium sulfopropylacrylate) (PSPAK) and poly(sodium acrylate) (PAS). These polymers were characterized by Fourier transform spectroscopy and thermogravimetric analysis, corroborating their correct formation. In addition, the ability to remove Li+ from water was studied, as a function of the amount of polymer, the pH of the solution and the initial concentration of Li+. The study of isotherms and the removal of Li+ in the presence of interferents was also carried out. Finally, the reuse of the polymer was evaluated in consecutive adsorption-desorption cycles. Based on the obtained results, it was determined that a polymer: metal molar ratio of 20: 1 at pH 5.7, was the most suitable for use in the LPR process. A Li+ removal efficiency (% R) of more than 80% was obtained. Among the polymers studied, PSPAK is the water-soluble polymer with the highest % R of Li+ and it achieves adequate permeation flux during LPR experiments (43.2 L h(-1)m(-2)). The experimental data obtained from the removal of Li+ were better adjusted to the Freundlich isothermal model. On the other hand, using 1:20Li(+):interfering ion molar ratio, the Li+ removal efficiency of the LPR process decreases to 40% for Na+ or K+ and decreased to 20% for Mg2+ interfering ions. The polymer can be reused up to the fourth consecutive cycle, reaching a removal efficiency of 46%.</t>
  </si>
  <si>
    <t>Sanchez, Julio/AEO-4360-2022</t>
  </si>
  <si>
    <t>1383-5866</t>
  </si>
  <si>
    <t>1873-3794</t>
  </si>
  <si>
    <t>MAY 1</t>
  </si>
  <si>
    <t>10.1016/j.seppur.2022.120715</t>
  </si>
  <si>
    <t>FEB 2022</t>
  </si>
  <si>
    <t>WOS:000780429600002</t>
  </si>
  <si>
    <t>Muñoz-Shuguli, C; Rodriguez-Mercado, F; Mascayano, C; Herrera, A; Bruna, JE; Guarda, A; Galotto, MJ</t>
  </si>
  <si>
    <t>Munoz-Shuguli, Cristina; Rodriguez-Mercado, Francisco; Mascayano, Carolina; Herrera, Andrea; Bruna, Julio E.; Guarda, Abel; Galotto, Maria J.</t>
  </si>
  <si>
    <t>Development of Inclusion Complexes With Relative Humidity Responsive Capacity as Novel Antifungal Agents for Active Food Packaging</t>
  </si>
  <si>
    <t>FRONTIERS IN NUTRITION</t>
  </si>
  <si>
    <t>Background: Allyl isothiocyanate is an excellent antimicrobial compound that has been applied in the development of active food packaging materials in the last years. However, the high volatility of this compound could prevent a lasting effect over time. In order to avoid this problem, cyclodextrin inclusion complexes have been proposed as an alternative, being beta-cyclodextrin (beta-CD) as the main candidate. In addition, beta-CD could act as a relative humidity-responsive nanoparticle. In this regard, the aim of this study was to develop inclusion complexes based on beta-CD and AITC as relative humidity-responsive agents, which can be used in the design of active food packaging materials.Methods: Two different beta-CD:AITC inclusion complexes (2:1 and 1:1 molar ratios) were obtained by the co-precipitation method. Entrapment efficiency was determined by gas chromatography, while inclusion complexes were characterized through thermal, structural, and physicochemical techniques. Antifungal capacity of inclusion complexes was determined in a headspace system. Furthermore, the AITC release from inclusion complexes to headspace at different percentages of relative humidity was evaluated by gas chromatography, and this behavior was related with molecular dynamic studies.Key Findings and Conclusions: The entrapment efficiency of inclusion complexes was over to 60%. Two coexisting structures were proposed for inclusion complexes through spectroscopic analyses and molecular dynamic simulation. The water sorption capacity of inclusion complexes depended on relative humidity, and they exhibited a strong fungicide activity against Botrytis cinerea. Furthermore, the AITC release to headspace occurred in three stages, which were related with changes in beta-CD conformational structure by water sorption and the presence of the different coexisting structures. In addition, a strong influence of relative humidity on AITC release was evidenced. These findings demonstrate that beta-CD:AITC inclusion complexes could be used as potential antifungal agents for the design of food packaging materials, whose activity would be able to respond to relative humidity changes.</t>
  </si>
  <si>
    <t>bruna, julio/AAM-6867-2021; Muñoz-Shugulí, Cristina/AAO-4231-2020; Rodríguez, Francisco/I-5283-2018</t>
  </si>
  <si>
    <t>Rodriguez-Mercado, Francisco/0000-0002-0530-6653; Bruna, Julio E./0000-0001-9656-6022; Munoz Shuguli, Cristina Alejandra/0000-0003-0052-7411; Mascayano Collado, Carolina Lorena/0000-0002-3488-9309</t>
  </si>
  <si>
    <t>2296-861X</t>
  </si>
  <si>
    <t>JAN 4</t>
  </si>
  <si>
    <t>10.3389/fnut.2021.799779</t>
  </si>
  <si>
    <t>WOS:000745713600001</t>
  </si>
  <si>
    <t>Pizarro, MC</t>
  </si>
  <si>
    <t>Pizarro, Maria Carolina</t>
  </si>
  <si>
    <t>Human Rights, Gender, Culture: topics to continue promoting from Advanced Studies</t>
  </si>
  <si>
    <t>WOS:000740026400001</t>
  </si>
  <si>
    <t>Mery, CJ</t>
  </si>
  <si>
    <t>Jorquera Mery, Constanza</t>
  </si>
  <si>
    <t>The Tianxia system as the key link between China and Latin America</t>
  </si>
  <si>
    <t>After the end of the Cold War, the reordering of the international system led to the emergence of proposals for global governance that were broader than those determined by the West. In this context and in China, the Tianxia system has gained notoriety as an alternative to non-Western theories of international relations and as a new framework for global governance. This article aims to analyse this system in terms of the development of Chinese foreign policy, testing its conceptual applicability in the relationship between China and Latin America through interregional cooperation, understood as a conceptual and theoretical framework of international relations that has led to progress being made in terms of dialogue and mutual knowledge. Latin America has been inserted in the Tianxia system through the Belt and Road Initiative, which is based on the contemporary reinterpretation of the Tianxia order: the Chinese concept of how the world should be organised based on a tax system, which established an international hierarchical order that brought many peoples to the Chinese imperial court.</t>
  </si>
  <si>
    <t>WOS:000741082700009</t>
  </si>
  <si>
    <t>G. E. MOORE ON CONCEPTS AND JUDGMENT*</t>
  </si>
  <si>
    <t>ANALISIS FILOSOFICO</t>
  </si>
  <si>
    <t>In The Nature of Judgment (1899),G. E.Moore defends the strange thesis according to which [i]t seems necessary. to regard the world as formed of concepts. Philosophers have offered distinct understandings of this proposal, in particular of what Moorean concepts really are. In this article I discuss and reject three of them: one, according to which Moorean concepts are universals within the framework of a bundle theory of concrete particulars (Nelson, 1962; Baldwin, 1990); a second one, according to which Moorean concepts are particulars within a mereological framework of analysis (Bell, 1999); and a third one, according to which Moorean concepts are a sui generis category, resulting from his alleged rejection of the substance (particular)/attribute (universal) distinction (MacBride, 2018). I end by defending my own understanding, which highlights the openly Platonic stance of the young G. E. Moore.</t>
  </si>
  <si>
    <t>0326-1301</t>
  </si>
  <si>
    <t>1851-9636</t>
  </si>
  <si>
    <t>10.36446/af.2021.357</t>
  </si>
  <si>
    <t>WOS:000672813100004</t>
  </si>
  <si>
    <t>Ramirez, LDB</t>
  </si>
  <si>
    <t>Briceno Ramirez, Laura De la Luz</t>
  </si>
  <si>
    <t>The Cultural Debate in the Popular Unitiy: a Prior Question</t>
  </si>
  <si>
    <t>This article aims to examine where the conceptualizations and ideas expressed in the cultural debate of the Unidad Popular come from, specifying in the case of the proposal of the writer Enrique Lihn, who during this government acted as an intellectual committed to the socialist project. It is proposed that the practices of sociability of the writers in the 1960s, made possible the formation of a Latin American intellectual network, which produced and put into circulation, from a heterodox Marxism, the social function of literature, the commitment of the writer and the needs to create social and cultural conditions for the people to lead the process of social change. We share the idea that Salvador Allende's government represents the culmination of a series of intellectual processes in which the problem of culture in Latin America was thought of and Enrique Lihn's proposal, for the case of Chile, shows the action of writers as collective actors in the cultural and political field, willing to argue their proposals with the revolutionary government.</t>
  </si>
  <si>
    <t>10.7203/KAM.17.17628</t>
  </si>
  <si>
    <t>WOS:000680725300003</t>
  </si>
  <si>
    <t>Contreras, ML; Villarroel, I; Rozas, R</t>
  </si>
  <si>
    <t>Arai, K</t>
  </si>
  <si>
    <t>Leonor Contreras, M.; Villarroel, Ignacio; Rozas, Roberto</t>
  </si>
  <si>
    <t>Automated Generation of Zigzag Carbon Nanotube Models Containing Haeckelite Defects</t>
  </si>
  <si>
    <t>INTELLIGENT COMPUTING, VOL 2</t>
  </si>
  <si>
    <t>Lecture Notes in Networks and Systems</t>
  </si>
  <si>
    <t>Computing Conference</t>
  </si>
  <si>
    <t>JUL 15-16, 2021</t>
  </si>
  <si>
    <t>Carbon nanotubes, CNTs, are a valuable material with applications in areas such as electronics, mechanics, optics and biomedicine, where they have great potential in the diagnosis and treatment of cancer, due to their ease of functionalization and their size that allows them traverse biological membranes and anchor on cancerous tumors. Regular CNTs have six-membered rings. According to their ordering or chirality, armchair, chiral and zigzag CNTs are known, with different properties. There are also CNTs that contain four-, five-, seven- and eight-membered rings called defects such as bumpy, haeckelite (Hk), and Stone- Wales (SW) defects. Defects modify the properties of CNTs. For example, zigzag CNTs with bumpy defects exhibit stronger interactions with the anticancer drug doxorubicin, DOX, than regular CNTs, facilitating drug transport to tumors. Designing defective CNTs as drug delivery systems would benefit from calculating DOX-CNT binding energies for CNTs of different chirality and with different defects placed at different positions, in an artificial intelligence approach. Such a systematic study requires the automated generation of defective CNTs. That is the goal of this work focusing now on zigzag CNTs with Hk defects. It starts from the step-by-step generation of the regular nanotube, leaving the positions where the defect will be inserted marked. Then a pair of carbon atoms is inserted and the corresponding bonds are completed, which ends with a quick optimization to visualize the nanotube structure. For this, a tcl script was developed with outputs compatible with many calculation methods and with possibilities of extension to other systems.</t>
  </si>
  <si>
    <t>2367-3370</t>
  </si>
  <si>
    <t>2367-3389</t>
  </si>
  <si>
    <t>978-3-030-80126-7; 978-3-030-80125-0</t>
  </si>
  <si>
    <t>10.1007/978-3-030-80126-7_28</t>
  </si>
  <si>
    <t>WOS:000839363100028</t>
  </si>
  <si>
    <t>Hecerg, JS</t>
  </si>
  <si>
    <t>Santos Hecerg, Jose</t>
  </si>
  <si>
    <t>UNIVERSITY AND ACADEMIC PERFORMANCE. DISTORTIONS AND ANOMALIES OF THE EVALUATIVE CULTURE IN CHILE</t>
  </si>
  <si>
    <t>This text presents a critical approach to the evaluative culture currently present in most Chilean universities. This is done by analyzing the system of evaluation of the academic performance, particularly regarding research and publication. It is argued that there are distortions or anomalies caused by this system with regards to writing, the academic faculty and academic work which have had negative consequences on the development of university activity.</t>
  </si>
  <si>
    <t>10.29393/At522-101UDJS10101</t>
  </si>
  <si>
    <t>WOS:000604274300009</t>
  </si>
  <si>
    <t>Cortés, CP</t>
  </si>
  <si>
    <t>Pizarro Cortes, Carolina</t>
  </si>
  <si>
    <t>Gonzalo Rojas' Particular Language</t>
  </si>
  <si>
    <t>This article approaches the poetry of Gonzalo Rojas with the aim of entering the poet's workshop. It is maintained that, of the multiple original aspects of Gonzalo Rojas' work, there are three axial characteristics in his poetic language, composed by precise and recurrent style features. These characteristics are: (1) the use of the verses as manifestations of breakage and not of syntactic unity, whose main resource is enjambement; (2) the abundance of neologisms produced according to the compositional norms of Spanish, and, finally (3) the formulation of a sort of metaphorical/symbolic vocabulary generated from the repetition of images. Although these features are not exclusive to Rojas' work, since they are resources common to a wide range of poetic works, the twist that the poet gives them is. Moreover, their functioning as a whole enhances the originality of the author's disruptive poetic style.</t>
  </si>
  <si>
    <t>10.35588/rea.v1i33.4667</t>
  </si>
  <si>
    <t>WOS:000581929300002</t>
  </si>
  <si>
    <t>Plyushchay, MS</t>
  </si>
  <si>
    <t>Plyushchay, M. S.</t>
  </si>
  <si>
    <t>Exotic Nonlinear Supersymmetry and Integrable Systems</t>
  </si>
  <si>
    <t>PHYSICS OF PARTICLES AND NUCLEI</t>
  </si>
  <si>
    <t>Peculiar properties of many classical and quantum systems can be related to, or derived from those of a free particle. In this way we explain the appearance and peculiarities of the exotic nonlinear Poincare supersymmetry in reflectionless and finite-gap quantum systems related to the Korteweg-de Vries equation. The same approach is used to explain the origin and the nature of nonlinear symmetries in the perfectly invisible PT-regularized conformal and superconformal mechanics systems.</t>
  </si>
  <si>
    <t>1063-7796</t>
  </si>
  <si>
    <t>1531-8559</t>
  </si>
  <si>
    <t>10.1134/S1063779620040589</t>
  </si>
  <si>
    <t>WOS:000570213600037</t>
  </si>
  <si>
    <t>Ramírez, L; Sáez, C; Matiacevich, S</t>
  </si>
  <si>
    <t>Ramirez, Lina; Saez, Carlos; Matiacevich, Silvia</t>
  </si>
  <si>
    <t>New methodology to measure in vivo permeance on blueberry (Vaccinium corymbosum) skin: A correlation to quality during storage</t>
  </si>
  <si>
    <t>POSTHARVEST BIOLOGY AND TECHNOLOGY</t>
  </si>
  <si>
    <t>A new methodology to measure the in vivo water permeance (P-w) of the blueberry cuticle, and its correlation with blueberry quality parameters during storage is presented. Physical surface properties [contact angle (theta), surface free energy (gamma(SV)), drop volume (V-d) and P-w] along with quality parameters (soluble solids, firmness, moisture content, and percentages of shriveled blueberries and blueberries with molds) were determined at different storage times. Neither theta nor gamma(SV) changed significantly, showing that the cuticle composition did not changed. Additionally, V-d decreased linearly over time, indicating that P-w was constant during the measurement; furthermore, P-w magnitude decreased after 7 days of storage, indicating a structural change in the cuticle. Although soluble solids, firmness and moisture content did not change during the storage, the percentages of shriveled blueberries and blueberries with molds increased significantly, and both were correlated with P-w change. Therefore, this new methodology can be used to measure blueberries quality.</t>
  </si>
  <si>
    <t>Ramirez, Lina/KBQ-8071-2024</t>
  </si>
  <si>
    <t>0925-5214</t>
  </si>
  <si>
    <t>1873-2356</t>
  </si>
  <si>
    <t>10.1016/j.postharvbio.2019.04.020</t>
  </si>
  <si>
    <t>WOS:000508912000006</t>
  </si>
  <si>
    <t>Román, J; González, D; Inostroza-Ponta, M; Mahn, A</t>
  </si>
  <si>
    <t>Roman, Juan; Gonzalez, Dorian; Inostroza-Ponta, Mario; Mahn, Andrea</t>
  </si>
  <si>
    <t>Molecular Modeling of Epithiospecifier and Nitrile-Specifier Proteins of Broccoli and Their Interaction with Aglycones</t>
  </si>
  <si>
    <t>Glucosinolates are secondary plant metabolites of Brassicaceae. They exert their effect after enzymatic hydrolysis to yield aglycones, which become nitriles and epithionitriles through the action of epithiospecifier (ESP) and nitrile-specifier proteins (NSP). The mechanism of action of broccoli ESP and NSP is poorly understood mainly because ESP and NSP structures have not been completely characterized and because aglycones are unstable, thus hindering experimental measurements. The aim of this work was to investigate the interaction of broccoli ESP and NSP with the aglycones derived from broccoli glucosinolates using molecular simulations. The three-dimensional structure of broccoli ESP was built based on its amino-acid sequence, and the NSP structure was constructed based on a consensus amino-acid sequence. The models obtained using Iterative Threading ASSEmbly Refinement (I-TASSER) were refined with the OPLS-AA/L all atom force field of GROMACS 5.0.7 and were validated by Veryfy3D and ERRAT. The structures were selected based on molecular dynamics simulations. Interactions between the proteins and aglycones were simulated with Autodock Vina at different pH. It was concluded that pH determines the stability of the complexes and that the aglycone derived from glucoraphanin has the highest affinity to both ESP and NSP. This agrees with the fact that glucoraphanin is the most abundant glucosinolate in broccoli florets.</t>
  </si>
  <si>
    <t>Inostroza-Ponta, Mario/G-7548-2012; Roman, Juan/AAA-1689-2019</t>
  </si>
  <si>
    <t>Mahn, Andrea/0000-0001-6082-0279; Inostroza-Ponta, Mario/0000-0003-1295-8972; Roman Aliste, Juan Ismael/0000-0002-9505-0953</t>
  </si>
  <si>
    <t>FEB 2</t>
  </si>
  <si>
    <t>10.3390/molecules25040772</t>
  </si>
  <si>
    <t>WOS:000522454500008</t>
  </si>
  <si>
    <t>Llorca-Jaña, M; Navarrete-Montalvo, J; Araya-Valenzuela, R; Droller, F</t>
  </si>
  <si>
    <t>Llorca-Jana, Manuel; Navarrete-Montalvo, Juan; Araya-Valenzuela, Roberto; Droller, Federico</t>
  </si>
  <si>
    <t>THE PHYSICAL STATURE OF MEN IN 19TH-CENTURY CHILE: ANOTHER CASE OF STAGNATION DURING AN EXPORT BOOM</t>
  </si>
  <si>
    <t>REVISTA DE HISTORIA ECONOMICA</t>
  </si>
  <si>
    <t>This article provides the first series of adult male height for 19(th)-century Chile. Our aim was not only to assess the trends indicated by height during this period, but also the relationship between stature and both GDP per capita and exports. Having analysed our data, our primary conclusion is that there was a reduction in height for cohorts born in the 1850s and 1860s with respect to cohorts born between 1820 and 1840. Height stagnated thereafter, with small to no improvement towards the end of the 19(th) century, in line with other Latin American countries for which there is comparable evidence. The increase in per capita GDP and exports during the second half of the century did not result in better biological welfare, as was the case in other Latin American countries during similar export booms.</t>
  </si>
  <si>
    <t>Droller, Federico/S-7630-2019; Llorca-Jaña, Manuel/AAB-9317-2020</t>
  </si>
  <si>
    <t>0212-6109</t>
  </si>
  <si>
    <t>2041-3335</t>
  </si>
  <si>
    <t>PII S0212610918000198</t>
  </si>
  <si>
    <t>10.1017/S0212610918000198</t>
  </si>
  <si>
    <t>WOS:000484280000003</t>
  </si>
  <si>
    <t>Cecchi, P; Cortez, MI</t>
  </si>
  <si>
    <t>Cecchi, Paulina; Isabel Cortez, Maria</t>
  </si>
  <si>
    <t>Invariant measures for actions of congruent monotileable amenable groups</t>
  </si>
  <si>
    <t>GROUPS GEOMETRY AND DYNAMICS</t>
  </si>
  <si>
    <t>In this paper we show that for every congruent monotileable amenable group G and for every metrizable Choquet simplex K, there exists a minimal G-subshift, which is free on a full measure set, whose set of invariant probability measures is affine homeomorphic to K. If the group is virtually abelian, the subshift is free. Congruent monotileable amenable groups are a generalization of amenable residually finite groups. In particular, we show that this class contains all the infinite countable virtually nilpotent groups. This article is a generalization to congruent monotileable amenable groups of one of the principal results shown in [3] for residually finite groups.</t>
  </si>
  <si>
    <t>Cecchi Bernales, Paulina/0009-0002-3669-6081; Cortez, Maria Isabel/0000-0002-1819-032X</t>
  </si>
  <si>
    <t>1661-7207</t>
  </si>
  <si>
    <t>1661-7215</t>
  </si>
  <si>
    <t>10.4171/GGD/506</t>
  </si>
  <si>
    <t>WOS:000484372000003</t>
  </si>
  <si>
    <t>González-Ibáñez, R; Márquez, C; Gacitua, D</t>
  </si>
  <si>
    <t>Gonzalez-Ibanez, Roberto; Marquez, Camila; Gacitua, Daniel</t>
  </si>
  <si>
    <t>StArE.js: An extensible open source toolkit for visualizing search engine results</t>
  </si>
  <si>
    <t>2019 38TH INTERNATIONAL CONFERENCE OF THE CHILEAN COMPUTER SCIENCE SOCIETY (SCCC)</t>
  </si>
  <si>
    <t>38th International Conference of the Chilean-Computer-Science-Society (SCCC)</t>
  </si>
  <si>
    <t>NOV 04-09, 2019</t>
  </si>
  <si>
    <t>Univ Concepcion, Concepcion, CHILE</t>
  </si>
  <si>
    <t>Chilean Comp Sci Soc</t>
  </si>
  <si>
    <t>Univ Concepcion</t>
  </si>
  <si>
    <t>Today, the leading presentation style of search engine results is a vertical list of text surrogates. Despite its wide adoption by search companies, this representation may not be suitable for all search tasks. Alternatively, visualizations can be used to create enriched surrogates of search results and at the same time exploit the advantages of human vision. Despite the potential benefits of visualizations, their implementation with current technologies either for research or actual applications can be complex and expensive. To tackle this problem, we introduce StArE.js, an extensible open source visualization package for Node.js to ease the process to implement and deploy visualization of search results. We demonstrate its effectiveness by contrasting the implementation of a visual representation of search results using Stare.js and a well-known visualization library. Our preliminary findings suggest that Stare.js can contribute to reduce the required effort to build visualizations of search results.</t>
  </si>
  <si>
    <t>Márquez, Camila/ITT-1306-2023</t>
  </si>
  <si>
    <t>978-1-7281-5613-2</t>
  </si>
  <si>
    <t>10.1109/sccc49216.2019.8966442</t>
  </si>
  <si>
    <t>WOS:000540055800050</t>
  </si>
  <si>
    <t>Soriano, JR</t>
  </si>
  <si>
    <t>Reyes Soriano, Jaime</t>
  </si>
  <si>
    <t>Transitions and breaks in the Communist Party of Chile, 1980-1987</t>
  </si>
  <si>
    <t>AYER</t>
  </si>
  <si>
    <t>This article examines the position of the Communist Party of Chile with respect to the role of violence, and the power of the military, in the years of the politics of popular rebellion. By examining party publications, it is clear that the analysis and theory around these two topics underwent changes. The transformation of the national political scene led to an increasingly strained relationship between moderates and radicals. On the one hand, the overall aim of the struggle against the dictatorship of Augusto Pinochet was to restore democracy; on the other hand, some worked to implement a more advanced and socialist regime.</t>
  </si>
  <si>
    <t>1134-2277</t>
  </si>
  <si>
    <t>WOS:000462946000011</t>
  </si>
  <si>
    <t>Aravena, AM</t>
  </si>
  <si>
    <t>Menanteau Aravena, Alvaro</t>
  </si>
  <si>
    <t>IN MEMORIAM Vicente Bianchi Alarcon (Santiago de Chile, January 27, 1920 - Santiago, Chile, September 24, 2018), Pianist</t>
  </si>
  <si>
    <t>WOS:000456285600017</t>
  </si>
  <si>
    <t>García, AR</t>
  </si>
  <si>
    <t>Rodriguez Garcia, Arturo</t>
  </si>
  <si>
    <t>Building the to do from the uderstand</t>
  </si>
  <si>
    <t>The project do a technological intervention in classroom using active methodologies and robotic technology. Where the understand is center of intervention and the robotic is the way to obtain it. Its use fulfill a protagonic role inside of classroom and is become in a learning-teaching process instrument. The intervention is realized in two different semesters with same population size, age group and gender distribution. While it's doing registers of comprehension and dispersion in classroom.</t>
  </si>
  <si>
    <t>WOS:000480327100015</t>
  </si>
  <si>
    <t>Adasme, P</t>
  </si>
  <si>
    <t>Adasme, Pablo</t>
  </si>
  <si>
    <t>Visible light communication networks under ring and tree topology constraints</t>
  </si>
  <si>
    <t>COMPUTER STANDARDS &amp; INTERFACES</t>
  </si>
  <si>
    <t>In this paper, we propose new mixed integer linear programming (MILP) models in order to maximize the total capacity of a wireless visible light communication (VLC) network subject to power and ring (or tree) topology constraints. VLC has appeared as a new promising technology as it allows to transmit data in significantly higher orders of magnitude than traditional radio frequency (RF) methods [7,11]. Moreover, it allows to establish wireless communications where RF technologies cannot operate in optimal conditions such as in airplanes, hospitals, nuclear areas, underground mining, underwater communications and disaster and traffic management, to name a few. Consequently, it is expected that most of the current existing protocols that use RF methods will incorporate this new technology in the near future. We propose exponential and compact polynomial formulations that we obtain from the classic traveling salesman and spanning tree problems in order to characterize the ring and tree topology constraints in our models. For each of the proposed models, we obtain robust formulations in the form of a MILP problem [6]. Finally, we adapt an exact iterative procedure to solve the exponential models to optimality [1]. For the deterministic and robust ring models, we solve instances with up to 500 and 300 nodes to optimality, respectively. Then, we further propose a new relaxed version of the algorithm that allows to compute tight near optimal solutions for all the exponential models with up to 500 nodes. In general, the two algorithms obtain solutions in significantly less CPU time when compared to the compact models.</t>
  </si>
  <si>
    <t>Adasme, Pablo/0000-0003-2500-3294</t>
  </si>
  <si>
    <t>0920-5489</t>
  </si>
  <si>
    <t>1872-7018</t>
  </si>
  <si>
    <t>10.1016/j.csi.2016.12.004</t>
  </si>
  <si>
    <t>WOS:000396947200002</t>
  </si>
  <si>
    <t>Martínez-Gómez, F; Guerrrero, J; Matsuhiro, B; Pavez, J</t>
  </si>
  <si>
    <t>Martinez-Gomez, Fabian; Guerrrero, Juan; Matsuhiro, Betty; Pavez, Jorge</t>
  </si>
  <si>
    <t>In vitro release of metformin hydrochloride from sodium alginate/polyvinyl alcohol hydrogels</t>
  </si>
  <si>
    <t>CARBOHYDRATE POLYMERS</t>
  </si>
  <si>
    <t>Hydrogels, based on polysaccharides have found a number of applications as drug delivery carriers. In this work, hydrogels of full characterized sodium alginate (Mn 87,400 g/mol) and commercial poly(vinyl alcohol) (PVA) sensitive to pH and temperature stimuli were obtained using a simple, controlled, green, low cost method based on freeze-thaw cycles. Stable hydrogels of sodium alginate/PVA with 0.5:1.5 and 1.0:1.0 w/v concentrations showed very good swelling ratio values in distilled water (14 and 20 g/g, respectively). Encapsulation and release of metformin hydrochloride in hydrogels of 1.0:1.0 NO, sodium alginate/PVA was followed by UV spectroscopy. The hydrogel released a very low amount of metformin hydrochloride at pH 1.2; the highest release value (55%) was obtained after 6 h at pH 8.0. Also, the release of metformin hydrochloride was studied by H-1 NMR spectroscopy, the temporal evolution of methyl group signals of metformin showed 30% of drug release after 3 h. (C) 2016 Elsevier Ltd. All rights reserved.</t>
  </si>
  <si>
    <t>; PAVEZ, JORGE/K-6904-2014</t>
  </si>
  <si>
    <t>Martinez, Fabian/0000-0001-5802-9816; PAVEZ, JORGE/0000-0002-5100-6707</t>
  </si>
  <si>
    <t>0144-8617</t>
  </si>
  <si>
    <t>1879-1344</t>
  </si>
  <si>
    <t>JAN 2</t>
  </si>
  <si>
    <t>10.1016/j.carbpol.2016.08.079</t>
  </si>
  <si>
    <t>WOS:000386402600020</t>
  </si>
  <si>
    <t>Roa, DG; Oróstica, HC</t>
  </si>
  <si>
    <t>Gonzalez Roa, Daniel; Chavez Orostica, Hector</t>
  </si>
  <si>
    <t>Towards Optimal Wind Power Plant Connecting Line Dimmensioning</t>
  </si>
  <si>
    <t>The integration of wind power into power systems has economic components that must be considered. In particular, the line connecting one the power plant with the electric system may present tradeoffs that needs to be analyzed. On one hand, the line can be dimensioned to carry the maximum capacity of the wind power plant; if the occurrence of maximum output from the resource has low probability, the line will be a significant part of the time underutilized. On the other hand, if the line is dimensioned with a capacity lower than the maximum output of the wind power plant, some energy generation will be curtailed. This work models the tradeoff between line underutilization and energy curtailment in terms of the line cost per unit of capacity, a valorization of energy curtailment, statistical modelling of the wind resource and models of the wind power plant. A method to find a cost-effective line dimension is presented. The challenges of a more systematic approach are also presented.</t>
  </si>
  <si>
    <t>WOS:000425925000053</t>
  </si>
  <si>
    <t>Sandoval-Soto, R; Villalobos-Cid, M; Inostroza-Ponta, M</t>
  </si>
  <si>
    <t>Sandoval-Soto, Roberto; Villalobos-Cid, Manuel; Inostroza-Ponta, Mario</t>
  </si>
  <si>
    <t>Tackling the Bi-Objective Quadratic Assignment Problem by characterizing different memory strategies in a Memetic Algorithm</t>
  </si>
  <si>
    <t>Several multi-objective evolutionary strategies have been successfully used to solve computationally complex optimization problems. The design contemplates many challenges: implementation of operators, parameterization, balance between genetic and local search operators, among others. The concept of memory appears implicitly in evolutionary strategies, since they retain the best characteristics of individuals throughout the generations. This work addresses the Bi-Objective Quadratic Assignment Problem (bQAP), characterizing the type of memory used in different heuristics, in order to maximize the performance in terms of solution coverage. Therefore, several heuristics have been proposed considering different search strategies, crossover and local search operators. The results show that a combination of memory strategies applied by memetic algorithms, increases the performance metrics. Although it was not possible to identify a memory strategy that obtains the best performance for all instances, it was possible to establish which of them contribute in the search of solutions considering the instances size.</t>
  </si>
  <si>
    <t>Villalobos-Cid, Manuel/AFK-0866-2022; Inostroza-Ponta, Mario/G-7548-2012</t>
  </si>
  <si>
    <t>Inostroza-Ponta, Mario/0000-0003-1295-8972; Villalobos-Cid, Manuel/0000-0002-1145-2016</t>
  </si>
  <si>
    <t>WOS:000455184200034</t>
  </si>
  <si>
    <t>Bozzoli, CG</t>
  </si>
  <si>
    <t>Bozzoli, Carlos G.</t>
  </si>
  <si>
    <t>Orphanhood and fertility in young. adults: Evidence from South Africa</t>
  </si>
  <si>
    <t>ECONOMICS &amp; HUMAN BIOLOGY</t>
  </si>
  <si>
    <t>I study the relation between orphanhood and fertility patterns in young adults using a longitudinal survey from the city of Cape Town, South Africa. The data set combines two survey waves with a year-by-year life history calendar that records key outcomes (e.g., schooling, work, fertility). It also provides information on so-called 'parental investments' (time and material support), family background, and literacy and numeracy test scores. I find that orphans exhibit significantly higher rates of teenage pregnancy. In particular, teenage motherhood is 19% points more likely among (female) orphans. These results suggest that orphanhood may leave a long-lasting 'imprint' in terms of premature fertility, especially in teenage females. (C) 2016 Elsevier B.V. All rights reserved.</t>
  </si>
  <si>
    <t>Bozzoli, Carlos/AGM-6733-2022</t>
  </si>
  <si>
    <t>Bozzoli, Carlos Guillermo/0000-0001-5079-5540</t>
  </si>
  <si>
    <t>1570-677X</t>
  </si>
  <si>
    <t>1873-6130</t>
  </si>
  <si>
    <t>10.1016/j.ehb.2016.05.002</t>
  </si>
  <si>
    <t>WOS:000382597000016</t>
  </si>
  <si>
    <t>Peralta, FA; Huidobro-Toro, JP</t>
  </si>
  <si>
    <t>Andres Peralta, Francisco; Pablo Huidobro-Toro, Juan</t>
  </si>
  <si>
    <t>Zinc as Allosteric Ion Channel Modulator: Ionotropic Receptors as Metalloproteins</t>
  </si>
  <si>
    <t>Zinc is an essential metal to life. This transition metal is a structural component of many proteins and is actively involved in the catalytic activity of cell enzymes. In either case, these zinc-containing proteins are metalloproteins. However, the amino acid residues that serve as ligands for metal coordination are not necessarily the same in structural proteins compared to enzymes. While crystals of structural proteins that bind zinc reveal a higher preference for cysteine sulfhydryls rather than histidine imidazole rings, catalytic enzymes reveal the opposite, i.e., a greater preference for the histidines over cysteines for catalysis, plus the influence of carboxylic acids. Based on this paradigm, we reviewed the putative ligands of zinc in ionotropic receptors, where zinc has been described as an allosteric modulator of channel receptors. Although these receptors do not strictly qualify as metalloproteins since they do not normally bind zinc in structural domains, they do transitorily bind zinc at allosteric sites, modifying transiently the receptor channel's ion permeability. The present contribution summarizes current information showing that zinc allosteric modulation of receptor channels occurs by the preferential metal coordination to imidazole rings as well as to the sulfhydryl groups of cysteine in addition to the carboxyl group of acid residues, as with enzymes and catalysis. It is remarkable that most channels, either voltage-sensitive or transmitter-gated receptor channels, are susceptible to zinc modulation either as positive or negative regulators.</t>
  </si>
  <si>
    <t>10.3390/ijms17071059</t>
  </si>
  <si>
    <t>WOS:000381500900074</t>
  </si>
  <si>
    <t>Melancholy left and spectral utopianism</t>
  </si>
  <si>
    <t>PENSAMIENTO</t>
  </si>
  <si>
    <t>From a review of Walter Benjamin discussed I) the notion of left melancholy to describe the emotional state of the heirs of Marxism. To do II) explores how the romantic melancholy is sublimated in Marxism. Then how this melancholy returns overshadowing his utopian impulse. III) After the paradoxes of some representations of melancholia are analyzed to show the religious tensions in utopianism and how these are transferred to the worldview of the left. IV) This analysis shows, from a psychoanalytic point of view, the need to consider the death of the equivalent abstractions own melancholy, to find out what is it that has died in leftist thought. Finally V) the way it is conceived and developed strong subjetivad in modern culture is observed is the basis of melancholy left and it is the exit of such a condition.</t>
  </si>
  <si>
    <t>0031-4749</t>
  </si>
  <si>
    <t>2386-5822</t>
  </si>
  <si>
    <t>10.14422/pen.v72.i271.y2016.008</t>
  </si>
  <si>
    <t>WOS:000383815700009</t>
  </si>
  <si>
    <t>Silva, CP; Santander-Nelli, M; Vera-Oyarce, C; Silva, JF; Gómez, A; Muñoz, LA; Zagal, JH; Gulppi, M; Pavez, J</t>
  </si>
  <si>
    <t>Silva, Carlos P.; Santander-Nelli, Mireya; Vera-Oyarce, Cristian; Silva, Juan F.; Gomez, Alejandra; Munoz, Lisa A.; Zagal, Jose H.; Gulppi, Miguel; Pavez, Jorge</t>
  </si>
  <si>
    <t>Polyaniline nanostructure electrode: morphological control by a hybrid template</t>
  </si>
  <si>
    <t>We report here a novel approach to the template assisted electrochemical synthesis of vertically aligned polyaniline (PANI) nanostructure surface arrays. When PANI is obtained by electropolymerimtion inside a custommade anodic aluminum oxide (AAO) template, with an Au layer sputtered onto one side of the AAO acting as an anode, PANI nanotubes are obtained. In contrast, when the surface of this gold layer is modified with 4-aminothiophenol (4-ArP) as a self-assembled monolayer (SAM) film anchored to the gold layer via the thiol groups and on the opposite end having NH2 functionalities, we obtain a surface array of PANI nanowires. Cyclic voltammetty and SEM analysis show that the amino functionalities of Au/SAMs act as a nucleation site in the internal base of the AAO pore and determine both the morphology and structure of polyaniline and its electronic properties as well.</t>
  </si>
  <si>
    <t>Gulppi, Miguel/KTA-6210-2024; Silva, Carlos/IQS-5583-2023; zagal, jose/L-9648-2014; PAVEZ, JORGE/K-6904-2014</t>
  </si>
  <si>
    <t>Gulppi, Miguel/0000-0001-6099-4463; Gomez San Martin, Alejandra/0000-0001-6483-1565; PAVEZ, JORGE/0000-0002-5100-6707; munoz, lisa/0000-0002-4588-2620; Vera Oyarce, Cristian/0000-0001-9972-8904; Santander-Nelli, Mireya/0000-0002-3687-6528; Silva, Carlos P./0000-0001-5344-042X</t>
  </si>
  <si>
    <t>10.1007/s10008-015-2944-2</t>
  </si>
  <si>
    <t>WOS:000374841300035</t>
  </si>
  <si>
    <t>Seguel, F; Soto, I; Adasme, P; Núñez, B</t>
  </si>
  <si>
    <t>Baranauskas, MCC; Liu, K; Sun, L; Neris, VPD; Bonacin, R; Nakata, K</t>
  </si>
  <si>
    <t>Seguel, Fabian; Soto, Ismael; Adasme, Pablo; Nunez, Belarmino</t>
  </si>
  <si>
    <t>Optical Wireless Communications for Ubiquitous Computing</t>
  </si>
  <si>
    <t>SOCIALLY AWARE ORGANISATIONS AND TECHNOLOGIES: IMPACT AND CHALLENGES</t>
  </si>
  <si>
    <t>IFIP Advances in Information and Communication Technology</t>
  </si>
  <si>
    <t>17th IFIP WG 8.1 International Conference on Informatics and Semiotics in Organisations (ICISO)</t>
  </si>
  <si>
    <t>AUG 01-03, 2016</t>
  </si>
  <si>
    <t>Campinas, BRAZIL</t>
  </si>
  <si>
    <t>IFIP WG 8 1,UNICAMP,Univ Reading,Informat Res Ctr,Springer,SBC,FAPESP,Conselho Nacil Desenvolvimento Cientifico Tecnologico,Cent Tecnologia Informacao Renato Archer,ufSCar,Fac Campo Limpo Paulista,IFIP</t>
  </si>
  <si>
    <t>In this paper, we propose resource allocation optimization problems for indoor Optical Wireless Communications uplink. More precisely, a Binary NP-HARD optimization problem together with its relaxation are proposed. Cuckoo Search (CS) and Genetic Algorithms (GA) have been unlikely to find feasible solutions when dealing with the relaxation of the problem. For the binary model, Binary Cuckoo Search outperforms the classical GA achieving better solutions in less computational CPU time.</t>
  </si>
  <si>
    <t>1868-4238</t>
  </si>
  <si>
    <t>978-3-319-42102-5; 978-3-319-42101-8</t>
  </si>
  <si>
    <t>WOS:000389589900030</t>
  </si>
  <si>
    <t>Donoso-García, P; Henríquez-Vargas, L</t>
  </si>
  <si>
    <t>Donoso-Garcia, P.; Henriquez-Vargas, L.</t>
  </si>
  <si>
    <t>Numerical study of turbulent porous media combustion coupled with thermoelectric generation in a recuperative reactor</t>
  </si>
  <si>
    <t>ENERGY</t>
  </si>
  <si>
    <t>This paper presents two-dimensional simulations of an adiabatic recuperative porous media burner in turbulent regime coupled with thermoelectric elements. Time and volume averaged transport equations and second order turbulence model were employed. FLUENT was used to simulate the reactor through its UDF (User Defined Functions) and UDS (User Defined Scalars) interfaces for extra terms involving turbulence and thermoelectric quantities. The study includes the production of thermal NOx modeled by the extended Zeldovich mechanism with postprocessing computation. Flow and electric field computations were obtained considering as variables gas inlet velocity and composition, porous media thermal conductivity and inner wall insulation material. Flammability limits for stable combustion were found alongside with the electric potential generated within the system. Higher values of electrical potential, thermoelectric efficiency and flame temperatures were reached when the gas mixture energy content and heat recovery capacity of the system were increased. (C) 2015 Elsevier Ltd. All rights reserved.</t>
  </si>
  <si>
    <t>0360-5442</t>
  </si>
  <si>
    <t>1873-6785</t>
  </si>
  <si>
    <t>10.1016/j.energy.2015.09.123</t>
  </si>
  <si>
    <t>WOS:000367630200107</t>
  </si>
  <si>
    <t>Bruna, JE; Quilodrán, H; Guarda, A; Rodríguez, F; Galotto, MJ; Figueroa, P</t>
  </si>
  <si>
    <t>Bruna, J. E.; Quilodran, H.; Guarda, A.; Rodriguez, F.; Galotto, M. J.; Figueroa, P.</t>
  </si>
  <si>
    <t>DEVELOPMENT OF ANTIBACTERIAL MtCu/PLA NANOCOMPOSITES BY CASTING METHOD FOR POTENTIAL USE IN FOOD PACKAGING</t>
  </si>
  <si>
    <t>Polylactic acid (PLA) nanocomposites with two antimicrobial agents based on copper modified montmorillonite (MtCu(2+) and MtCu(o)) were developed in order to obtain a lower environmental impact material with antimicrobial activity for potential use in food packaging. Clay modification was permorfed by cation exchange between MtNa(+) and a copper salt obtaining MtCu(2+) and its followed reduction with NaBH4 obtaining MtCu(o). Then PLA nanocomposite films (MtCu(2+)/PLA and MtCu(o)/PLA), using different concentration of MtCu(2+) and MtCu(o) (1, 3 and 5 wt.%) were obtained by casting technique. X-ray diffraction (XRD) and Transmission electronic microscopy (TEM) analysis evidenced a certain degree of intercalation of the modified clays in the nanocomposites. Thermal, mechanical and optical properties showed variations by incorporating MtCu(2+) and MtCu(o) in the polymer matrix. On the other hand, it was possible to evidence antimicrobial activity of the nanocomposites (ASTM Standard E2149) against to Escherichia coli ATCC 25922 and Listeria innocua ATCC 33090 obtaining a 99% maximum of reduction to both bacteria.</t>
  </si>
  <si>
    <t>bruna, julio/AAM-6867-2021; Rodríguez, Francisco/I-5283-2018</t>
  </si>
  <si>
    <t>Rodriguez-Mercado, Francisco/0000-0002-0530-6653; Bruna, Julio E./0000-0001-9656-6022</t>
  </si>
  <si>
    <t>10.4067/S0717-97072015000300007</t>
  </si>
  <si>
    <t>WOS:000365352800007</t>
  </si>
  <si>
    <t>Lizama, DR</t>
  </si>
  <si>
    <t>Rojas Lizama, David</t>
  </si>
  <si>
    <t>ONCE MORE UNTO THE BREACH: THE ANSWER FROM KANT TO HUME, AGAIN. Lewis White Beck (1913-1997)</t>
  </si>
  <si>
    <t>ALPHA-REVISTA DE ARTES LETRAS Y FILOSOFIA</t>
  </si>
  <si>
    <t>0718-2201</t>
  </si>
  <si>
    <t>WOS:000363475100017</t>
  </si>
  <si>
    <t>Aurenque, D</t>
  </si>
  <si>
    <t>Aurenque, Diana</t>
  </si>
  <si>
    <t>The animal is not a thing: On the ambiguity of the animal in the existential analytic of Dasein</t>
  </si>
  <si>
    <t>FILOSOFIA UNISINOS</t>
  </si>
  <si>
    <t>In many anthropological conceptions, the definition of man appears as an amendment or specification of the animal being (for example as rational animal). Martin Heidegger is one of the few philosophers who, by contrast, does not define man as a human being but as Dasein, thus escaping an anthropomorphic conceptualization. Contrary to tradition, the animal to Heidegger is not a thing, but also not existing being. In this sense, the Heideggerian notion of Dasein allows to investigate the boundaries between animal and man not only in an innovative, but also quite productive way. For, although in Being and Time Heidegger is emphatic in arguing that only human being as Dasein has the form of being called existence, his ambiguity surrounding the particular mode of being of the animal explains why important contemporary philosophers influencedby Heidegger - e.g. Jacques Derrida and Giorgio Agamben - have addressed this problem. In this sense, the present contribution explores this ambiguity and aims firstto explore and to locate the question about the animal in Being and Time so that, in a second step, we can critically reflect on the consequences of that location both from a immanent point of view and also from a more general perspective interested in exploring the relationship between humans and animals.</t>
  </si>
  <si>
    <t>Aurenque, Diana/0000-0002-0979-2847</t>
  </si>
  <si>
    <t>1519-5023</t>
  </si>
  <si>
    <t>1984-8234</t>
  </si>
  <si>
    <t>10.4013/fsu.2015.162.03</t>
  </si>
  <si>
    <t>WOS:000378170800004</t>
  </si>
  <si>
    <t>Cotoras, M; Vivanco, H; Melo, R; Aguirre, M; Silva, E; Mendoza, L</t>
  </si>
  <si>
    <t>Cotoras, Milena; Vivanco, Herman; Melo, Ricardo; Aguirre, Maria; Silva, Evelyn; Mendoza, Leonora</t>
  </si>
  <si>
    <t>In Vitro and in Vivo Evaluation of the Antioxidant and Prooxidant Activity of Phenolic Compounds Obtained from Grape (Vitis vinifera) Pomace</t>
  </si>
  <si>
    <t>The antioxidant and/or prooxidant ability of extracts obtained from wine waste were analyzed using in vitro and in vivo assays. Cyclic voltammetry was used as the in vitro assay to determine the antioxidant and/or prooxidant properties and, the in vivo effect on mycelial growth of the fungus Botrytis cinerea was evaluated. In addition, the prooxidant activity was evaluated by intracellular oxidation of compound 2,7-dichlorodihydrofluorescein diacetate (DCFH-DA) in B. cinerea. The extracts used in this study were obtained from grape pomace of Cabernet Sauvignon, Carmenere and Syrah varieties from the Misiones de Rengo Vineyard by simple extraction, using methanol/HCl 1% (v/v), ethanol 70% (v/v), or Soxhlet extraction. According to the results obtained, gallic acid was the most represented phenolic compound independent of grape variety and extraction method. In addition, vanillic acid; protocatechuic acid, syringic acid, quercetin and kaempferol were found in the extracts. From this study it was possible concluded that, depending of the method of extraction of the grape residues and the grape variety (Cabernet Sauvignon, Carmenere and Syrah), the extracts showed antioxidant and/or prooxidant activity. However, no correlation can be established between the anodic oxidation potentials of the extracts and their effect on the fungus B. cinerea.</t>
  </si>
  <si>
    <t>Aguirre, Maria/A-3935-2013; Silva-Moreno, Evelyn/B-9545-2012</t>
  </si>
  <si>
    <t>Aguirre, Maria/0000-0003-1134-4469; Silva-Moreno, Evelyn/0000-0001-8745-7916</t>
  </si>
  <si>
    <t>10.3390/molecules191221154</t>
  </si>
  <si>
    <t>WOS:000346793200108</t>
  </si>
  <si>
    <t>Santos Herceg, Jose</t>
  </si>
  <si>
    <t>Everyday Life. First steps for a philosophical conceptualization</t>
  </si>
  <si>
    <t>This study aims to overcome some authors' feeling that everyday life is a vague, problematic and polysemous concept which, for those reasons, is unreachable and even imperceptible. This task is more relevant at present, considering the central importance that everyday life category has gained in contemporary studies. We have approached this task starting from the analysis of different problems: first, the question of the universality of this concept; second, its narrative nature, its heterogeneity and necessary homogeneity (regulations); third, the possible motivations; fourth, its interruption or break down; then, its difference and proximity to the concept of routine and; finally, its consequences: disenchantment and boredom.</t>
  </si>
  <si>
    <t>WOS:000341694300012</t>
  </si>
  <si>
    <t>Tarride, MI; González, J</t>
  </si>
  <si>
    <t>Tarride, Mario Ivan; Gonzalez, Julia</t>
  </si>
  <si>
    <t>Healthy organizations: toward a diagnostic method II</t>
  </si>
  <si>
    <t>Purpose - To contribute to the search for new viewpoints that will enrich the understanding of the complex organizational phenomenon, in particular by contributing to the development of a method that allows qualifying, in the fullest possible way, whether an organization can be said to be healthy. So the objective of this work has been to experiment with the diagnostic method of the organizational health situation proposed in a previous paper published in this journal through applications that allowed backfeeding it and offering a new improved version of it. The paper aims to discuss these issues. Design/methodology/approach - The present work takes up the challenge of advancing in the development of the method of determining the health condition of an organization, revising the general homomorphism as well as the information that will be considered, its sources, the way of obtaining it, and the way of making the synthesis that will allow issuing the final overall judgement of healthy or not of the organization that is being studied. To that end, recourse is made to the experience obtained from eight applications made to different kinds of small organizations in the city of Santiago, Chile, from 2008 to 2012. Findings - The human-being/organization homomorphism was reformulated, going from eight component systems of the human body to 13, by reformulating some and incorporating others. Although a set of indicators may be used in different kinds of organizations, each one of them also presents a specificity that makes it highly complicated to make comparisons; the health situation of an organization is related only to itself. Consequently, the set of indicators that are selected to determine the health condition of an organization depends on itself. Not all the variables, systems and dimensions have the same weight for those interested in the overall health judgement to be issued, so this task of searching for the weights becomes a key aspect of the method: what was found to be most advisable was to set up a group of experts composed of key informants belonging to the organization itself and of external analysts. The symptoms perceptions of the key informants must be transformed into signs that allow objectifying the judgement of healthy or not of an organization. Originality/value - The work contributes new elements that enrich the method for diagnosing organizational health proposed earlier, starting from the homomorphism established between the way in which allopathic physicians study their patients and the way the analyst operates with an organization.</t>
  </si>
  <si>
    <t>10.1108/K-12-2013-0275</t>
  </si>
  <si>
    <t>WOS:000332133600006</t>
  </si>
  <si>
    <t>Barahona, CM</t>
  </si>
  <si>
    <t>Moyano Barahona, Cristina</t>
  </si>
  <si>
    <t>Biographical Trajectories of Leftist Militants: a Look at Partisan Elites in Chile, 1973-1990</t>
  </si>
  <si>
    <t>This article examines the process of selection and reproduction of the Chilean leftist political elite during the dictatorship. Methodologically, the article uses in-depth interviews based on biographical trajectories. More generally speaking, it aspires to understand how the reproduction dynamics of the elite would go on to configure a transitional political culture that would be characterized by the scarce vertical integration of actors coming from civil society and the tendency towards the horizontal reproduction among its own members through co-optation and the institutionalization of formal and informal agreements within its own groups by the decision of the most influential selectors.</t>
  </si>
  <si>
    <t>WOS:000321934400003</t>
  </si>
  <si>
    <t>Abarca, R; Gomez, G; Velasquez, C; Paez, MA; Gulppi, M; Arrieta, A; Azocar, MI</t>
  </si>
  <si>
    <t>Abarca, Romina; Gomez, Grace; Velasquez, Carla; Paez, Maritza A.; Gulppi, Miguel; Arrieta, Abel; Azocar, Manuel, I</t>
  </si>
  <si>
    <t>Antibacterial Behavior of Pyridinecarboxylatesilver(I) Complexes</t>
  </si>
  <si>
    <t>CHINESE JOURNAL OF CHEMISTRY</t>
  </si>
  <si>
    <t>FT-IR spectroscopy of carboxylic groups and viability tests were useful to understand the antibacterial properties of six highly efficient silver(I) pyridinecarboxylate (nicotinic, picolinic and isonicotinic acids) and bipiridinecarboxylate (pyridine-2,3-dicarboxylic, pyridine-2,4-dicarboxylic and pyridine-2,5-dicarboxylic acids) complexes with Ag?O and Ag?N bonds against E. coli (ATCC 25922) and Streptococcus agalactiae (ISP 329-09). The results show a tendency between the nature of Ag?X (X=oxygen and nitrogen) bonds and the rate or efficiency of antibacterial behavior.</t>
  </si>
  <si>
    <t>Paez, Maritza/M-2010-2014; Abarca, Romina/AAF-9196-2019; Azocar, Manuel/I-1226-2013; Gulppi, Miguel/KTA-6210-2024</t>
  </si>
  <si>
    <t>Gulppi, Miguel/0000-0001-6099-4463; paez, maritza/0000-0001-5881-884X; Azocar Guzman, Manuel/0000-0003-1098-4659</t>
  </si>
  <si>
    <t>1001-604X</t>
  </si>
  <si>
    <t>1614-7065</t>
  </si>
  <si>
    <t>10.1002/cjoc.201100666</t>
  </si>
  <si>
    <t>WOS:000306562300044</t>
  </si>
  <si>
    <t>Jara-Moroni, P</t>
  </si>
  <si>
    <t>Jara-Moroni, Pedro</t>
  </si>
  <si>
    <t>Rationalizability in games with a continuum of players</t>
  </si>
  <si>
    <t>GAMES AND ECONOMIC BEHAVIOR</t>
  </si>
  <si>
    <t>The concept of rationalizability has been used in the last fifteen years to study stability of equilibria in models with a continuum of agents such as competitive markets, macroeconomic dynamics and currency attacks. However, rationalizability has been formally defined in general settings only for games with a finite number of players. We propose an exploration of rationalizability in the context of games with a continuum of players. We deal with a special class of these games, in which payoff of each player depends only on his own strategy and on an aggregate value: the state of the game, which is obtained from the complete action profile. We define the sets of point-rationalizable states and rationalizable states. For the case of continuous payoffs and compact strategy sets, we characterize these sets and prove their convexity and compactness. We provide as well results on the equivalence of point- and standard-rationalizability. (C) 2012 Elsevier Inc. All rights reserved.</t>
  </si>
  <si>
    <t>Jara-Moroni, Pedro/C-2269-2013</t>
  </si>
  <si>
    <t>Jara-Moroni, Pedro/0000-0001-5760-388X</t>
  </si>
  <si>
    <t>0899-8256</t>
  </si>
  <si>
    <t>10.1016/j.geb.2012.03.004</t>
  </si>
  <si>
    <t>WOS:000305038100016</t>
  </si>
  <si>
    <t>Bruna, JE; Peñaloza, A; Guarda, A; Rodríguez, F; Galotto, MJ</t>
  </si>
  <si>
    <t>Bruna, J. E.; Penaloza, A.; Guarda, A.; Rodriguez, F.; Galotto, M. J.</t>
  </si>
  <si>
    <t>Development of MtCu2+/LDPE nanocomposites with antimicrobial activity for potential use in food packaging</t>
  </si>
  <si>
    <t>APPLIED CLAY SCIENCE</t>
  </si>
  <si>
    <t>The antimicrobial efficiency of novel MtCu(2+)/LDPE nanocomposites against Escherichia coli 0157:H7 n/t was tested in the present work. Montmorillonite modified with copper (MtCu(2+)) was obtained using cation exchange in solution and nanocomposite films were prepared by melt mixing in an extruder at 200 degrees C with different compositions. Characterization of MtCu(2+) and MtCu(2+)/LDPE nanocomposites was carried out using XRD, AA, TGA, DSC, and microbiological analysis. The clay polymer nanocomposites (CPN) were more stable at higher temperatures, resulting from the incorporation of MtCu(2+) in the polymer. The results indicate that the antibacterial effect of the CPN increases with the proportion of MtCu(2+) added, obtaining a 94% reduction when 4% of MtCu(2+) was added to the polymer. (C) 2012 Elsevier B.V. All rights reserved.</t>
  </si>
  <si>
    <t>Rodríguez, Francisco/I-5283-2018; bruna, julio/AAM-6867-2021</t>
  </si>
  <si>
    <t>0169-1317</t>
  </si>
  <si>
    <t>1872-9053</t>
  </si>
  <si>
    <t>10.1016/j.clay.2012.01.016</t>
  </si>
  <si>
    <t>WOS:000302843700012</t>
  </si>
  <si>
    <t>Rezende, MC; Almodovar, I</t>
  </si>
  <si>
    <t>Rezende, Marcos Caroli; Almodovar, Iriux</t>
  </si>
  <si>
    <t>Substituent electrophilicities in the NMR spectra of barbituric derivatives</t>
  </si>
  <si>
    <t>MAGNETIC RESONANCE IN CHEMISTRY</t>
  </si>
  <si>
    <t>Comparison of the H-1 and C-13 NMR spectra of a series of substituted 5-benzylidene-N,N'-dimethylbarbituric acids (1) revealed chemical-shift variations of different centers that correlated with the theoretical electrophilicities or with the substituent electrophilic constant sigma(omega), in an example of the usefulness of these DFT-based indices. Copyright (c) 2012 John Wiley &amp; Sons, Ltd.</t>
  </si>
  <si>
    <t>Almodovar, Iriux/0000-0002-0692-0196; Rezende, Marcos/0000-0003-2040-9009</t>
  </si>
  <si>
    <t>0749-1581</t>
  </si>
  <si>
    <t>1097-458X</t>
  </si>
  <si>
    <t>10.1002/mrc.2858</t>
  </si>
  <si>
    <t>WOS:000302149800002</t>
  </si>
  <si>
    <t>Cheio de tudo: Paulo Leminski and Zen Buddhism</t>
  </si>
  <si>
    <t>In this article I pretend to show that the influence of Zen Buddhism and haiku model in the work of Paulo Leminski is not just limited to a series of thematic topics, but it is essential to the formal development of his short poetry. This influence is parallel to other languages, as photography and publicity, and is also combined with the proposals of the concrete poets, which were interested too in japanese poetry. Finally I analyze diverse versions and translations of one of his last poems, in which the expressive possibilities of emptiness are observed.</t>
  </si>
  <si>
    <t>WOS:000311262600007</t>
  </si>
  <si>
    <t>Letelier, MF; Siginer, DA; Stockle, JS; Herrera, C</t>
  </si>
  <si>
    <t>Letelier, Mario F.; Siginer, Dennis A.; Stockle, Juan S.; Herrera, Cristian</t>
  </si>
  <si>
    <t>RESONANCE MODELLING AND CONTROL IN STRUCTURES BY MEANS OF MAGNETORHEOLOGICAL DAMPERS</t>
  </si>
  <si>
    <t>PROCEEDINGS OF THE ASME INTERNATIONAL MECHANICAL ENGINEERING CONGRESS AND EXPOSITION - 2010, VOL 7, PTS A AND B</t>
  </si>
  <si>
    <t>NOV 12-18, 2010</t>
  </si>
  <si>
    <t>Vancouver, CANADA</t>
  </si>
  <si>
    <t>Many structures such as automobile bodies, bridges and buildings are subjected to external forces due to the nature of the environment in which they exist. When the external excitation frequency is similar to the structure's natural frequency a resonance effect is generated, increasing the energy and the amplitude of the oscillation, often causing catastrophic situations. This paper presents a method to decrease such resonant oscillations using magnetorheological dampers.</t>
  </si>
  <si>
    <t>978-0-7918-4444-1</t>
  </si>
  <si>
    <t>WOS:000320625900070</t>
  </si>
  <si>
    <t>Reyes, A; Mahn, A; Guzmán, C; Antoniz, D</t>
  </si>
  <si>
    <t>Reyes, Alejandro; Mahn, Andrea; Guzman, Carolina; Antoniz, Dafne</t>
  </si>
  <si>
    <t>Analysis of the Drying of Broccoli Florets in a Fluidized Pulsed Bed</t>
  </si>
  <si>
    <t>The effect of air temperature and flow rate, plate rotational speed, and initial broccoli particle size in a fluidized pulsed bed dryer on moisture content, diffusivity, antioxidant capacity, polyphenols content, and selenium concentration of conventional and selenium-enriched broccoli was investigated. Adjustment of the drying curves with the simplified constant diffusivity model was performed by intervals, in order to consider shrinkage, resulting in an average diffusivity equal to 4.9 E-09 (m(2)/s), which is 82% higher than that observed in drying of broccoli in a tunnel dryer. In addition, the drying curves were adjusted to Page's model, resulting in R-2 values higher than 0.9. The conditions that maximize the antioxidant properties of conventional broccoli florets were air temperature of 60 degrees C, air flow rate in the dryer inlet of 3 m/s, and initial particle size of 1 cm. The disk rotational speed had no statistically significant effect on the antioxidant properties in the range from 60 to 100 rpm. These operating conditions were then used to dehydrate selenium-enriched broccoli. The antioxidant properties in selenium-enriched broccoli after drying were comparable to those obtained for conventional broccoli. The conditions that minimized selenium loss were air temperature of 53 degrees C and air flow rate of 2 m/s.</t>
  </si>
  <si>
    <t>11-12</t>
  </si>
  <si>
    <t>10.1080/07373937.2012.686548</t>
  </si>
  <si>
    <t>WOS:000308020100026</t>
  </si>
  <si>
    <t>Urzúa, A</t>
  </si>
  <si>
    <t>Urzua, Alejandro</t>
  </si>
  <si>
    <t>Instructions for authors</t>
  </si>
  <si>
    <t>WOS:000304712100003</t>
  </si>
  <si>
    <t>Vera, J; Castro, J; Gonzalez, A; Moenne, A</t>
  </si>
  <si>
    <t>Vera, Jeannette; Castro, Jorge; Gonzalez, Alberto; Moenne, Alejandra</t>
  </si>
  <si>
    <t>Seaweed Polysaccharides and Derived Oligosaccharides Stimulate Defense Responses and Protection Against Pathogens in Plants</t>
  </si>
  <si>
    <t>MARINE DRUGS</t>
  </si>
  <si>
    <t>Plants interact with the environment by sensing non-self molecules called elicitors derived from pathogens or other sources. These molecules bind to specific receptors located in the plasma membrane and trigger defense responses leading to protection against pathogens. In particular, it has been shown that cell wall and storage polysaccharides from green, brown and red seaweeds (marine macroalgae) corresponding to ulvans, alginates, fucans, laminarin and carrageenans can trigger defense responses in plants enhancing protection against pathogens. In addition, oligosaccharides obtained by depolymerization of seaweed polysaccharides also induce protection against viral, fungal and bacterial infections in plants. In particular, most seaweed polysaccharides and derived oligosaccharides trigger an initial oxidative burst at local level and the activation of salicylic (SA), jasmonic acid (JA) and/or ethylene signaling pathways at systemic level. The activation of these signaling pathways leads to an increased expression of genes encoding: (i) Pathogenesis-Related (PR) proteins with antifungal and antibacterial activities; (ii) defense enzymes such as pheylalanine ammonia lyase (PAL) and lipoxygenase (LOX) which determine accumulation of phenylpropanoid compounds (PPCs) and oxylipins with antiviral, antifugal and antibacterial activities and iii) enzymes involved in synthesis of terpenes, terpenoids and/or alkaloids having antimicrobial activities. Thus, seaweed polysaccharides and their derived oligosaccharides induced the accumulation of proteins and compounds with antimicrobial activities that determine, at least in part, the enhanced protection against pathogens in plants.</t>
  </si>
  <si>
    <t>1660-3397</t>
  </si>
  <si>
    <t>10.3390/md9122514</t>
  </si>
  <si>
    <t>WOS:000298931400003</t>
  </si>
  <si>
    <t>de la Cerda, OG; García, CM</t>
  </si>
  <si>
    <t>Garcia de la Cerda, O.; Mendoza Garcia, C.</t>
  </si>
  <si>
    <t>Enactive management: application of CLEHES and VIPLAN</t>
  </si>
  <si>
    <t>Purpose - The purpose of this paper is to deal with the learning and adaptation of those particular human beings that manage modern companies. They are challenged not only by a very high rate of change, which is common to all of us, but by the fact that they are responsible for the viability of organizations that deal with a far larger complexity. Design/methodology/approach - The methodologies used were self-observation and observation of the actors that constitute a company by means of CLEHES, an ontological tool, and VIPLAN, an epistemic reference. Both together help enabling communications and conversations in different contexts and domains that otherwise would have been cognitively inhibited. Findings - These tools have been used as an enactive management approach that has allowed the effective growth of a small organization, which is the focus of this paper. Practical implications - The paper contains useful thinking, enaction and reflecting on the awareness to conserve and change structural adjustments. Originality/value - The paper shows how crisscrossing between an ontological tool - CLEHES and an epistemic tool-VIPLAN permits enacting organizational communications and conversations between human beings as managers to take care of their organizations.</t>
  </si>
  <si>
    <t>10.1108/03684921111133674</t>
  </si>
  <si>
    <t>WOS:000293669700007</t>
  </si>
  <si>
    <t>Letelier, MF; Stockle, JS</t>
  </si>
  <si>
    <t>Ghista, DN</t>
  </si>
  <si>
    <t>Letelier, Mario F.; Stockle, Juan S.</t>
  </si>
  <si>
    <t>A Shape-Factor Method for Modeling Parallel and Axially-Varying Flow in Tubes and Channels of Complex Cross-Section Shapes</t>
  </si>
  <si>
    <t>BIOMEDICAL SCIENCE, ENGINEERING AND TECHNOLOGY</t>
  </si>
  <si>
    <t>978-953-307-471-9</t>
  </si>
  <si>
    <t>WOS:000378911600020</t>
  </si>
  <si>
    <t>Enrich, JLP</t>
  </si>
  <si>
    <t>Perello Enrich, Juan Luis</t>
  </si>
  <si>
    <t>Differences on Japanese and Spanish text structure: Its influence on translation</t>
  </si>
  <si>
    <t>The following article deals with the differences between Japanese and Spanish text structure and the influence they have on the translation process. Samples of texts are compared and analyzed in terms of coherence, cohesion and thematic structure. This exercise will prove useful to identify and to exemplify the different trends between both languages and, we hope, it will contribute to improve the quality of translations.</t>
  </si>
  <si>
    <t>WOS:000286995700008</t>
  </si>
  <si>
    <t>Espejo, JC</t>
  </si>
  <si>
    <t>Cornejo Espejo, Juan</t>
  </si>
  <si>
    <t>Misunderstandings of language: homoeroticism in the place of homosexuality</t>
  </si>
  <si>
    <t>The denomination homosexual or homosexualism remit us to the conception and representation of homogenital sexual practices as pathological, perverse, and diverted. Many authors prefer the notion of homoeroticism because of the major clarity of this term, since it better describes the plurality of practices and wishes of men oriented towards the same sex. Homoeroticism moves away from the possibility of association with illness, divergence, anormality or pervertion. It denies the idea that there exists something like a homosexual substance, organic or psychiatric, that is common to all men with homoerotic tendencies. Moreover, the term does not have a noun form which indicates identity, as is the case of homosexualism.</t>
  </si>
  <si>
    <t>Cornejo Espejo, Juan/ABD-6767-2021</t>
  </si>
  <si>
    <t>WOS:000275578500010</t>
  </si>
  <si>
    <t>Moraga, NO; Corvalán, F; Escudey, M; Arias, A; Zambra, CE</t>
  </si>
  <si>
    <t>Moraga, N. O.; Corvalan, F.; Escudey, M.; Arias, A.; Zambra, C. E.</t>
  </si>
  <si>
    <t>Unsteady 2D coupled heat and mass transfer in porous media with biological and chemical heat generations</t>
  </si>
  <si>
    <t>INTERNATIONAL JOURNAL OF HEAT AND MASS TRANSFER</t>
  </si>
  <si>
    <t>The coupled two-dimensional heat and oxygen diffusion in a compost pile of sewage sludge obtained from domestic wastewater treatment was studied. The unsteady, coupled, non-linear mathematical model, solved through the finite volume method, includes the volumetric heat generation caused by the action of aerobic bacteria and by the oxidation of cellulose in a porous media. The numerical simulation allows the prediction for the pile shape and size effects on the heat generated and on oxygen consumption. Temperature and oxygen concentration transient distributions within compost piles are presented for different geometries. Heat (temperature) and mass transfer (oxygen) results indicate that the pile height has an important effect on the heating process and that keeping the compost pile height lower than 1.7 m the self-combustion of sewage sludge can be avoided. (C) 2009 Elsevier Ltd. All rights reserved.</t>
  </si>
  <si>
    <t>0017-9310</t>
  </si>
  <si>
    <t>1879-2189</t>
  </si>
  <si>
    <t>25-26</t>
  </si>
  <si>
    <t>10.1016/j.ijheatmasstransfer.2009.07.027</t>
  </si>
  <si>
    <t>WOS:000271711200020</t>
  </si>
  <si>
    <t>Villablanca, ME; Cruzat, FA; Nadal, JI; Rojas, WD</t>
  </si>
  <si>
    <t>Villablanca, Miguel E.; Cruzat, Felipe A.; Nadal, Jorge I.; Rojas, Wilson del C.</t>
  </si>
  <si>
    <t>A buck-type low-power rectifier with high-quality waveforms</t>
  </si>
  <si>
    <t>ELECTRIC POWER SYSTEMS RESEARCH</t>
  </si>
  <si>
    <t>In this paper a buck-type rectifier for use in low-power levels is presented, whereby high-quality waveforms at both ends of the rectifier are achieved. The methodology involves both an accurate shaping of the dc current by using two self-commutated switches (IGBTs), and a reinjection circuit connecting both the ac and dc sides. It is demonstrated, theoretically and experimentally, that this methodology produces pure sinusoidal currents flowing from the ac supply, regardless of both the firing angle of the bridge thyristors and the nature of the load (resistive, inductive or capacitive). Also, when comparing the proposed topology with similar ones, it is concluded that the proposed buck-type rectifier looks promising regarding simplicity, general use and reliability. (C) 2008 Elsevier B.V. All rights reserved.</t>
  </si>
  <si>
    <t>0378-7796</t>
  </si>
  <si>
    <t>1873-2046</t>
  </si>
  <si>
    <t>10.1016/j.epsr.2008.03.015</t>
  </si>
  <si>
    <t>WOS:000259433900011</t>
  </si>
  <si>
    <t>Cerda, P; Ubilla, P</t>
  </si>
  <si>
    <t>Cerda, Patricio; Ubilla, Pedro</t>
  </si>
  <si>
    <t>Nonlinear systems of second-order ODEs</t>
  </si>
  <si>
    <t>BOUNDARY VALUE PROBLEMS</t>
  </si>
  <si>
    <t>We study existence of positive solutions of the nonlinear system-(p(1)(t,u,v)u')' = h(1)(t)f(1)(t,u,v) in (0,1); -(p(2)(t,u,v)v')' = h(2)(t)f(2)(t,u,v) in (0, 1); u (0); u (1) = v (0) = v (1) = 0, where p(1) (t,u,v)= 1/(a(1)(t) + c(1)g(1) (u, v)) and p(2) (t,u,v) = 1/(a(2) (t) + c(2)g(2) (u, v)). Here, it is assumed that g(1), g(2) are nonnegative continuous functions, a(1) (t), a2 (t) are positive continuous functions, c(1), c(2) &gt;= 0, h(1), h(2) epsilon L-1 (0, 1), and that the nonlinearities f(1), f(2) satisfy superlinear hypotheses at zero and +infinity. The existence of solutions will be obtained using a combination among the method of truncation, a priori bounded and Krasnosel'skii well-known result on fixed point indices in cones. The main contribution here is that we provide a treatment to the above system considering differential operators with nonlinear coefficients. Observe that these coefficients may not necessarily be bounded from below by a positive bound which is independent of u and v. Copyright (c) 2008 P. Cerda and P. Ubilla.</t>
  </si>
  <si>
    <t>Cerda, Patricio/0000-0002-0823-8174</t>
  </si>
  <si>
    <t>1687-2770</t>
  </si>
  <si>
    <t>10.1155/2008/236386</t>
  </si>
  <si>
    <t>WOS:000255640800001</t>
  </si>
  <si>
    <t>Zúñiga, MF</t>
  </si>
  <si>
    <t>Figueroa Zuniga, Marcos</t>
  </si>
  <si>
    <t>The inhabitants of Chile in Juan Ignacio Molina's works</t>
  </si>
  <si>
    <t>WOS:000265620500007</t>
  </si>
  <si>
    <t>Nomez, Nain</t>
  </si>
  <si>
    <t>Regarding Efrain Barquero's Bread and Wine: a liturgy of solidarity</t>
  </si>
  <si>
    <t>WOS:000268231300009</t>
  </si>
  <si>
    <t>Canales, F; Chacón, M</t>
  </si>
  <si>
    <t>Rueda, L; Mery, D; Kittler, J</t>
  </si>
  <si>
    <t>Canales, Fernando; Chacon, Max</t>
  </si>
  <si>
    <t>Modification of the growing neural gas algorithm for cluster analysis</t>
  </si>
  <si>
    <t>PROGRESS IN PATTERN RECOGNITION, IMAGE ANALYSIS AND APPLICATIONS, PROCEEDINGS</t>
  </si>
  <si>
    <t>12th Iberoamerican Congress on Pattern Recognition</t>
  </si>
  <si>
    <t>NOV 13-16, 2007</t>
  </si>
  <si>
    <t>Univ Santiago Chile, Dept Indormat Ingn,Tech Univ Feder Santa Maria, Dept Informat Tech</t>
  </si>
  <si>
    <t>In clusters analysis, a problem of great interest is having methods that allow the representation of the topology of input space without the need to know additional information about it. This gives rise to growing competitive neural methods which are capable of determining the structure of the network autonomously during the process of training. This work proposes a variation of the Growing Neural Gas (GNG) algorithm, calling GNG with post-pruning (GNG-PP), and a method of clustering based on the search for topological neighborhoods generated by the former. These were combined in a three-phase process to clustering the S&amp;P100 set, which belongs to the macroeconomic field. This problem has a high dimensionality in the characteristics space. Its results are compared to those obtained by SOM, Growing Cell Structures (GCS), and a non-neural method. Evaluation of the results was made by means of the kappa coefficient, using as evaluation set the GICS industrial classification. The results show that when using the proposed methods the best clustering are generated, obtaining a kappa coefficient of 0.5643 in the GICS classification.</t>
  </si>
  <si>
    <t>978-3-540-76724-4</t>
  </si>
  <si>
    <t>WOS:000252725900071</t>
  </si>
  <si>
    <t>Palma, G; Raff, U</t>
  </si>
  <si>
    <t>Palma, Guillermo; Raff, Ulrich</t>
  </si>
  <si>
    <t>The one-dimensional hydrogen atom revisited</t>
  </si>
  <si>
    <t>CANADIAN JOURNAL OF PHYSICS</t>
  </si>
  <si>
    <t>The one-dimensional Schrodinger hydrogen atom is an interesting mathematical and physical problem for the study of bound states, eigenfunctions, and quantum-degeneracy issues. This one-dimensional physical system has given rise to some intriguing controversy for more than four decades. Presently, still no definite consensus seems to have been reached. We reanalyzed this apparently controversial problem, approaching it from a Fourier-transform representation method combined with some fundamental (basic) ideas found in self-adjoint extensions of symmetric operators. In disagreement with some previous claims, we found that the complete Balmer energy spectrum is obtained together with an odd-parity set of eigenfunctions. Closed-form solutions in both coordinate and momentum spaces were obtained. No twofold degeneracy was observed as predicted by the degeneracy theorem in one dimension, though it does not necessarily have to hold for potentials with singularities. No ground state with infinite energy exists since the corresponding eigenfunction does not satisfy the Schrodinger equation at the origin.</t>
  </si>
  <si>
    <t>0008-4204</t>
  </si>
  <si>
    <t>1208-6045</t>
  </si>
  <si>
    <t>10.1139/P06-072</t>
  </si>
  <si>
    <t>WOS:000242724800002</t>
  </si>
  <si>
    <t>Acuña, G; Cruz, F; Moreno, V</t>
  </si>
  <si>
    <t>Masi, P; Toraldo, G</t>
  </si>
  <si>
    <t>Acuna, Gonzalo; Cruz, Francisco; Moreno, Vicente</t>
  </si>
  <si>
    <t>Identifiability of time varying parameters in a Grey-Box Neural Model:: Application to a biotechnological process</t>
  </si>
  <si>
    <t>FOODSIM '2006: 4TH INTERNATIONAL CONFERENCE ON SIMULATION AND MODELLING IN THE FOOD AND BIO-INDUSTRY</t>
  </si>
  <si>
    <t>4th International Conference on Simulation and Modelling in the Food and Bio Industry (FOODSIM 2006)</t>
  </si>
  <si>
    <t>JUN 15-17, 2006</t>
  </si>
  <si>
    <t>Univ Naples Federico II, Naples, ITALY</t>
  </si>
  <si>
    <t>ETI,EUROSIS,Ghent Univ,ENITIAA,NIZO Food Res,SISTAL</t>
  </si>
  <si>
    <t>Univ Naples Federico II</t>
  </si>
  <si>
    <t>Grey Box Neural Models (GBNM) constitute a real alternative for those processes for which the available a priori knowledge is incomplete. In this work an application to a biotechnological process has been performed. Good results of the GBNM acting as a software sensor for the non measured state variables has been shown. However even if the estimation performance is good, correct identification of the time varying parameters is not assured. Identifiability of these parameters has to be tested and some proposed techniques are used in this work showing that the specific growth kinetics and the specific production kinetics can be identified although the last one is more difficult because of its dependence on only one measured variable.</t>
  </si>
  <si>
    <t>Zanon-Moreno, Vicente/B-8348-2009; Cruz, Francisco/T-2698-2019</t>
  </si>
  <si>
    <t>Cruz, Francisco/0000-0002-1131-3382; Acuna Leiva, Gonzalo Pedro/0000-0002-0519-7792</t>
  </si>
  <si>
    <t>978-90-77381-27-4</t>
  </si>
  <si>
    <t>WOS:000245539500005</t>
  </si>
  <si>
    <t>Rugiero, E</t>
  </si>
  <si>
    <t>Doctor's profile for the XXI Century</t>
  </si>
  <si>
    <t>PLACENTA</t>
  </si>
  <si>
    <t>Joint Meeting of the 2nd Latinamerican Symposium on Fetal-Mateanal Interaction and Placenta/19th Annual Meeting of the Chilean-Society-of-Physiological-Sciences</t>
  </si>
  <si>
    <t>NOV 06-09, 2005</t>
  </si>
  <si>
    <t>Chilean Soc Physiol Sci</t>
  </si>
  <si>
    <t>0143-4004</t>
  </si>
  <si>
    <t>A17</t>
  </si>
  <si>
    <t>WOS:000233996200064</t>
  </si>
  <si>
    <t>Ramírez, G; Lucero, M; Riquelme, A; Villagrán, M; Costamagna, J; Trollund, E; Aguirre, MJ</t>
  </si>
  <si>
    <t>A supramolecular cobalt-porphyrin-modified electrode, toward the electroreduction of CO2</t>
  </si>
  <si>
    <t>The electro-reduction of carbon dioxide was studied by using a glassy carbon electrode modified with Co(II)-tetrabenzoporphyrin as adsorbed layers or as a supramolecular system. In order to obtain the supramolecular electrode, 4-aminopyridine was chemically bonded to the electrodic surface. On this surface, a first layer of porphyrins was anchored by the pyridine as it fifth ligand. Packed on the first layer of porphyrins, a supramolecular system is formed. The electrode modified with physically adsorbed layers of porphyrins does not show catalytic response toward the electroreduction of CO2. However, the supramolecular electrode is very stable and shows a high catalytic response.</t>
  </si>
  <si>
    <t>Aguirre, Maria/A-3935-2013</t>
  </si>
  <si>
    <t>Ramirez, Galo/0000-0002-6217-4730; Aguirre, Maria/0000-0003-1134-4469</t>
  </si>
  <si>
    <t>10.1080/00958970410001677051</t>
  </si>
  <si>
    <t>WOS:000221454300009</t>
  </si>
  <si>
    <t>Comman, H</t>
  </si>
  <si>
    <t>Criteria for large deviations</t>
  </si>
  <si>
    <t>TRANSACTIONS OF THE AMERICAN MATHEMATICAL SOCIETY</t>
  </si>
  <si>
    <t>We give the general variational form of limsup(integral(X) e(h(x)/t alpha) mu(alpha)(dx))(t alpha) for any bounded above Borel measurable function h on a topological space X, where (mu(alpha)) is a net of Borel probability measures on X, and (t(alpha)) a net in ]0,infinity[ converging to 0. When X is normal, we obtain a criterion in order to have a limit in the above expression for all h continuous bounded, and deduce new criteria of a large deviation principle with not necessarily tight rate function; this allows us to remove the tightness hypothesis in various classical theorems.</t>
  </si>
  <si>
    <t>0002-9947</t>
  </si>
  <si>
    <t>10.1090/S0002-9947-03-03274-4</t>
  </si>
  <si>
    <t>WOS:000182170300015</t>
  </si>
  <si>
    <t>Folch, LCA</t>
  </si>
  <si>
    <t>Hancock, GJ; Bradford, MA; Wilkinson, TJ; Uy, B; Rasmussen, KJR</t>
  </si>
  <si>
    <t>Prediction of fracture initiation in structural steel using tensile testing</t>
  </si>
  <si>
    <t>ADVANCES IN STRUCTURES, VOLS 1 AND 2</t>
  </si>
  <si>
    <t>International Conference on Advances in Structures, Steel, Concrete, Composite and Aluminium (ASSCCA 03)</t>
  </si>
  <si>
    <t>JUN 22-25, 2003</t>
  </si>
  <si>
    <t>SYDNEY, AUSTRALIA</t>
  </si>
  <si>
    <t>BHP Steel,Australian Steel Inst</t>
  </si>
  <si>
    <t>A numerical and experimental procedure has been developed to study the fracture initiation in a mild structural steel under tensile test conditions. A local approach coupled brittle ductile fracture model has been used to determine the stress and strain fields that produce initiation of failure at the center of the specimen, after the necking has occurred and before the final rupture. The standard finite element analysis overestimates the material strain hardening capacity, thus, a fracture criteria has to be introduced to improve the fracture prediction. The initiation of the internal failure of the material has been called, in the present work, the divergence point, since it produces a difference between experimental and standard finite element analysis results at certain level of plasticity. The divergence is believed to respond to the relaxation of part of the material which has undergone partial failure previous to the final rupture.</t>
  </si>
  <si>
    <t>90-5809-588-6</t>
  </si>
  <si>
    <t>WOS:000184437600025</t>
  </si>
  <si>
    <t>Palma, G; Cárdenas, VH</t>
  </si>
  <si>
    <t>Reheating driven by parametric and stochastic resonance</t>
  </si>
  <si>
    <t>We address the problem of particle production driven by both types of resonances, that has been proposed to enhance this phenomenon: parametric and stochastic resonance. Using a consistent semi-classical approximation, we find a novel saturation effect holding at the beginning of the amplifications.</t>
  </si>
  <si>
    <t>WOS:000180065500028</t>
  </si>
  <si>
    <t>Bubnovich, V; Rosas, C; Santander, R; Cáceres, G</t>
  </si>
  <si>
    <t>Computation of transient natural convection in a square cavity by an implicit finite-difference scheme in terms of the stream function and temperature</t>
  </si>
  <si>
    <t>In this article we discuss the application of an implicit scheme to tire solution by finite differences of transient natural convection in terms of the stream function and temperature. The second-order energy differential and fourth-order momentum equations are discretized according to the well-known alternate direction implicit (ADI) method. Then the temperature field solution is built based on the classic tridiagonal matrix algorithm (TDMA), and the stream function solution is built based on the two original hypotheses proposed here together with the penta diagonal matrix algorithm (PDMA). The time step in the algorithm is obtained analytically as a function of the Prandtl number and the size of the grid imposing the diagonal dominance condition in tire pentadiagonal matrix generated by the hypothesis. We verify the hypothesis and the algorithm using the transient natural convection solution in the following parameter ranges: 10(3) less than or equal to Ra less than or equal to 10(6), 10(-2) less than or equal to Pr less than or equal to 10(2), 21 x 21 less than or equal to grid less than or equal to 61 x 61. The transient solution to the problem is presented using the average Nusselt number and local Nusselt numbers on the hot wall, CPU time, the temperature and velocity profiles in the y = 0.5 section, and the temperature in the central point of the cavity. The results of the permanent solution are presented using the maximum value of the stream function within the domain and the average Nusselt number on the cold wall as a function of the Rayleigh number, the relaxation parameter, Prandtl number, and the size of the grid. Finally, both tire transient and permanent solution results are compared with the results of five other published studies.</t>
  </si>
  <si>
    <t>1521-0634</t>
  </si>
  <si>
    <t>10.1080/10407780290059620</t>
  </si>
  <si>
    <t>WOS:000177611800005</t>
  </si>
  <si>
    <t>Retamal, JC; Vergara, L</t>
  </si>
  <si>
    <t>Regularizing divergences in the von Neumann entropy</t>
  </si>
  <si>
    <t>JOURNAL OF MATHEMATICAL PHYSICS</t>
  </si>
  <si>
    <t>We study the decoherence process of a harmonic oscillator in a dissipative environment by considering the von Neumann entropy. Derivatives of the von Neumann entropy around the initial time exhibit divergences when the system is initially in a pure state. A regularization procedure based on the zeta function technique is considered in order to extract information about decoherence. (C) 2002 American Institute of Physics.</t>
  </si>
  <si>
    <t>Retamal, Juan/G-6425-2010; Vergara, Lautaro/V-2736-2019</t>
  </si>
  <si>
    <t>Retamal Abarzua, Juan Carlos/0000-0002-7174-7879</t>
  </si>
  <si>
    <t>0022-2488</t>
  </si>
  <si>
    <t>10.1063/1.1428809</t>
  </si>
  <si>
    <t>WOS:000173316700010</t>
  </si>
  <si>
    <t>Cruchaga, MA; Celentano, DJ</t>
  </si>
  <si>
    <t>A fixed-mesh finite element thermally coupled flow formulation for the numerical analysis of melting processes</t>
  </si>
  <si>
    <t>INTERNATIONAL JOURNAL FOR NUMERICAL METHODS IN ENGINEERING</t>
  </si>
  <si>
    <t>In the framework of the finite element method, a temperature-based thermally coupled Row formulation including phase-change effects is proposed to study melting processes. The governing equations of the problem, written in terms of its primitive variables, are solved using a generalized streamline operator technique that enables the use of equal interpolation functions for the unknowns: velocity, pressure and temperature. Moreover, a unique fixed finite element mesh is used to avoid the difficulties related to moving meshes. This methodology is applied and assessed in the numerical analysis of a benchmark problem known as the melting process of gallium in a differentially heated recipient using distinct geometric aspect ratios. Copyright (C) 2001 John Wiley &amp; Sons, Ltd.</t>
  </si>
  <si>
    <t>Celentano, Diego/JQW-5027-2023; Cruchaga, Marcela/M-7522-2014</t>
  </si>
  <si>
    <t>Cruchaga, Marcela/0000-0002-8708-2402</t>
  </si>
  <si>
    <t>0029-5981</t>
  </si>
  <si>
    <t>AUG 10</t>
  </si>
  <si>
    <t>10.1002/nme.236</t>
  </si>
  <si>
    <t>WOS:000169927400006</t>
  </si>
  <si>
    <t>Scattering in three-dimensional extremal black holes</t>
  </si>
  <si>
    <t>CLASSICAL AND QUANTUM GRAVITY</t>
  </si>
  <si>
    <t>An approach to scattering theory in three-dimensional AdS spaces is proposed. Firstly, we consider the scattering of spinless relativistic particles by a three-dimensional extremal black hole and compute the absorption cross section sigma (abs) = J(abs)/J(infinity) without using in and out states. Secondly, we posit a reciprocal space H where in and out states and the scattering amplitude are defined as in usual scattering theory. We show that both descriptions are equivalent and H could be considered as the space where the scattering processes in AdS should be defined.</t>
  </si>
  <si>
    <t>Gamboa, Jorge/R-8744-2019</t>
  </si>
  <si>
    <t>Mendez, Fernando/0000-0002-9257-9552</t>
  </si>
  <si>
    <t>0264-9381</t>
  </si>
  <si>
    <t>JAN 21</t>
  </si>
  <si>
    <t>10.1088/0264-9381/18/2/302</t>
  </si>
  <si>
    <t>WOS:000166659500004</t>
  </si>
  <si>
    <t>Group (fragment) contribution method for predicting the brain/blood partitioning of organic compounds</t>
  </si>
  <si>
    <t>Experimental values of the partition constants between brain and blood, log K(Br/B;), of a series of compounds including simple organic molecules and some drugs were correlated with experimental values of the partitioning between sodium dodecylsulfate (SDS) micelles and water, log K(SDS/w). From a training data set of 21 compounds a good linear correlation was found and a function was derived to relate log K(Br/Bl) with log K(SDS/w). This correlation together with a simple group (fragment) contribution method that is proposed to calculate log K(SDS/w) provided the basis for a succesfull calculation of log K(Br/Bl) values for several compounds outside the training dataset.</t>
  </si>
  <si>
    <t>WOS:000088306000016</t>
  </si>
  <si>
    <t>Urzúa, A; Andrade, L; Jara, F</t>
  </si>
  <si>
    <t>Comparative chemical composition of the resinous exudates from Haplopappus foliosus and H. uncinatus</t>
  </si>
  <si>
    <t>10.1016/S0305-1978(99)00080-0</t>
  </si>
  <si>
    <t>WOS:000086859700010</t>
  </si>
  <si>
    <t>Monsalve, A; Celentano, D</t>
  </si>
  <si>
    <t>Finite element analysis and experimental validation of microstructure evolution during coiling of low carbon steel sheet</t>
  </si>
  <si>
    <t>IRONMAKING &amp; STEELMAKING</t>
  </si>
  <si>
    <t>The microstructure evolution during the coiling of low carbon steel sheet is analysed. For this purpose, a thermal finite element formulation coupled with a phase change model and a kinetic law for the reaction of the precipitated aluminium nitride (AIN) is described. The numerical results obtained in this work are experimentally validated. The influence of the phase change and the coiling temperature on the cooling rates and on the AIN precipitated fraction are shown. I&amp;S/1415.</t>
  </si>
  <si>
    <t>Monsalve, Alberto/0000-0002-5772-8815</t>
  </si>
  <si>
    <t>0301-9233</t>
  </si>
  <si>
    <t>10.1179/030192399677293</t>
  </si>
  <si>
    <t>WOS:000085050800022</t>
  </si>
  <si>
    <t>Aranda, M; Neptali, N; Karque, R; Mendoza, H; Sepulveda, C; Silva, C</t>
  </si>
  <si>
    <t>Mutations of p53 suppressor gene in gastric adenocarcinoma</t>
  </si>
  <si>
    <t>Background: We have shown numeric alterations such as hyperploidy and hypoploidy with loss of chromosome 17 in primary gastric cancer. This chromosome maps p53 suppressor gene that induces the transcription of genes related to cellular cycle control, DNA synthesis and repair; cellular differentiation and apoptosis. Aim: To analyze, at a molecular level, the possible alterations of p53 suppressor gene in samples of gastric cancer and non tumoral mucosa. Material and methods: Tissue samples of gastric cancer and tumoral gastric mucosa coming from 26 patients subjected to a total gastrectomy were analyzed. The mutation of p53 suppressor gene exons 7 to 9 were determined using a conformational polymorphism analysis in single strands of the gene and indirect sequencing in some cases. Results: Alterations in p53 gene were found in 77% of tumoral and 19% of non tumoral samples. T insertions in codons 260, 317 and 321, G insertion in codon 328 and G-T transvertion in codon 302 were found. Aminoacid sequence analysis of p53 protein obtained with sequencing data showed that T insertion in codon 260 could translate three erroneous aminonacids after the mutation and produce a truncated protein due to the creation of a stop codon. No associations between alterations of p53 gene and clinical or pathological variables such as age sex, tumor localization, histological type and presence of lymph node metastases were observed. Conclusions: Mutations of p53 suppressor gene are frequent in gastric carcinoma.</t>
  </si>
  <si>
    <t>WOS:000074898500007</t>
  </si>
  <si>
    <t>Prado, H; Ubilla, P</t>
  </si>
  <si>
    <t>Caristi, G; Mitidieri, E</t>
  </si>
  <si>
    <t>Existence of nonnegative solutions for generalized p-Laplacians</t>
  </si>
  <si>
    <t>REACTION DIFFUSION SYSTEMS</t>
  </si>
  <si>
    <t>Lecture Notes in Pure and Applied Mathematics</t>
  </si>
  <si>
    <t>Meeting on Reaction Diffusion Systems</t>
  </si>
  <si>
    <t>OCT 02-07, 1995</t>
  </si>
  <si>
    <t>UNIV TRIESTE, DIPT SCI MATEMAT, TRIESTE, ITALY</t>
  </si>
  <si>
    <t>Univ Trieste,European Commiss,CNR,Reg Autonoma Friuli Venezia Giulia,SAAB MAZDA Girometta Trieste</t>
  </si>
  <si>
    <t>UNIV TRIESTE, DIPT SCI MATEMAT</t>
  </si>
  <si>
    <t>0075-8469</t>
  </si>
  <si>
    <t>0-8247-0125-9</t>
  </si>
  <si>
    <t>WOS:A1998BJ57F00021</t>
  </si>
  <si>
    <t>Lillo, LE; Matsuhiro, B</t>
  </si>
  <si>
    <t>Chemical modifications of carboxylated chitosan</t>
  </si>
  <si>
    <t>C-6-carboxylated chitosan obtained by oxidation of chitosan was selectively modified in order to obtain derivatives similar to bacterial antigens. Selective O-acetylation of 6-carboxyl chitosan afforded a modified polysaccharide with the 2-amino group available for further modifications to create carbonyl groups. A deaminative degradation reaction allowed the formation of oligosaccharides with terminal aldehyde groups. Reductive alkylation with lactose introduced lactityl branches which were oxidized with galactose oxidase to give aldehyde groups in its D-galactose residues. (C) 1998 Elsevier Science Ltd. All rights reserved.</t>
  </si>
  <si>
    <t>10.1016/S0144-8617(97)00117-3</t>
  </si>
  <si>
    <t>WOS:000073173200025</t>
  </si>
  <si>
    <t>Henriquez, HR</t>
  </si>
  <si>
    <t>Regularity of solutions of abstract retarded functional differential equations with unbounded delay</t>
  </si>
  <si>
    <t>10.1016/0362-546X(95)00160-W</t>
  </si>
  <si>
    <t>WOS:A1997VV68800007</t>
  </si>
  <si>
    <t>UretaZanartu, MS; Yanez, C; Paez, M; Reyes, G</t>
  </si>
  <si>
    <t>Electrocatalytic oxidation of ethylene glycol in 0.5 M H2SO4 and 0.5 M NaOH solutions at a bimetallic deposited electrode</t>
  </si>
  <si>
    <t>The activity of Pt, Pt + Pb and Pt + Ir deposits on Ti, for ethylene glycol (EG) oxidation, was studied in both 0.5 M H2SO4 and 0.5 M NaOH solutions. The metallic deposits were prepared by electrolysis at constant current on Ti, with their morphology studied by scanning electron microscopy. These electrodes revealed higher activities in alkaline medium than in acid solutions, the Pt deposits being the most active for EG electro-oxidation. In acid medium, although the electrodes generally showed low electrocatalytic activities, among them Pt + Ir codeposits presented the best performance. Additionally, from activity measurements in acid medium, a synergistic effect for Pt + Ir electrodes was observed. The effect of the supporting electrolyte on the activity of these electrodes is discussed in terms of a reaction path, which is dependent on the OH- anions in alkaline solutions and on the adsorbed (OH)(ad) species in sulfuric acid solution.</t>
  </si>
  <si>
    <t>Yañez, Claudia/I-2840-2013; Paez, Maritza/M-2010-2014; Ureta-Zañartu, Maria/G-5239-2019</t>
  </si>
  <si>
    <t>0022-0728</t>
  </si>
  <si>
    <t>10.1016/0022-0728(95)04407-8</t>
  </si>
  <si>
    <t>WOS:A1996UN54700018</t>
  </si>
  <si>
    <t>Campos, AM; Lissi, EA</t>
  </si>
  <si>
    <t>Evaluation of the antioxidant capacity of herbal teas by a procedure based on the bleaching of ABTS radical cations</t>
  </si>
  <si>
    <t>The antioxidant capacity of herbal teas is evaluated by a new procedure based on the bleaching of the absorbance of pre-formed 2,2'-azinobis(3-ethylbenzthiazolinesulfonic acid) radical cations. The method allows both an estimation of the total amount and the reactivity of the antioxidants present in the infusion. The species evaluated were black tea, Matricaria chamonilla L., Peumus boldus Mel., Buddleja globosa Hope, Mentha sp., Mentha piperita L., Melissa officinalis L., Plantago major L., Aloysia citriodera Ort. and Rosa moschata Herrm. All the infusions were prepared employing commercial teabags and, for some herbals, the results were compared with those obtained employing the corresponding green leaves. Although all the herbal teas present significant antioxidant activities, the quantities and qualities of the antioxidants vary markedly between the different infusions.</t>
  </si>
  <si>
    <t>WOS:A1995TN57900005</t>
  </si>
  <si>
    <t>URZUA, A; TORRES, R; BUENO, C; MENDOZA, L</t>
  </si>
  <si>
    <t>FLAVONOIDS AND DITERPENOIDS IN THE TRICHOME RESINOUS EXUDATES FROM PSEUDOGNAPHALIUM-CHEIRANTHIFOLIUM, P-HETEROTRICHIUM AND P-VIRA-VIRA</t>
  </si>
  <si>
    <t>10.1016/0305-1978(95)00025-P</t>
  </si>
  <si>
    <t>WOS:A1995RW15900017</t>
  </si>
  <si>
    <t>UBILLA, P</t>
  </si>
  <si>
    <t>MULTIPLICITY RESULTS FOR THE 1-DIMENSIONAL GENERALIZED P-LAPLACIAN</t>
  </si>
  <si>
    <t>Using Energy Relations we prove the existence and multiplicity of solutions of the boundary value problem [GRAPHICS] (C) 1995 Academic Press, Inc.</t>
  </si>
  <si>
    <t>10.1006/jmaa.1995.1097</t>
  </si>
  <si>
    <t>WOS:A1995QL81500019</t>
  </si>
  <si>
    <t>MALLOL, J</t>
  </si>
  <si>
    <t>EFFICACY OF BCG IMMUNIZATION AGAINST TUBERCULOSIS IN CHILDREN</t>
  </si>
  <si>
    <t>1st International Congress on Pediatric Pulmonology (CIPP I)</t>
  </si>
  <si>
    <t>JUN 02-05, 1994</t>
  </si>
  <si>
    <t>NICE, FRANCE</t>
  </si>
  <si>
    <t>French Minist Hlth,French Minist Culture &amp; Francophonia,Red Cross,French Pediat Soc</t>
  </si>
  <si>
    <t>Mallol, Javier/0000-0003-2528-8672</t>
  </si>
  <si>
    <t>WOS:A1995RG86700012</t>
  </si>
  <si>
    <t>BUSTOS, OL; REIF, W</t>
  </si>
  <si>
    <t>GRAIN-REFINEMENT OF SUPERPURE COPPER BY ADDITIONS .2.</t>
  </si>
  <si>
    <t>METALL</t>
  </si>
  <si>
    <t>The second part of the study deals with the possibility refining superpure copper by addition of a combination of several elements in form of binary and ternary master alloys. The best result was obtained with Cd and S at a pouring temperature of 1120-degrees-C; additions of Cd + Se, Cd + Te and Ni + Sb were also found to be very effective.</t>
  </si>
  <si>
    <t>0026-0746</t>
  </si>
  <si>
    <t>WOS:A1994NB36900009</t>
  </si>
  <si>
    <t>LIZAMA, C</t>
  </si>
  <si>
    <t>ON THE CONVERGENCE AND APPROXIMATION OF INTEGRATED SEMIGROUPS</t>
  </si>
  <si>
    <t>10.1006/jmaa.1994.1007</t>
  </si>
  <si>
    <t>WOS:A1994MW30900007</t>
  </si>
  <si>
    <t>Goles, E; Martinez, S</t>
  </si>
  <si>
    <t>STORAGE OF CORRELATED PATTERNS IN NEURAL NETWORKS</t>
  </si>
  <si>
    <t>CELLULAR AUTOMATA, DYNAMICAL SYSTEMS AND NEURAL NETWORKS</t>
  </si>
  <si>
    <t>MATHEMATICS AND ITS APPLICATIONS</t>
  </si>
  <si>
    <t>3rd School on Statistical Physics and Cooperative Systems</t>
  </si>
  <si>
    <t>DEC 14-18, 1992</t>
  </si>
  <si>
    <t>FONDECYT,CONICYT,FRENCH COOPERAT,DEPT RELACIONES INT,UNIVERSIDAD CHILE, DTI,FACULTAD CIENCIAS FIS &amp; MATEMAT, DEPT INGENIERIA MATEMAT,FACULTAD CIENCIAS FIS &amp; MATEMAT, CENET</t>
  </si>
  <si>
    <t>0-7923-2772-1</t>
  </si>
  <si>
    <t>WOS:A1994BA80A00005</t>
  </si>
  <si>
    <t>ENCINAS, MV; LISSI, EA; RUFS, AM</t>
  </si>
  <si>
    <t>INCLUSION AND FLUORESCENCE QUENCHING OF 2,3-DIMETHYLNAPHTHALENE IN BETA-CYCLODEXTRIN CAVITIES</t>
  </si>
  <si>
    <t>PHOTOCHEMISTRY AND PHOTOBIOLOGY</t>
  </si>
  <si>
    <t>The fluorescence quenching of 2,3-dimethylnaphthalene (DMN) incorporated to beta-cyclodextrin (beta-CD) cavities by different olefins (fumaronitrile, acrylonitrile, acrylamide and 2-hydroxyethylmethacrylate) has been measured as a function of the beta-CD concentration. The quenching efficiency decreases when the beta-CD concentration increases, but extrapolation of the data to infinite cavities concentration does not indicate complete protection. These results are interpreted in terms of two quenching processes, one of them taking place between 2,3-dimethylnaphthalene associated to a beta-CD cavity and free quencher, and the other between the DMN and the quencher molecule, both associated with a different cavity. The rate constants of both quenching processes and the beta-CD quencher association constant are obtained from the dependence of the quenching efficiency with beta-CD concentration.</t>
  </si>
  <si>
    <t>0031-8655</t>
  </si>
  <si>
    <t>1751-1097</t>
  </si>
  <si>
    <t>10.1111/j.1751-1097.1993.tb02924.x</t>
  </si>
  <si>
    <t>WOS:A1993LB36600004</t>
  </si>
  <si>
    <t>MARTINEZ, M; FERNANDEZ, S; HERRERA, M; PLA, Y</t>
  </si>
  <si>
    <t>Maurer, H</t>
  </si>
  <si>
    <t>DESIGN, DEVELOPMENT, IMPLEMENTATION AND EVALUATION OF COMPUTER-BASED INSTRUCTION (CBI) FOR SOME TOPICS OF GENERAL CHEMISTRY COURSES</t>
  </si>
  <si>
    <t>EDUCATIONAL MULTIMEDIA AND HYPERMEDIA ANNUAL, 1993</t>
  </si>
  <si>
    <t>World Conference on Educational Multimedia and Hypermedia (ED-MEDIA 93)</t>
  </si>
  <si>
    <t>JUN 23-26, 1993</t>
  </si>
  <si>
    <t>ORLANDO, FL</t>
  </si>
  <si>
    <t>ASSOC ADV COMP EDUC</t>
  </si>
  <si>
    <t>1-880094-06-1</t>
  </si>
  <si>
    <t>WOS:A1993BC60T00115</t>
  </si>
  <si>
    <t>MATUTE, EA</t>
  </si>
  <si>
    <t>PREQUARK-ANTILEPTON-SYMMETRICAL ELECTROWEAK MODEL</t>
  </si>
  <si>
    <t>NUOVO CIMENTO DELLA SOCIETA ITALIANA DI FISICA A-NUCLEI PARTICLES AND FIELDS</t>
  </si>
  <si>
    <t>We present an electroweak theory based on a composite model in which electroweak and color charges are effective low-energy quantum numbers and the pre-states of quarks and leptons of the first generation are the fundamental particles, with an underlying dynamics being prequark-antilepton symmetric. The three generations of physical states, however, are put on an equal footing as elementary and composite (&lt;&lt; generation democracy &gt;&gt;). All the features of the standard model are accounted for except that one Higgs doublet for each basic fermion and a mixed spin-0 field are included, which break a high-energy extended electroweak symmetry and give rise to an additional set of heavier left-handed weak bosons, having equal mass and no universality. The model provides a deep unification of strong and electroweak interactions, i.e. color and flavor, and also an intimate relation between the number of quark colors and flavor generations.</t>
  </si>
  <si>
    <t>1124-1861</t>
  </si>
  <si>
    <t>10.1007/BF02771501</t>
  </si>
  <si>
    <t>WOS:A1993KT80300001</t>
  </si>
  <si>
    <t>LISSI, EA; ENGEL, D</t>
  </si>
  <si>
    <t>INCORPORATION OF N-ALKANOLS IN REVERSE MICELLES IN THE AOT N-HEPTANE WATER-SYSTEM</t>
  </si>
  <si>
    <t>LANGMUIR</t>
  </si>
  <si>
    <t>Partitioning of alkanols (from ethanol to n-decanol) between the bulk (n-heptane) solvent and the micellar pseudophase is obtained from their effect upon the fluorescence intensity of indoleacetate anions incorporated into AOT reverse micelles and partially quenched by carbon tetrachloride as a function of the surfactant concentration (at fixed water/surfactant ratios). For all the alkanols considered, the extent of incorporation into the micelles decreases when the water/AOT ratio increases from 4 to 20. At a given water/AOT ratio, the incorporation of the n-alkanol increases when the length of the alkyl chain increases. However, this dependence is small, the partition constant changing by less than a factor of 6 between ethanol and n-decanol. These results are interpreted in terms of an interfacial localization of the polar head of the alkanols in the micellar interface, with the alkyl chains extended toward the bulk solvent.</t>
  </si>
  <si>
    <t>0743-7463</t>
  </si>
  <si>
    <t>10.1021/la00038a023</t>
  </si>
  <si>
    <t>WOS:A1992HG56600023</t>
  </si>
  <si>
    <t>CONTRERAS, ML; ALLENDES, C; ALVAREZ, LT; ROZAS, R</t>
  </si>
  <si>
    <t>COMPUTATIONAL PERCEPTION AND RECOGNITION OF DIGITIZED MOLECULAR-STRUCTURES</t>
  </si>
  <si>
    <t>Molecular structures containing both common and special alphanumeric characters are efficiently recognized by a program written in C. The program was designed to process type- and hand-printed structures. A scanner digitizes the corresponding images. Treatment of the binary information obtained in this way includes molecular graph perception and character recognition. Known and new image processing methods for molecular graph perception and an intelligent pattern-recognition principle for character processing were used. A graphic interface allows one to display and manipulate the recognized molecular images. Applications of the software to different areas such as molecular design, automatic input of structures to databases like ARIUSA, and others are also presented.</t>
  </si>
  <si>
    <t>10.1021/ci00067a014</t>
  </si>
  <si>
    <t>WOS:A1990DV91000014</t>
  </si>
  <si>
    <t>ROZAS, R; FERNANDEZ, H</t>
  </si>
  <si>
    <t>AUTOMATIC PROCESSING OF GRAPHICS FOR IMAGE DATABASES IN SCIENCE</t>
  </si>
  <si>
    <t>10.1021/ci00065a003</t>
  </si>
  <si>
    <t>WOS:A1990CP94600003</t>
  </si>
  <si>
    <t>CORREA, HA; VEGA, RE</t>
  </si>
  <si>
    <t>ANALYSIS OF SEVERAL METHODS TO DETERMINE THE ACTIVITY OF WATER IN SOLUTIONS OF STRONG ELECTROLYTES</t>
  </si>
  <si>
    <t>CANADIAN JOURNAL OF CHEMICAL ENGINEERING</t>
  </si>
  <si>
    <t>0008-4034</t>
  </si>
  <si>
    <t>10.1002/cjce.5450670516</t>
  </si>
  <si>
    <t>WOS:A1989CA59200016</t>
  </si>
  <si>
    <t>SUBSTRATE BINDING ORDER IN MEVALONATE 5-DIPHOSPHATE DECARBOXYLASE FROM CHICKEN LIVER</t>
  </si>
  <si>
    <t>BIOCHIMICA ET BIOPHYSICA ACTA</t>
  </si>
  <si>
    <t>The substrate binding order of chicken liver mevalonate 5-diphosphate decarboxylase was investigated by using competitive inhbitors of the substrates. Mevalonate and mevalonate 5-phosphate showed mixed inhibition when ATP was the varied substrate. Both analogues of ATP, adenosine 5''-O-(3-thiotriphosphate) and .beta.-.tau. methylene adenosine 5''-triphosphate showed uncompetitive inhibition against mevalonate 5-diphosphate. These results are in accordance with an ordered sequential mechanism with mevalonate 5-diphosphate as the first substrate to bind to the enzyme.</t>
  </si>
  <si>
    <t>0006-3002</t>
  </si>
  <si>
    <t>JUL 6</t>
  </si>
  <si>
    <t>10.1016/0167-4838(89)90256-2</t>
  </si>
  <si>
    <t>WOS:A1989AF34400017</t>
  </si>
  <si>
    <t>ALVEAR, M; CARDEMIL, E</t>
  </si>
  <si>
    <t>CHICKEN LIVER DECARBOXYLASE 5-DIPHOSPHOMEVALONATE - EVIDENCE OF 2 FUNCTIONAL VICINAL DITHIOLS</t>
  </si>
  <si>
    <t>ARCHIVOS DE BIOLOGIA Y MEDICINA EXPERIMENTALES</t>
  </si>
  <si>
    <t>0004-0533</t>
  </si>
  <si>
    <t>R174</t>
  </si>
  <si>
    <t>WOS:A1987L151200093</t>
  </si>
  <si>
    <t>ABUIN, E; LISSI, E; GARGALLO, L; RADIC, D</t>
  </si>
  <si>
    <t>PHOTOBEHAVIOR OF BENZYL CONTAINING ITACONATE POLYMERS</t>
  </si>
  <si>
    <t>MAKROMOLEKULARE CHEMIE-MACROMOLECULAR SYMPOSIA</t>
  </si>
  <si>
    <t>0258-0322</t>
  </si>
  <si>
    <t>10.1002/masy.19860020116</t>
  </si>
  <si>
    <t>WOS:A1986C170700015</t>
  </si>
  <si>
    <t>VILLARROEL, L; TORRES, R</t>
  </si>
  <si>
    <t>A NEW FURANOEREMOPHILANE FROM SENECIO-FISTULOSUS</t>
  </si>
  <si>
    <t>10.1021/np50041a028</t>
  </si>
  <si>
    <t>WOS:A1985AVJ5500028</t>
  </si>
  <si>
    <t>ABUIN, EB; VALENZUELA, E; LISSI, EA</t>
  </si>
  <si>
    <t>SOLUBILITY OF NEUTRAL MOLECULES IN MICELLAR SOLUTIONS - EFFECT OF THE SOLUTE OCCUPATION NUMBER</t>
  </si>
  <si>
    <t>10.1016/0021-9797(84)90051-1</t>
  </si>
  <si>
    <t>WOS:A1984TM71400014</t>
  </si>
  <si>
    <t>Salinas, SC; Herrera-Seda, C; Quezada, NF; Vidal, CR; Espinoza, JPE</t>
  </si>
  <si>
    <t>Salinas, Sylvia Contreras; Herrera-Seda, Constanza; Quezada, Natalia Ferrada; Vidal, Cristian Rozas; Espinoza, Juan Pablo Espinoza</t>
  </si>
  <si>
    <t>Collaborative ethnography and teacher re-signification in reinsertion and re-entry programs in Chile: a path of reflection and opening up</t>
  </si>
  <si>
    <t>INTERNATIONAL JOURNAL OF QUALITATIVE STUDIES IN EDUCATION</t>
  </si>
  <si>
    <t>In recent decades, Latin American countries have experienced increased enrollment, yet many children and youth remain outside the education system, questioning its relevance. In this context, teachers are called to be aware of and value children and youth's cultural diversity to harness it as the basis for relevant and transformative education. In this article, we analyse the teachers' and teacher educators' reflections about their practices sparked by collaborative ethnography experiences with children and youth in Chilean reinsertion and re-entry programs. In the results, teachers and teacher educators reflect on the value of collaborative ethnographies in mobilising transformative reflections about children and youth as active makers of the social world. We also discuss the openings of this methodological approach to reduce asymmetries between adults, children, and youth and the latter's role as co-producers of teacher professional development programmes.</t>
  </si>
  <si>
    <t>Herrera-Seda, Constanza/0000-0001-5778-6495; CONTRERAS-SALINAS, SYLVIA/0000-0003-2297-2399</t>
  </si>
  <si>
    <t>0951-8398</t>
  </si>
  <si>
    <t>1366-5898</t>
  </si>
  <si>
    <t>MAR 16</t>
  </si>
  <si>
    <t>10.1080/09518398.2025.2454293</t>
  </si>
  <si>
    <t>WOS:001407002400001</t>
  </si>
  <si>
    <t>Dupré, EAH</t>
  </si>
  <si>
    <t>Dupre, Eduardo Andres Hodge</t>
  </si>
  <si>
    <t>Political violence after independence in the thought of Lucas Alaman, Jose Maria Luis Mora, Juan B. Alberdi and Domingo F. Sarmiento</t>
  </si>
  <si>
    <t>This paper addresses the issue of political violence after the independence process in the thoughts of the Mexicans Lucas Alaman and Jose Maria Luis Mora, and the Argentines Juan Bautista Alberdi and Domingo Faustino Sarmiento. During the first half of the 19th century, they reflected on the complex situation of their nations, immersed in instability and violence due to the conflicts and hatreds that arose between factions after independence. Based on their main works, the causes of such violence, its characteristics, and the consequences they saw for the order and progress of the new republics are analyzed. In general, from their different ideological perspectives, more liberal or more conservative, the four coincide in their concern for violence and in their ambivalence about the influence of the French Revolution on the Spanish-American nations.</t>
  </si>
  <si>
    <t>10.21830/19006586.1252</t>
  </si>
  <si>
    <t>WOS:001296541600011</t>
  </si>
  <si>
    <t>Castillo, E; Santos, A; Gonzalez, A</t>
  </si>
  <si>
    <t>Castillo, E.; Santos, A.; Gonzalez, A.</t>
  </si>
  <si>
    <t>Numerical study of the use of shear-thinning nanofluids in a microchannel heat sink with different pin densities and including vortex generator</t>
  </si>
  <si>
    <t>This article numerically investigates the thermal and hydraulic performance of shear-thinning nanofluids when used as heat-conducting fluids in a microchannel heat sink device. Five geometries are evaluated: four with different pin densities and one with vortex generators. Six Reynolds numbers are studied, ranging between 200 and 1200. Numerical experiments show a comparison of using a water/ethylene-glycol mixture with and without alumina nanoparticles and multiwalled carbon nanotubes. Two different concentrations of nanoparticles were evaluated, both given shear-thinning nanofluid behavior. The viscous properties of the fluids are fitted from previously reported experimental data. The other thermophysical properties are modeled using single-phase expressions adjusted to consider hybrid nanofluids. Numerical results show that the heat transfer rates and pressure drop increase when the pin density increases, resulting in thermal blocking in the case of higher pin density. These key findings are a result of the increase in the heat transfer of shear-thinning nanofluids and the reduction of the pressure drop when compared with Newtonian fluids. Apparent viscosity contours are used to understand the thermal and hydraulic performance. Between the two nanofluids studied, the one with the lowest power-law index was the best in terms of heat extraction and pressure drop, indicating that fluids with thinning rheology may be recommended for heat transport in microchannel heat sink devices.</t>
  </si>
  <si>
    <t>WOS:001224063600001</t>
  </si>
  <si>
    <t>Barros, IS</t>
  </si>
  <si>
    <t>Barros, Israel Sanmartin</t>
  </si>
  <si>
    <t>Eschatology and discourse on the end of times in the Iberian Peninsula (8th-12th century)</t>
  </si>
  <si>
    <t>STUDIA HISTORICA-HISTORIA MEDIEVAL</t>
  </si>
  <si>
    <t>0213-2060</t>
  </si>
  <si>
    <t>WOS:001352623600011</t>
  </si>
  <si>
    <t>Duhalde, B</t>
  </si>
  <si>
    <t>Duhalde, Byron</t>
  </si>
  <si>
    <t>Theoretical-Conceptual Reflections of Historical Institutionalism in International Relations. Contributions and Challenges to a Dynamic Field of Study.</t>
  </si>
  <si>
    <t>This article reflects on the relevance of Historical Institutionalism (HI) in International Relations (IR), focusing on the study of International Regimes and Institutions. It highlights how HI explains persistence and gradual institutional change through its analytical tools and boundary conceptualizations based on endogenous change. The article concludes by identifying the challenges and opportunities of HI in IR, emphasizing the need to expand its application to the study of endogenous international institutional dynamics, where States generate effects on the social reality sought by International Institutions.</t>
  </si>
  <si>
    <t>Duhalde, Byron/KIB-6636-2024</t>
  </si>
  <si>
    <t>WOS:001078994100002</t>
  </si>
  <si>
    <t>FORMS OF BETRAYAL IN TESTIMONIES OF IMPRISONMENT AND TORTURE IN CHILE</t>
  </si>
  <si>
    <t>This article seeks to show the different ways in which betrayal is presented in Chilean testimonies of political imprisonment and torture. In order to do so, we distinguish degrees and ways in which this phenomenon appears in the texts. In the first place, certain passive forms of betrayal can be observed, that is, forms of betrayal that are characterized by a non-doing. Here we find such forms of betrayal as refusing help to one who is in need, being ungrateful to a benefactor, as well as abandoning friends and companions. Then, we distinguish forms of betrayal characterized by direct action. Here, first of all, we find forms of betrayal linked to speaking, among which informing is the most prominent. Finally, we move on to other forms of betrayal that go beyond telling and move on to other forms of doing, such as collaboration and even conversion.</t>
  </si>
  <si>
    <t>WOS:001004544400002</t>
  </si>
  <si>
    <t>A neglected account of structured propositions</t>
  </si>
  <si>
    <t>LIMITE-REVISTA DE FILOSOFIA Y PSICOLOGIA</t>
  </si>
  <si>
    <t>In this paper, I vindicate a neglected account of structured propositions embraced by the young Moore and the young Russell, according to which propositions are structured non-representational chunks of reality composed of other non-representational chunks of reality. Firstly, I present the standard desiderata for propositions and the focus of my paper. Secondly, I discuss the standard account of structured propositions, which understands them to be complex representational entities of some sort. Thirdly, I go through the objections against that standard account of structured propositions and the reasons for considering propositions to be simple representational entities. Fourthly, I show how the neglected account of structured propositions that I vindicate can do the job.</t>
  </si>
  <si>
    <t>0718-1361</t>
  </si>
  <si>
    <t>0718-5065</t>
  </si>
  <si>
    <t>WOS:001057514100004</t>
  </si>
  <si>
    <t>Truth as Identity</t>
  </si>
  <si>
    <t>REVISTA DE HUMANIDADES DE VALPARAISO-RHV</t>
  </si>
  <si>
    <t>My aim in this article is to defend the essential core of the theories of truth that understand truth as identity, namely: that the truth -bearer is the truth -maker. In particular, I am interested in defending the version of Hornsby (1997) and McDowell (1994) against the attacks made by Dodd (1995; 1999; 2008). My defense is applicable to previous versions belonging to this family of theories, especially to that of Moore (1899; 1902).</t>
  </si>
  <si>
    <t>0719-4234</t>
  </si>
  <si>
    <t>0719-4242</t>
  </si>
  <si>
    <t>10.22370/rhv2023iss23pp225-238</t>
  </si>
  <si>
    <t>WOS:001244750300014</t>
  </si>
  <si>
    <t>Carvajal-Meza, MA; Hurtado-Cruz, JP</t>
  </si>
  <si>
    <t>Tukkaraja, P</t>
  </si>
  <si>
    <t>Carvajal-Meza, M. A.; Hurtado-Cruz, J. P.</t>
  </si>
  <si>
    <t>CFD study of cavern ventilation</t>
  </si>
  <si>
    <t>UNDERGROUND VENTILATION, NAMVS 2023</t>
  </si>
  <si>
    <t>19th North American Mine Ventilation Symposium</t>
  </si>
  <si>
    <t>JUN 17-22, 2023</t>
  </si>
  <si>
    <t>Rapid City, SD</t>
  </si>
  <si>
    <t>South Dakota School Of Mines &amp; Technology</t>
  </si>
  <si>
    <t>The ventilation of mines and underground works has been studied for more than 100 years, with extensive and rigorous results that currently aid in safely performing underground operations of different kinds and characteristics. However, the study of underground ventilation in large volumes such as caverns has seen relatively little open study, being part of engineering studies without further disclosure. In general terms, it is the final use of the cavern that determines the ventilation system to be used. In this regard, the present study is generated from the need to define elementary ventilation systems for underground caverns linked to the construction system, which allows for maximum pollutant drag with minimum flow rate and reducing recirculating secondary flows. For this, Computational Fluid Mechanics is used as a simulation and analysis tool through the Ansys Fluent software, generating various simulation scenarios of steady and transient flows. The results show different ways of ventilating according to the established boundary conditions and the construction geometries used, which could help to orientate future ventilation designs from an academic exercise.</t>
  </si>
  <si>
    <t>978-1-032-55147-0; 978-1-003-42924-1; 978-1-032-55146-3</t>
  </si>
  <si>
    <t>10.1201/9781003429241-5</t>
  </si>
  <si>
    <t>WOS:001457800700005</t>
  </si>
  <si>
    <t>Palomera, A</t>
  </si>
  <si>
    <t>Palomera, Adriana</t>
  </si>
  <si>
    <t>Theoretical and Historical Considerations and Tensions around Asylum and Refuge</t>
  </si>
  <si>
    <t>In recent decades, the increase in forcibly displaced people seeking refuge and protection, along with restrictions installed at many borders to prevent their entry, has meant that millions of human beings face a humanitarian crisis. The multiple realities that refugees live, in addition to stressing the conceptualizations and regulations about asylum and refuge, force its permanent revision. The objective of this article is to examine the theoretical and historical considerations of asylum and refuge, which show the edges and scope of the discussion on the subject.</t>
  </si>
  <si>
    <t>WOS:000885636900004</t>
  </si>
  <si>
    <t>Loayza, LS</t>
  </si>
  <si>
    <t>Loayza, Luis Sarmiento</t>
  </si>
  <si>
    <t>Subjective well-being, health status, functional capacity and social participation in Chilean older people</t>
  </si>
  <si>
    <t>Background: Chile is currently updating the Comprehensive Policy on Positive Aging, which establishes a positive association between Subjective Well-being, Self-perceived Health, Functional status, and Social Participation in older people. Aim: To study the relationship between Subjective Well-being, General Health, Functional status, and Social Participation in older people in Chile. Material and Methods: In a cross-sectional observational study, 2.031 people aged 60 years and over were included in the National Health Survey 2016-2017 (ENS). The study included analysis of correlations between the relevant variables, in addition to binomial logistic regression with Subjective Well-being as a response variable, as well as the application of structural equation techniques (SEM). Results: Subjective Well-being had a positive association with Self-perceived Health (Rho = 0.370), functional status (Rho = 0.360), and Social Participation (Rho = 0.290). However, in the logistic regression analysis only Self-perceived Health (OR = 0.293) and Functional status (OR = 0.932) had predictive capacity for Subjective Well-being. Conclusions: The relevance of Self-perceived Health and Functionality in the sensation of Well-being among older people, reinforces the need to improve health care within a framework of a comprehensive policy for this age group.</t>
  </si>
  <si>
    <t>Sarmiento, Luis/KFQ-6663-2024</t>
  </si>
  <si>
    <t>WOS:000968680200004</t>
  </si>
  <si>
    <t>Friz, C</t>
  </si>
  <si>
    <t>Friz, Cristobal</t>
  </si>
  <si>
    <t>Social outbreak, politics and democracy</t>
  </si>
  <si>
    <t>UNIVERSUM-REVISTA DE HUMANIDADES Y CIENCIAS SOCIALES</t>
  </si>
  <si>
    <t>The conjuncture in which we are from October to date has been predominantly interpreted as a social crisis; this is accounted for social outbreak expression. It is worth asking, on the one hand, the understanding of the crisis that is supposed in this social elaboration. On the other hand, it is worth asking about the possibilities of overcoming the crisis that such an emphasis on the social implies. Trying to answer these questions. we will ask, first of all, about limits that separate and unite the social and politics. In a second moment, we will propose that the current crisis has been interpreted as a social phenomenon. since the generalized understanding in Chile negatively perceives politics as excess, as a terrain of conflict that leads to violent and abrupt breakdowns. Finally, we will propose that the current crisis should be assumed as a political and democratic phenomenon. This depends, in our interpretation, on a reconceptualization of politics and democracy, which takes account the positive potentials of conflicts exposed during the last months.</t>
  </si>
  <si>
    <t>0718-2376</t>
  </si>
  <si>
    <t>0716-498X</t>
  </si>
  <si>
    <t>10.4067/S0718-23762021000200479</t>
  </si>
  <si>
    <t>WOS:000753303200004</t>
  </si>
  <si>
    <t>Oyarce, E; Butter, B; Santander, P; Sánchez, J</t>
  </si>
  <si>
    <t>Oyarce, Estefania; Butter, Bryan; Santander, Paola; Sanchez, Julio</t>
  </si>
  <si>
    <t>Polyelectrolytes applied to remove methylene blue and methyl orange dyes from water via polymer-enhanced ultrafiltration</t>
  </si>
  <si>
    <t>JOURNAL OF ENVIRONMENTAL CHEMICAL ENGINEERING</t>
  </si>
  <si>
    <t>In the present work, polymer-enhanced ultrafiltration (PEUF) was used to study the purification of coloured wastewater. Methylene blue (MB) and methyl orange (MO) dyes were removed from aqueous solutions using water-soluble polymers: poly(2-acrylamide-2-methyl-1-propanesulfonic acid) (PAMPS) and poly(diallyldimethylammonium) chloride (PDDA), respectively. The PEUF technique has the advantage that it can be performed in homogeneous media to clean wastewater, where the novelty focuses on the water-soluble polymers used. Both polymers were first fractionated using an ultrafiltration membrane composed of regenerated cellulose with a molecular weight cut off (MWCO) of 10 kDa followed by subsequent freeze-drying. The removal of both dyes by ultrafiltration in the absence and presence of polymer was systematically studied. The performance of the polymers was studied under different parameters, such as the effect of the MWCO for the ultrafiltration membrane, the pH of the solution, the polymer:dye molar ratio, the initial dye concentration, the interference effect of NaCl and Na2SO4, and consecutive cycles of sorption-desorption. Under optimal conditions, a maximum removal efficiency of approximately 98% and 90% was achieved for MB and MO at pH 6.0 using initial MB and MO concentrations of 3.5 mg L-1 and 80 mg L-1, respectively, together with an ultrafiltration membrane with a MWCO of 10 kDa. The presence of interferents in the PEUF process was found to be not significant for dye elimination. Finally, the reusability of both polymers was demonstrated to be effective after four sorptiondesorption cycles.</t>
  </si>
  <si>
    <t>Santander, Paola/ITU-5257-2023; Sanchez, Julio/AEO-4360-2022</t>
  </si>
  <si>
    <t>Santander, Paola/0000-0002-2084-6658</t>
  </si>
  <si>
    <t>2213-2929</t>
  </si>
  <si>
    <t>2213-3437</t>
  </si>
  <si>
    <t>10.1016/j.jece.2021.106297</t>
  </si>
  <si>
    <t>WOS:000719242300006</t>
  </si>
  <si>
    <t>Faure, A</t>
  </si>
  <si>
    <t>Faure, Antoine</t>
  </si>
  <si>
    <t>Chronopolitical Battles during Popular Unity in Chile (1970-1973): An Outline of Analysis</t>
  </si>
  <si>
    <t>RES PUBLICA-REVISTA DE FILOSOFIA POLITICA</t>
  </si>
  <si>
    <t>This essay proposes an outline of a temporal analysis of a very important political conflict in the world history of the 20th century: the Chilean Popular Unity (1970-973). For this purpose, a review is made of part of the secondary literature on the Chilean experience based on two concepts forged and proposed that we have proposed to investigate the politicization of time: chronopolitical battles and momentum, understood as the dynamics of a social tempo on which one can act, by the ability to maintain this tempo in duration or to guide changes through an impulse. It is concluded that the Popular Unity project sought to accelerate the expansive momentum of this phase of Chilean history, which provoked discronies and dis-synchronies that forced the reactionary counteroffensive to break with this momentum.</t>
  </si>
  <si>
    <t>1576-4184</t>
  </si>
  <si>
    <t>1989-6115</t>
  </si>
  <si>
    <t>10.5209/rpub.79247</t>
  </si>
  <si>
    <t>WOS:000734175000016</t>
  </si>
  <si>
    <t>Ríos-Muñoz, D; Herrera-Araya, D</t>
  </si>
  <si>
    <t>Rios-Munoz, Daniel; Herrera-Araya, David</t>
  </si>
  <si>
    <t>Contribution of the Educational Evaluation for the Democratic and Transformative Formation of the Student</t>
  </si>
  <si>
    <t>REVISTA ELECTRONICA EDUCARE</t>
  </si>
  <si>
    <t>Purpose. In this article, educational evaluation is analyzed as a theoretical-practical field of knowledge for the democratic and transformative formation of students. Discussion. The discussion on educational evaluation focuses on criticism of positivist-technological approaches limited to the value complexity of learning processes. Likewise, they have relieved evaluation approaches for learning as a way to question and reinterpret positivist evaluative theory and practice. However, the debate has marginalized the role of evaluation in its ethical-political dimension for the construction of democratic subjects. The central argument argues that a transformative evaluation with a sociocultural and democratic approach enables the formation of participatory, committed, and reflective subjects. Conclusions. It concludes with the importance of re-signifying the evaluation as a practice not only concerned with the valuation of learning but also oriented to the formation of aspects in terms of values and attitudinal, ethical, and democratic aspects, in order to contribute to the construction of students aware of themselves, of others, and their role in society.</t>
  </si>
  <si>
    <t>Rios Munoz, Daniel/0000-0001-6226-4499; Herrera Araya, David/0000-0002-7631-9283</t>
  </si>
  <si>
    <t>1409-4258</t>
  </si>
  <si>
    <t>10.15359/ree.25-3.40</t>
  </si>
  <si>
    <t>WOS:000796191500033</t>
  </si>
  <si>
    <t>Marín, R; Chang, V</t>
  </si>
  <si>
    <t>Marin, Ruth; Chang, Violeta</t>
  </si>
  <si>
    <t>Impact of transfer learning for human sperm segmentation using deep learning</t>
  </si>
  <si>
    <t>COMPUTERS IN BIOLOGY AND MEDICINE</t>
  </si>
  <si>
    <t>Background and objective: Infertility affects approximately one in ten couples, and almost half of the infertility cases are due to the malefactor. To diagnose infertility and determine future treatment, a semen analysis is performed. Evaluation of sperm morphology is one of several steps in semen analysis, in which the shape and size of sperm parts are examined. The laboratories dedicated to this use traditional methods susceptible to errors. An alternative to replace the poor visual ability to assess sperm size and shape is to analyze sperm morphology with a computer's help. However, since the automatic sperm classification rates do not show an acceptable precision rate for use in the clinical setting, it is considered an exciting approach to focus efforts on improving the precision in sperm segmentation to extract the contour sperm before classification. This work aims to assess the utility of two image segmentation deep learning models for segmenting human sperm heads, acrosome, and nucleus. Methods: In this work, we evaluate the use of two well-known deep learning architectures (U-Net and MaskRCNN) to segment parts of human sperm cells using data augmentation, cross-validation, hyperparameter tuning, and transfer learning. The experimental results are carried out using SCIAN-SpermSegGS, a public dataset with more than two hundred manually segmented sperm cells and widely used to validate segmentation methods of human sperm parts. Results: Experimental evaluation shows that U-net with transfer learning achieves up to 95% overlapping against hand-segmented masks for sperm head (0.96), acrosome (0.94), and nucleus (0.95), using Dice coefficient as the evaluation metric. These results outperform state-of-the-art sperm parts segmentation methods. Conclusions: The impact of transfer learning is substantial, significantly improving the results of state-of-the-art methods with a higher Dice coefficient, less dispersion, and fewer cases where the model failed to segment sperm parts. These results represent a promising advance in the ultimate goal of performing computer-assisted morphological sperm analysis.</t>
  </si>
  <si>
    <t>0010-4825</t>
  </si>
  <si>
    <t>1879-0534</t>
  </si>
  <si>
    <t>10.1016/j.compbiomed.2021.104687</t>
  </si>
  <si>
    <t>AUG 2021</t>
  </si>
  <si>
    <t>WOS:000696927400001</t>
  </si>
  <si>
    <t>Venegas, H; Prudant, E</t>
  </si>
  <si>
    <t>Venegas, Hernan; Prudant, Elisabet</t>
  </si>
  <si>
    <t>INDUSTRIAL ACTIVITY IN THE SOCIO-SPATIAL CONFIGURATION OF THE YUNGAY NEIGHBORHOOD, 1930-1950</t>
  </si>
  <si>
    <t>REVISTA INVI</t>
  </si>
  <si>
    <t>The text analyzes the impact of industrial activity in the socio-spatial configuration of the Yungay neighborhood during a period of urban regulation, expansion of manufacturing, and state incentives for production. As a result of the relationship between the actors of industrialization and the dynamics of the conformation of a worker-factory environment in the northeast region of Santiago, three variables will be explored in-depth: the location of a manufacturing network that acted as a marker of the neighborhood space; the business initiatives with respect to urban infrastructure and services in this part of the city; and the sense of belonging among the population that inhabited the neighborhood in their double condition of workers and residents. The methodology located at the crossover between urban history and the history of the world of work incorporates a relational approach to identify, in the physical and representational organization of the place analyzed, a weaving of ties to the historical context that frames the 1930s and 1950s. The research results, by deepening the repercussions of industrial activity in a neighborhood little studied from this perspective, contribute to strengthening studies of factory zoning in Santiago and integrating the spatial variable in the analysis of the origins of industrialization in the Chilean capital.</t>
  </si>
  <si>
    <t>Venegas Valdebenito, Hernan Adrian/0000-0003-4162-8657</t>
  </si>
  <si>
    <t>0718-1299</t>
  </si>
  <si>
    <t>0718-8358</t>
  </si>
  <si>
    <t>10.4067/S0718-83582021000100256</t>
  </si>
  <si>
    <t>WOS:000656309400011</t>
  </si>
  <si>
    <t>Olea, F; Rosales, G; Quintriqueo, A; Romero, J; Pizarro, J; Ortiz, C; Quijada-Maldonado, E</t>
  </si>
  <si>
    <t>Olea, Felipe; Rosales, Gonzalo; Quintriqueo, Angelica; Romero, Julio; Pizarro, Jaime; Ortiz, Claudia; Quijada-Maldonado, Esteban</t>
  </si>
  <si>
    <t>Theoretical prediction of selectivity in solvent extraction of La(III) and Ce(III) from aqueous solutions using β-diketones as extractants and kerosene and two imidazolium-based ionic liquids as diluents via quantum chemistry and COSMO-RS calculations</t>
  </si>
  <si>
    <t>This study proposes a theoretical method based on OFT and COSMO-RS calculations to predict selectivity in the solvent extraction (SX) of lanthanum(III) and cerium(III), by using beta-diketones as the extractant and kerosene or imidazolium-based ionic liquids (ILs) as the diluent. To calculate the selectivity, the model requires three important pieces of information: the extraction stoichiometry, the type and structure of the extractant/synergistic agent, and the diluent used in the SX process. Therefore, as the first step, the extraction stoichiometry is determined experimentally. Using these results to perform OFT and COSMO-RS calculations, thermochemical parameters allowed to calculate the selectivity. The results indicate that the theoretical selectivity trends agree closely with the experimental results even when using ILs as diluents, demonstrating the applicability of this method. It is established that the selectivity can be increased by using both beta-diketones with bulky functional groups and a synergistic agent. This predictive method has immense potential as a practical tool providing valuable insights into the design of extractants and hydrophobic diluents for the selective recovery of lanthanides in industrial applications. (C) 2020 Elsevier B.V. All rights reserved.</t>
  </si>
  <si>
    <t>Olea, Felipe/AAK-5089-2021; Romero, Julio/I-6705-2013</t>
  </si>
  <si>
    <t>Olea Chandia, Felipe/0000-0002-6349-6184; Romero, Julio/0000-0002-1229-1592</t>
  </si>
  <si>
    <t>10.1016/j.molliq.2020.114655</t>
  </si>
  <si>
    <t>FEB 2021</t>
  </si>
  <si>
    <t>WOS:000636695200016</t>
  </si>
  <si>
    <t>Introductory Note: History and Public Policy</t>
  </si>
  <si>
    <t>INTERNATIONAL JOURNAL OF PUBLIC ADMINISTRATION</t>
  </si>
  <si>
    <t>History and Public Policy is the theme of this Special Issue of IJPA. It includes six articles which analyzes policy issues from the United States, Spain, Uruguay, Mexico and Chile.</t>
  </si>
  <si>
    <t>0190-0692</t>
  </si>
  <si>
    <t>1532-4265</t>
  </si>
  <si>
    <t>10.1080/01900692.2019.1666411</t>
  </si>
  <si>
    <t>WOS:000596179500001</t>
  </si>
  <si>
    <t>Interdiction procedures A context for public intervention in family life</t>
  </si>
  <si>
    <t>WOS:000807304300002</t>
  </si>
  <si>
    <t>Valenzuela, JL</t>
  </si>
  <si>
    <t>Legua Valenzuela, Jessica</t>
  </si>
  <si>
    <t>Totality and the strategic oblivion of modernity. Continuing to think the social from society(ies)</t>
  </si>
  <si>
    <t>This essay proposes a theoretical discussion around the concepts of totality and modernity, linked to the crossroads between the hegemonic narratives of modernity from central countries and the critical currents of modernity in the face of the social question. Through the discussion, the article addresses totality as a necessary and useful question for the social sciences, the time (and the reality) in which we are situated, in order to present totality and the strategic oblivion of modernity as keys to rethinking and elaborating social theory based on Araujo's reflections.</t>
  </si>
  <si>
    <t>WOS:000740735300002</t>
  </si>
  <si>
    <t>Dellepiani, MG; Vega, CR; Pina, JC; Flores, EIS</t>
  </si>
  <si>
    <t>Godoy Dellepiani, Matias; Rojas Vega, Carlos; Carlos Pina, Juan; Saavedra Flores, Erick, I</t>
  </si>
  <si>
    <t>Numerical investigation on the creep response of concrete structures by means of a multi-scale strategy</t>
  </si>
  <si>
    <t>CONSTRUCTION AND BUILDING MATERIALS</t>
  </si>
  <si>
    <t>In this paper, a multi-scale modelling strategy is proposed to investigate the creep behaviour of reinforced concrete structures. A Mean Field homogenisation procedure is adopted to compute the overall response of a high-strength concrete made of limestone inclusions embedded in a cement paste matrix. Finite element models of beams subjected to sustained bending loads are fully coupled to the time-dependant effective material law delivered by the homogenisation method. Furthermore, a Genetic Algorithm is used to improve the accuracy of the finite element predictions. The influence of relevant structural parameters, such as beam height, steel reinforcement ratio in tension and compression, and cement volume fraction, is assessed on the long term creep deflection over a period of five years. The long term multiplier factor, lambda(Delta), defined as the creep deflection over the immediate deflection, is calculated numerically and discussed in detail. The above results provide further insight into the time-dependent deformation mechanisms present in concrete structures which are still not well-understood, and may shed more light on the improvement of current design equations and the development of complementary design guidelines. (C) 2020 Elsevier Ltd. All rights reserved.</t>
  </si>
  <si>
    <t>Pina, Juan/AAC-3455-2021; Flores, Erick/I-7646-2012</t>
  </si>
  <si>
    <t>Rojas Vega, Carlos Alberto/0000-0002-3350-2125; Pina, Juan Carlos/0000-0003-2556-3638; Godoy Dellepiani, Matias/0000-0001-7196-6556</t>
  </si>
  <si>
    <t>0950-0618</t>
  </si>
  <si>
    <t>1879-0526</t>
  </si>
  <si>
    <t>DEC 10</t>
  </si>
  <si>
    <t>10.1016/j.conbuildmat.2020.119867</t>
  </si>
  <si>
    <t>WOS:000582567100003</t>
  </si>
  <si>
    <t>Crespo, R; Alvarez, C; Hernandez, I; García, C</t>
  </si>
  <si>
    <t>Crespo, Ricardo; Alvarez, Claudio; Hernandez, Ignacio; Garcia, Christian</t>
  </si>
  <si>
    <t>A spatially explicit analysis of chronic diseases in small areas: a case study of diabetes in Santiago, Chile</t>
  </si>
  <si>
    <t>INTERNATIONAL JOURNAL OF HEALTH GEOGRAPHICS</t>
  </si>
  <si>
    <t>Background There is a strong spatial correlation between demographics and chronic diseases in urban areas. Thus, most of the public policies aimed at improving prevention plans and optimizing the allocation of resources in health networks should be designed specifically for the socioeconomic reality of the population. One way to tackle this challenge is by exploring within a small geographical area the spatial patterns that link the sociodemographic attributes that characterize a community, its risk of suffering chronic diseases, and the accessibility of health treatment. Due to the inherent complexity of cities, soft clustering methods are recommended to find fuzzy spatial patterns. Our main motivation is to provide health planners with valuable spatial information to support decision-making. For the case study, we chose to investigate diabetes in Santiago, Chile. Methods To deal with spatiality, we combine two statistical techniques: spatial microsimulation and a self-organizing map (SOM). Spatial microsimulation allows spatial disaggregation of health indicators data to a small area level. In turn, SOM, unlike classical clustering methods, incorporates a learning component through neural networks, which makes it more appropriate to model complex adaptive systems, such as cities. Thus, while spatial microsimulation generates the data for the analysis, the SOM method finds the relevant socio-economic clusters. We selected age, sex, income, prevalence of diabetes, distance to public health services, and type of health insurance as input variables. We used public surveys as input data. Results We found four significant spatial clusters representing 75 percent of the whole population in Santiago. Two clusters correspond to people with low educational levels, low income, high accessibility to public health services, and a high prevalence of diabetes. However, one presents a significantly higher level of diabetes than the other. The second pair of clusters is made up of people with high educational levels, high income, and low prevalence of diabetes. What differentiates both clusters is accessibility to health centers. The average distance to the health centers of one group almost doubles that of the other. Conclusions In this study, we combined two statistical techniques: spatial microsimulation and selforganising maps to explore the relationship between diabetes and socio-demographics in Santiago, Chile. The results have allowed us to corroborate the importance of the spatial factor in the analysis of chronic diseases as a way of suggesting differentiated solutions to spatially explicit problems. SOM turned out to be a good choice to deal with fuzzy health and socioeconomic data. The method explored and uncovered valuable spatial patterns for health decision-making. In turn, spatial microsimulation.</t>
  </si>
  <si>
    <t>Garcia, Christian/KLY-8785-2024; Mourgues, Claudio/E-4236-2014; Crespo, Ricardo/JUF-6435-2023</t>
  </si>
  <si>
    <t>Garcia, Christian/0000-0001-9010-2614; Crespo, Ricardo/0000-0003-0211-0548</t>
  </si>
  <si>
    <t>1476-072X</t>
  </si>
  <si>
    <t>JUN 23</t>
  </si>
  <si>
    <t>10.1186/s12942-020-00217-1</t>
  </si>
  <si>
    <t>WOS:000544687600001</t>
  </si>
  <si>
    <t>Llorca-Jaña, M; Navarrete-Montalvo, J; Nazer, JR; Araya-Valenzuela, R</t>
  </si>
  <si>
    <t>Llorca-Jana, Manuel; Navarrete-Montalvo, Juan; Ricardo Nazer, Juan; Araya-Valenzuela, Roberto</t>
  </si>
  <si>
    <t>WOMEN AGRARIAN ENTREPRENEURS AND GENDER INEQUALITY IN THE CHILEAN RURAL SECTOR AFTER INDEPENDENCE FROM SPAIN, 1830s-1860s</t>
  </si>
  <si>
    <t>We provide the first estimates of gender income and land inequality in Chile during the first decades after independence, when Chile was a predominantly agrarian society. We have used a new source: the records of the first agricultural censuses ever made for any Latin American republic. We found that there were over six times more male landowners than women, and that male owners gathered up to 87% of total agricultural income (of those paying the catastro). On the positive side, we found that female landownership was more widespread than has previously been assumed by Chilean historians, although it was declining in relative terms. We have also identified the main elite women agrarian entrepreneurs, finding that one of the biggest landowners of this period was a woman, who has been ignored in the historiography. We have documented her economic activities, as well as those of many other prominent women agricultural entrepreneurs, thus showing that women's involvement in crucial entrepreneurship activities started earlier than previously been acknowledged, from colonial times.</t>
  </si>
  <si>
    <t>WOS:000612329900003</t>
  </si>
  <si>
    <t>Bubnovich, V; Reyes, A; Díaz, M</t>
  </si>
  <si>
    <t>Bubnovich, Valeri; Reyes, Alejandro; Diaz, Macarena</t>
  </si>
  <si>
    <t>Computational Simulation of the Thermal Performance of a Solar Air Heater Integrated With a Phase Change Material</t>
  </si>
  <si>
    <t>JOURNAL OF SOLAR ENERGY ENGINEERING-TRANSACTIONS OF THE ASME</t>
  </si>
  <si>
    <t>The performance of a solar collector with wax as a phase change material (PCM) located in a set of staggered pipes configuration was simulated computationally in this work. For the solar radiation of Chile, the accumulation of heat in the PCM system and the heat release at different time intervals were analyzed during the process of energy capture in summer: (a) without wax and with airflow, (b) with wax and without airflow, and (c) with wax and with airflow. Furthermore, the effects of solar radiation (summer and winter) airflow in the collector were analyzed on the performance of the system. The simulation results show that the use of a PCM in a solar air heater allows to store greater amounts of energy and it helps to extend the period of time when the air coming out of the collector has an elevated temperature. By increasing the airflow rate, the efficiency of the system increases and also the energy released to the air to be absorbed.</t>
  </si>
  <si>
    <t>0199-6231</t>
  </si>
  <si>
    <t>1528-8986</t>
  </si>
  <si>
    <t>10.1115/1.4043549</t>
  </si>
  <si>
    <t>WOS:000485709800013</t>
  </si>
  <si>
    <t>Baigorrotegui, BG</t>
  </si>
  <si>
    <t>Baigorrotegui, B. Gloria</t>
  </si>
  <si>
    <t>Destabilization of Energy Regimes and Liminal Transition through Collective Action in Chile</t>
  </si>
  <si>
    <t>ENERGY RESEARCH &amp; SOCIAL SCIENCE</t>
  </si>
  <si>
    <t>The transition of energy policy towards fairer and more sustainable paths has centered on the dynamics of destabilization processes in energy regimes. Much has been written about the complex nature of transitions in the sector in 30-40 year cycles, but less work has been done on disruptive destabilizations over shorter periods, especially focussing on how they are produced and intensified. Through a qualitative examination of two failed large electricity projects in Chile, we investigate how collective action can influence the destabilization of an electricity regime through interaction between the day-to-day dramaturgical actions of the so-called communitas and media actors. Both projects, a hydro-dam plant and a coal-fired power plant (CFPP), offer unprecedented examples of how two transnational energy consortium projects were halted, mainly by effective collective actions that occurred within Chile's neoliberal landscape to combat these energy initiatives. We propose an interpretation of the dynamics of regime destabilization from a dramaturgical-materialistic perspective that allows a new conception of how energy transitions occur. Through this perspective, we shed light on new entanglements, actors and new questions that arise regarding how transitions become real. We propose the mechanisms of i) pressure, ii) obstruction and iii) public overflow to trace the activities that bring a liminal energy transition into view.</t>
  </si>
  <si>
    <t>2214-6296</t>
  </si>
  <si>
    <t>2214-6326</t>
  </si>
  <si>
    <t>10.1016/j.erss.2019.05.018</t>
  </si>
  <si>
    <t>WOS:000476872300018</t>
  </si>
  <si>
    <t>Vivas, L; Chi-Duran, I; Enríquez, J; Barraza, N; Singh, DP</t>
  </si>
  <si>
    <t>Vivas, Leonardo; Chi-Duran, Ignacio; Enriquez, Javier; Barraza, Nancy; Singh, Dinesh Pratap</t>
  </si>
  <si>
    <t>Ascorbic acid based controlled growth of various Cu and Cu2O nanostructures</t>
  </si>
  <si>
    <t>MATERIALS RESEARCH EXPRESS</t>
  </si>
  <si>
    <t>Here we report a facile and fast ascorbic acid based controlled growth of various nanostructures of Cu and Cu2O by varying the concentration of NaOH. Ascorbic acid being a weak reducing agent not only slows down the reaction kinetics but also provides a better control for the self-assembly of nanostructures. Cu and Cu2O nanoparticles are synthesized by chemical reduction of copper nitrate (Cu(NO3)(2) x 2.5 H2O) with different concentration of NaOH (0.01, 0.1, 0.5, 1.0, 5.0 and 10 M) solution in the presence of ascorbic acid. The low concentrations of NaOH (0.01 and 0.10 M) result the formation of almost pure phase of Cu nanoparticles. Whereas the higher concentrations (0.5, 1.0 and 5 M and 10 M) result into formation of pure nanocubes, truncated octahedron, polygon shaped and finally spherical shaped Cu2O particles respectively.</t>
  </si>
  <si>
    <t>Vivas, Leonardo/S-1584-2019; SINGH, DINESH/A-2509-2011</t>
  </si>
  <si>
    <t>ENRIQUEZ, JAVIER/0000-0002-2502-5787; Chi-Duran, Ignacio/0000-0002-3327-2825; Barraza, Nancy/0009-0006-5923-3505; SINGH, DINESH/0000-0002-2893-7749; Vivas, Leonardo/0000-0001-5044-9680</t>
  </si>
  <si>
    <t>2053-1591</t>
  </si>
  <si>
    <t>10.1088/2053-1591/ab0dd2</t>
  </si>
  <si>
    <t>WOS:000461982900010</t>
  </si>
  <si>
    <t>Saavedra, O; Elettro, H; Melo, F</t>
  </si>
  <si>
    <t>Saavedra, Oscar, V; Elettro, Herve; Melo, Francisco</t>
  </si>
  <si>
    <t>Progressive friction mobilization and enhanced Janssen's screening in confined granular rafts</t>
  </si>
  <si>
    <t>PHYSICAL REVIEW MATERIALS</t>
  </si>
  <si>
    <t>Confined two-dimensional assemblies of floating particles, known as granular rafts, are prone to develop a highly nonlinear response under compression. Here we investigate the transition to the friction-dominated jammed state and map the gradual development of the internal stress profile with flexible pressure sensors distributed along the raft surface. Surprisingly, we observe that the surface stress screening builds up much more slowly than previously thought and that the typical screening distance later dramatically decreases. We explain this behavior in terms of progressive friction mobilization, where the full amplitude of the frictional forces is only reached after a macroscopic local displacement. At further stages of compression, rafts of large length-to-width aspect ratio experience much stronger screenings than the full mobilization limit described by the Janssen's model. We solve this paradox using a simple mathematical analysis and show that such enhanced screening can be attributed to a localized compaction front, essentially shielding the far field from compressive stresses.</t>
  </si>
  <si>
    <t>Elettro, Hervé/X-2780-2019; Melo, Francisco/M-3923-2014; Saavedra-Villanueva, Oscar/AAZ-4082-2020; Elettro, Herve/M-3837-2015</t>
  </si>
  <si>
    <t>Melo, Francisco Esteban/0000-0001-6818-5476; Saavedra-Villanueva, Oscar/0000-0003-1510-6812; Elettro, Herve/0000-0002-4765-4656</t>
  </si>
  <si>
    <t>2475-9953</t>
  </si>
  <si>
    <t>APR 25</t>
  </si>
  <si>
    <t>10.1103/PhysRevMaterials.2.043603</t>
  </si>
  <si>
    <t>WOS:000430823900003</t>
  </si>
  <si>
    <t>Conejeros, J</t>
  </si>
  <si>
    <t>Conejeros, Jonathan</t>
  </si>
  <si>
    <t>On periodic groups of homeomorphisms of the 2-dimensional sphere</t>
  </si>
  <si>
    <t>ALGEBRAIC AND GEOMETRIC TOPOLOGY</t>
  </si>
  <si>
    <t>We prove that every finitely generated group of homeomorphisms of the 2-dimensional sphere all of whose elements have a finite order which is a power of 2 and is such that there exists a uniform bound for the orders of the group elements is finite. We prove a similar result for groups of area-preserving homeomorphisms without the hypothesis that the orders of group elements are powers of 2 provided there is an element of even order.</t>
  </si>
  <si>
    <t>1472-2739</t>
  </si>
  <si>
    <t>10.2140/agt.2018.18.4093</t>
  </si>
  <si>
    <t>WOS:000468135800011</t>
  </si>
  <si>
    <t>Contreras, S; Torres, J; Lippi, L; Palominos, P</t>
  </si>
  <si>
    <t>Contreras, S.; Torres, J.; Lippi, L.; Palominos, P.</t>
  </si>
  <si>
    <t>PROCESS MONITORING IN THE CONTEXT OF VOCATIONAL TRAINING EDUCATION: IMPLEMENTATION EXPERIENCE ANALYSIS OF ISO 9001 STANDARD IN CHILE</t>
  </si>
  <si>
    <t>The ISO Standard responds to a set of quality standards that allow organizations to identify, correct and prevent errors, in addition to promoting continuous improvement (Bevans-Gonzales and Nair, 2004). In the educational context, it is argued that it helps schools respond and face the external pressures of accountability. In this way, ISO standards can be defined as a system of objective and collectively accepted rules (Boiral, 2003). Thus, educational management is indicated as a factor of great relevance for the achievement of quality learning. Against this, different investigations have been concerned with analyzing the factors that affect the scope of this objective. In this line and in relation to the performance of schools, it is recognized as a phenomenon of evaluation and accountability, the proliferation of certifications under ISO Standard (Boiral, 2012). Educational institutions are pressured to be more efficient, work better at lower cost and know the needs of the environment, in a process aimed at developing efforts to achieve quality. In this context (031554CP_DAS, Associative Dicyt Projects) we propose to investigate the way in which the implementation of devices oriented to the monitoring and control of processes, affect the quality concepts that the members of educational establishments possess. To do this, we analyze the reports prepared by the members of the management teams of a network of educational centers for vocational training education in various regions of Chile that have implemented the ISO 9001 standard. With a qualitative approach we apply a semi-structured interview to a group of managers. The instrument is organized into three blocks of questions, related to: diagnosis on which the implementation of the ISO Standard is sustained; work experience in the establishment under the norm and; valuation of the norm.</t>
  </si>
  <si>
    <t>WOS:000568991701002</t>
  </si>
  <si>
    <t>Matiacevich, S; Sáez, C</t>
  </si>
  <si>
    <t>Matiacevich, Silvia; Saez, Carlos</t>
  </si>
  <si>
    <t>Encapsulation of lemongrass essential oil for the development of natural additives: a review</t>
  </si>
  <si>
    <t>because of the negative perception from consumers about the use of synthetic additives in foods before constants risks of foodborne diseases, as in the development of acute disorders and chronical diseases, and the environmental risks associated, the use of essential oils is presented as alternative for natural preservatives development. The objective of this work was to review the most important aspects for the development of preservatives based on encapsulated lemongrass essential oil. Particularly, this oil has showed antimicrobial activity against a broad spectrum of microorganisms. However, essential oils can't be incorporated into foods directly, because of these are water insoluble, volatile, and sensitive to oxygen, temperature and light. An option to avoid mentioned troubles is the encapsulation technology, that consists in confining an active compound into an encapsulant material, generating particles of micro and nanometric sizes, which allows a controlled release of the compound in a specific site. Thus, is possible developing a preservative ingredient, based on encapsulated lemongrass essential oil, to extend the shelf life of foods.</t>
  </si>
  <si>
    <t>WOS:000483366800008</t>
  </si>
  <si>
    <t>Rivero-Cantillano, R</t>
  </si>
  <si>
    <t>Rivero-Cantillano, Rodrigo</t>
  </si>
  <si>
    <t>DEMOGRAPHIC CHANGE AND THE LENGTH OF WORKING LIFE IN THE REGION OF MAGELLAN AND CHILEAN ANTARTIC 1992-2013</t>
  </si>
  <si>
    <t>MAGALLANIA</t>
  </si>
  <si>
    <t>This article analyzes the implications of the demographic change in the region of Magellan and the Chilean Antarctic. It analyzes the dynamics of population aging and its impact on the labor force. In particular, it was observed the variation the working life's length through the gross and net years of economic activity, the pattern of entrance and retirement and the working life expectancy. Methodologically, we elaborated Tables of Working Life for the years 1992, 2003 and 2013. We also used information of economic activity and inactivity for the region obtained from the National Socioeconomic Characterization Survey (CASEN in spanish) and published mortality tables by National Statistics Institut (INE, 2004).</t>
  </si>
  <si>
    <t>Rivero-Cantillano, Rodrigo/0000-0001-6095-6782</t>
  </si>
  <si>
    <t>0718-2244</t>
  </si>
  <si>
    <t>10.4067/S0718-22442018000200143</t>
  </si>
  <si>
    <t>WOS:000456941900008</t>
  </si>
  <si>
    <t>Toledo, K; Kaschel, H</t>
  </si>
  <si>
    <t>Toledo, Karel; Kaschel, Hector</t>
  </si>
  <si>
    <t>A Cooperative Spectrum Sensing Strategy for Dynamic Cognitive Radio Sensor Networks</t>
  </si>
  <si>
    <t>Spectrum scarcity in Wireless Sensor Networks (WSN) has been commonly addressed by Cognitive Radio (CR) technology. This has contributed to the emerging paradigm called Cognitive Radio Sensor Networks (CRSN). This work is motivated by the imminent implementation of mobile sensor networks for Internet of Things (IoT). Cooperative Spectrum Sensing (CSS) is most widely used strategy to figure out the hidden terminal problem. In this regard, we determine the number of awake sensors over a dynamic environment to spectrum sensing. A mobility model for sensors is described by means of Markov chains. A first approximation of this kind of scenarios has described based on convex optimization. The proposed solution minimizes the energy consumption subject to constraints on detection performance. The analysis and performance of the proposed system are discussed and illustrated with the aid of simulations.</t>
  </si>
  <si>
    <t>Toledo de la Garza, Karel/V-5325-2019</t>
  </si>
  <si>
    <t>Toledo de la Garza, Karel/0000-0001-9896-9570; Kaschel, Hector/0000-0002-0868-7834</t>
  </si>
  <si>
    <t>WOS:000458417600158</t>
  </si>
  <si>
    <t>Amaro, FZ</t>
  </si>
  <si>
    <t>Zuniga Amaro, Felipe</t>
  </si>
  <si>
    <t>TADEYS BY OSVALDO LAMBORGHINI: A CONSTRUCTION OF A POETICS THAT DESTABILIZES THE HETERONORMATIVE PATRIARCHY</t>
  </si>
  <si>
    <t>ACTA LITERARIA</t>
  </si>
  <si>
    <t>This study analyzes the narrative strategies that form a poetics that destabilizes the heteronormative patriarchy of the posthumous novel Tadeys (1983) by Osvaldo Lamborghini. The strategies disassemble the patriarchal conception of the body, as it is built as a flow of urges where subjectivities are installed-artificial prosthesis-designed by La Comarca State. One of the narrative strategies is the making of male characters motivated by primary drives in a patriarchal country. In this sense, the patriarchal order sets as a cynical mask always transgressed by the homoerotic desire of the ambivalent characters. The second narrative strategy is the deconstruction of the female gender with the incorporation of the prison La Roca, symbolic space where the male criminal body is transformed into a docile woman ready to get married. In this prison, the female gender represents and reproduces as performance, it lacks of an essence a priori, as it is the product of the institutions that create it, regulate it and naturalize it.</t>
  </si>
  <si>
    <t>0717-6848</t>
  </si>
  <si>
    <t>WOS:000424561700003</t>
  </si>
  <si>
    <t>Llorca-Jaña, M; Ortiz, CR; Navarrete-Montalvo, J; Valenzuela, RA</t>
  </si>
  <si>
    <t>Llorca-Jana, Manuel; Robles Ortiz, Claudio; Navarrete-Montalvo, Juan; Araya Valenzuela, Roberto</t>
  </si>
  <si>
    <t>AGRICULTURE AND THE CHILEAN AGRARIAN ELITE THROUGH AGRICULTURAL CADASTRES, C.1830-1855</t>
  </si>
  <si>
    <t>This article assesses the state of the agrarian sector and the composition of the Chilean agrarian elite during the first half of the nineteenth century, a rather unexplored period in Chile's agrarian historiography. We have used several untapped sources such as the Catastro Agricola and El Agricultor. From the former we have built and processed a half a million records database. From the former we have built and processed a database consisting of half a million records from the first three agricultural censuses of 1832, 1838 and 1852. We have explained why the agricultural sector was so backwards in Chile, while also established a very unequal distribution of both land tenure and agricultural income. Finally, our results show a great persistence within the composition of the agrarian elites between late colonial times and the first decades of republican Chile, as well as a significant correlation between the large landowners with highest agricultural income and the political elite.</t>
  </si>
  <si>
    <t>Robles-Ortiz, Claudio/IAQ-6409-2023; Llorca-Jaña, Manuel/AAB-9317-2020</t>
  </si>
  <si>
    <t>WOS:000425266000007</t>
  </si>
  <si>
    <t>Esposito, M</t>
  </si>
  <si>
    <t>Esposito, Maurizio</t>
  </si>
  <si>
    <t>Expectation and futurity: The remarkable success of genetic determinism</t>
  </si>
  <si>
    <t>STUDIES IN HISTORY AND PHILOSOPHY OF SCIENCE PART C-STUDIES IN HISTORY AND PHILOSOPHY OF BIOLOGICAL AND BIOMEDICAL SCIENCES</t>
  </si>
  <si>
    <t>Genetic determinism is nowadays largely questioned and widely criticized. However, if we look at the history of biology in the last one hundred years, we realize that genetic determinism has always been controversial. Why, then, did it acquire such relevance in the past despite facing longstanding criticism? Through the analysis of some of the ambitious expectations of future scientific applications, this article explores the possibility that part of the historical success of genetic determinism lies in the powerful rhetorical strategies that have connected the germinal matter with alluring bio-technological visions. Indeed, in drawing on the recent perspectives of expectation studies in science and technology, it will be shown that there has been an interesting historical relationship between reductionist notions of the gene as a hereditary unit, coded information or functional DNA segment, and startling prophecies of what controlling such an entity might achieve. It will also be suggested that the well-known promissory nature of genomics is far older than the emergence of biotechnology in the 1970s. At least from the time of the bio-utopias predicted by J.B.S. Haldane and J.S. Huxley, the gene has often been surrounded by what I call the rhetoric of futurity: a promissory rhetoric that, despite momentous changes in the life sciences throughout the 20th century, has remained relatively consistent over time. (C) 2017 Elsevier Ltd. All rights reserved.</t>
  </si>
  <si>
    <t>Esposito, Maurizio/0000-0001-6476-7997</t>
  </si>
  <si>
    <t>1369-8486</t>
  </si>
  <si>
    <t>1879-2499</t>
  </si>
  <si>
    <t>10.1016/j.shpsc.2017.01.001</t>
  </si>
  <si>
    <t>WOS:000416405600001</t>
  </si>
  <si>
    <t>Hegemonic knowledge and alterity</t>
  </si>
  <si>
    <t>HISPAMERICA-REVISTA DE LITERATURA</t>
  </si>
  <si>
    <t>0363-0471</t>
  </si>
  <si>
    <t>WOS:000404423600004</t>
  </si>
  <si>
    <t>Pezoa, WG; Domínguez, MJ</t>
  </si>
  <si>
    <t>Gutierrez Pezoa, William; Jamett Dominguez, Marcela</t>
  </si>
  <si>
    <t>Combined Approach using Artificial Vision and Neural Networks for Facial Recognition</t>
  </si>
  <si>
    <t>An application of artificial vision and artificial neural networks techniques in face recognition, is presented. In order to do that, a set of images (frontal face photos) with different lighting conditions, gestures, accessories and distances is used. A stepwise algorithm allows to achieve a satisfactory results, obtaining the correct identification of images inside and outside the data set.</t>
  </si>
  <si>
    <t>WOS:000425925000166</t>
  </si>
  <si>
    <t>Kaschel, H; Toledo, K</t>
  </si>
  <si>
    <t>Kaschel, Hector; Toledo, Karel</t>
  </si>
  <si>
    <t>Energy Efficient Spectrum Management in Cognitive Radio Sensor Networks</t>
  </si>
  <si>
    <t>Cognitive Radio has been proposed as a solution to the spectrum underutilization problem in Wireless Sensor Networks. This paper describes most used cooperative and non-cooperative sensing techniques in Cognitive Radio Sensor Networks. Energy detection is an optimal method when no prior information about primary signal is available. However, most of the contribution focus on the cooperative sensing in order to addressed the hidden terminal problem. In this regard, a detailed taxonomy about energy efficient spectrum management is the main contribution of this paper. In addition, challenges and future works of this research field have been described. Optimization problems based on primary user predictions and detection performance are a tentative solution to energy efficient spectrum management in Cognitive Radio Sensor Networks.</t>
  </si>
  <si>
    <t>; Toledo de la Garza, Karel/V-5325-2019</t>
  </si>
  <si>
    <t>Kaschel, Hector/0000-0002-0868-7834; Toledo de la Garza, Karel/0000-0001-9896-9570</t>
  </si>
  <si>
    <t>WOS:000425925000016</t>
  </si>
  <si>
    <t>Avila, T; Chávez, H</t>
  </si>
  <si>
    <t>Avila, Tomas; Chavez, Hector</t>
  </si>
  <si>
    <t>Secondary reserves determination based on CPS1 and CPS2 compliant AGC operation</t>
  </si>
  <si>
    <t>2016 IEEE INTERNATIONAL CONFERENCE ON AUTOMATICA (ICA-ACCA)</t>
  </si>
  <si>
    <t>IEEE International Conference on Automatica (ICA-ACCA)</t>
  </si>
  <si>
    <t>OCT 19-21, 2016</t>
  </si>
  <si>
    <t>Univ Talca, Curico, CHILE</t>
  </si>
  <si>
    <t>Univ Talca</t>
  </si>
  <si>
    <t>The global initiatives to achieve cleaner ways to generate electricity have motivated non-dispatchable generation to play a major role in the operation of electric power systems. However, this kind of generation along with its variability have increased the need for better control systems to achieve a constant balance between generation and consumption, in order to maintain frequency in their scheduled values. This work presents an AGC model for multiple balancing authorities with high renewable penetration that complies with NERC control performance standards, ensuring secondary control adequacy. An analysis of the reserves required to achieve this operation is presented, obtaining that the joint coordination of the control system of the two control areas decreases the amount of secondary reserves needed to comply with CPS1 and CPS2.</t>
  </si>
  <si>
    <t>978-1-5090-1147-6</t>
  </si>
  <si>
    <t>WOS:000390556300077</t>
  </si>
  <si>
    <t>Urrea, C; Coltters, JP</t>
  </si>
  <si>
    <t>Urrea, Claudio; Paul Coltters, Jean</t>
  </si>
  <si>
    <t>Design and Implementation of a Graphic 3D Simulator for the Study of Control Techniques Applied to Cooperative Robots</t>
  </si>
  <si>
    <t>INTERNATIONAL JOURNAL OF CONTROL AUTOMATION AND SYSTEMS</t>
  </si>
  <si>
    <t>A new methodology is proposed for the design and implementation of three-dimensional simulations of manipulator robots, in individual as well as cooperative tasks, using several programming and 3D-design tools. To obtain easily the dynamic-mathematical models of movement for the represented systems, regardless of the kind of manipulator robot to be considered, the development of a computer algorithm is also presented. Besides, through the use of the Bullet library, we incorporated the detection of collisions between constitutive elements of the system, considering elements external to the robots, collisions between links of the same robot, or between two robots. Using a C++ programming platform, we also designed and implemented a flexible and intuitive graphic user interface. The dynamic-mathematical performance of the cooperative interaction between two actual robots, designed and implemented in the Departamento de Ingenieria Electrica of the Universidad de Santiago de Chile (DIE-UdeSantiago de Chile), was modeled, plotted and three-dimensionally simulated, by using the new algorithm proposed for this purpose. Finally, the performance results are presented and analyzed.</t>
  </si>
  <si>
    <t>1598-6446</t>
  </si>
  <si>
    <t>2005-4092</t>
  </si>
  <si>
    <t>10.1007/s12555-014-0278-y</t>
  </si>
  <si>
    <t>WOS:000365378800018</t>
  </si>
  <si>
    <t>Mallol, J; Aguirre, V; Córdova, P; Cortez, E; Gallardo, A; Riquelme, C</t>
  </si>
  <si>
    <t>Mallol, J.; Aguirre, V.; Cordova, P.; Cortez, E.; Gallardo, A.; Riquelme, C.</t>
  </si>
  <si>
    <t>Fraction of exhaled nitric oxide in healthy Chilean schoolchildren aged 8-15 years</t>
  </si>
  <si>
    <t>ALLERGOLOGIA ET IMMUNOPATHOLOGIA</t>
  </si>
  <si>
    <t>Background: The fraction of exhaled nitric oxide (FENO) measured using portable devices is increasingly used in the clinical setting to assess asthmatic children. However, there is little and variable information on the reference values obtained using these devices in healthy children from different populations. Methods: 190 healthy non-smoker children (8-15 years old) were randomly selected from public schools participating in this study. The objective was to determine FENO reference values for healthy Chilean schoolchildren. Healthy individuals were identified by medical interview and parent questionnaire on the use of asthma medications, and current and past symptoms of asthma, rhinoconjunctivitis and eczema. FENO was measured at schools using a portable device with electrochemical sensor (NIO MINOX). Reference values of FENO were expressed as geometric mean and upper limit of the 95% reference interval (right-sided). The relationship of FENO with gender, age, height, body mass, and other factors was assessed by multiple regression, and the difference between groups was contrasted by ANOVA. Results: The FENO geometric mean was 15.4 ppb with a 95% reference interval upper limit (right-sided), of 27.4 ppb (90%CI 25.6-29.2). The 5th and 95th percentiles were 9.0 ppb and 28.0 ppb, respectively. Height was the only factor significantly associated to FENO (p=0.022). There was no significant difference in mean FENO regarding age, gender, weight, parent reported rhinoconjunctivitis and eczema. Conclusion: This study suggests that FENO values higher than 27 ppb are likely to be abnormal and would reflect airway inflammation in children as those in the present study. (C) 2014 SEICAP. Published by Elsevier Espana, S.L.U. All rights reserved.</t>
  </si>
  <si>
    <t>0301-0546</t>
  </si>
  <si>
    <t>1578-1267</t>
  </si>
  <si>
    <t>10.1016/j.aller.2014.07.003</t>
  </si>
  <si>
    <t>WOS:000365454200002</t>
  </si>
  <si>
    <t>Presymmetry in the Standard Model with adulterated Dirac neutrinos</t>
  </si>
  <si>
    <t>Recently we proposed a model for light Dirac neutrinos in which two right-handed (RH) neutrinos per generation are added to the particles of the Standard Model (SM), implemented with the symmetry of fermionic contents. The ordinary one is decoupled via the high scale type-I seesaw mechanism, while the extra pairs off with its left-handed (LH) partner. The symmetry of lepton and quark contents was merely used as a guideline to the choice of parameters because it is not a proper symmetry. Here we argue that the underlying symmetry to take for this correspondence is presymmetry, the hidden electroweak symmetry of the SM extended with RH neutrinos defined by transformations which exchange lepton and quark bare states with the same electroweak charges and no Majorana mass terms in the underlying Lagrangian. It gives a topological character to fractional charges, relates the number of families to the number of quark colors, and now guarantees the great disparity between the couplings of the two RH neutrinos. Thus, Dirac neutrinos with extremely small masses appear as natural predictions of presymmetry, satisfying the 't Hooft's naturalness conditions in the extended seesaw where the extra RH neutrinos serve to adulterate the mass properties in the low scale effective theory, which retains without extensions the gauge and Higgs sectors of the SM. However, the high energy threshold for the seesaw implies new physics to stabilize the quantum corrections to the Higgs boson mass in agreement with the naturalness requirement.</t>
  </si>
  <si>
    <t>10.1142/S0217732315501606</t>
  </si>
  <si>
    <t>WOS:000361637600004</t>
  </si>
  <si>
    <t>Candia-Muñoz, N; Ramirez-Bunster, M; Vargas-Hernández, Y; Gaete-Garretón, L</t>
  </si>
  <si>
    <t>Declercq, NF</t>
  </si>
  <si>
    <t>Candia-Munoz, N.; Ramirez-Bunster, M.; Vargas-Hernandez, Y.; Gaete-Garreton, L.</t>
  </si>
  <si>
    <t>Ultrasonic spray drying vs high vacuum and microwaves technology for blueberries</t>
  </si>
  <si>
    <t>Proceedings of the 2015 ICU International Congress on Ultrasonics</t>
  </si>
  <si>
    <t>Physics Procedia</t>
  </si>
  <si>
    <t>MAY 10-15, 2015</t>
  </si>
  <si>
    <t>Georgia Tech Lorraine, Metz, FRANCE</t>
  </si>
  <si>
    <t>French Acoustical Soc</t>
  </si>
  <si>
    <t>Georgia Tech Lorraine</t>
  </si>
  <si>
    <t>Interest in high quality foods: good taste and a high content of nutrients with healthy beneficial effects are increasing. Fruits have good properties but, they are lost because the oxidation process, additionally, for different reasons a 40% of harvested fruit are lost. To conserve the fruit properties an ultrasonic assisted spray dryer was developed and tested, comparing its results with microwave-vacuum drying technology. Results did shown taste, color, smell, particle shape and size distribution better than the conventional one. The antioxidants conservation were quite good except in the anthocyanins, in which the microwave and vacuum technology shown best results. (C) 2015 The Authors. Published by Elsevier B.V. This is an open access article under the CC BY-NC-ND license (http://creativecommons.org/licenses/by-nc-nd/4.0/).</t>
  </si>
  <si>
    <t>1875-3892</t>
  </si>
  <si>
    <t>10.1016/j.phpro.2015.08.178</t>
  </si>
  <si>
    <t>WOS:000380533000205</t>
  </si>
  <si>
    <t>Leiva-Lobos, EP; Palomino, M</t>
  </si>
  <si>
    <t>GarciaChamizo, JM; Fortino, G; Ochoa, SF</t>
  </si>
  <si>
    <t>Leiva-Lobos, Edmundo P.; Palomino, Michael</t>
  </si>
  <si>
    <t>RBox: An Experimentation Tool for Creating Event-Driven Recommender Algorithms for Web 2.0</t>
  </si>
  <si>
    <t>UBIQUITOUS COMPUTING AND AMBIENT INTELLIGENCE: SENSING, PROCESSING, AND USING ENVIRONMENTAL INFORMATION</t>
  </si>
  <si>
    <t>9th International Conference on Ubiquitous Computing and Ambient Intelligence (UCAmI)</t>
  </si>
  <si>
    <t>DEC 01-04, 2015</t>
  </si>
  <si>
    <t>Puerto Varas, CHILE</t>
  </si>
  <si>
    <t>This article introduces a software environment called RBox, built to experiment with recommender systems (RS), regardless of the application domain. In spite of the ubiquity of RS on the Web 2.0 this research field still lacks a unique way of representing collective intelligence. To solve this problem, this article adopts a generic event-driven approach providing a unique RBox data schema. Thus, it is possible to achieve the abstraction of collaborative events that occur on Web 2.0 such as ranking, tagging and voting. A comparison with other tools illustrates the contribution of RBox to the RS field. For instance, this tool enables reusing algorithms and executing experiments that were originally intended for a specific application domain, for other ones. Finally, considering RS tools' limitations, the next versions of RBox will integrate ubiquitous computing and context-aware recommender systems .</t>
  </si>
  <si>
    <t>978-3-319-26401-1; 978-3-319-26400-4</t>
  </si>
  <si>
    <t>10.1007/978-3-319-26401-1_12</t>
  </si>
  <si>
    <t>WOS:000375991300012</t>
  </si>
  <si>
    <t>Huidobro-Toro, JP; Alveal, N; Navarrete, C; Barrera, N</t>
  </si>
  <si>
    <t>Huidobro-Toro, J. Pablo; Alveal, Natalia; Navarrete, Camilo; Barrera, Nelson</t>
  </si>
  <si>
    <t>Structural analysis of the P2X4 receptor reveals insights of the mechanism of allosteric regulation by alfaxolone</t>
  </si>
  <si>
    <t>PURINERGIC SIGNALLING</t>
  </si>
  <si>
    <t>1573-9538</t>
  </si>
  <si>
    <t>1573-9546</t>
  </si>
  <si>
    <t>A006</t>
  </si>
  <si>
    <t>WOS:000348578700235</t>
  </si>
  <si>
    <t>Modak, B; Torres, P; Mascayano, C; Torres, R; Urzúa, A; Valenzuela, B</t>
  </si>
  <si>
    <t>Modak, Brenda; Torres, Paulina; Mascayano, Carolina; Torres, Rene; Urzua, Alejandro; Valenzuela, Beatriz</t>
  </si>
  <si>
    <t>Derivatives of 3H-spiro1-benzofuran-2, 1'-cyclohexanes: immunostimulants for veterinary use</t>
  </si>
  <si>
    <t>Four 3H-spiro1-benzofuran-2, 1'-cyclohexanes were synthesized from filifolinol, two of which are reported for the first time. Docking molecular studies were carried out to determine in silico whether these derivatives have similar immunostimulant activity to that reported for filifolinol, and its oxidation product, filifolinone. Through of the study of interactions of these compounds with the heterodimer of the protein present in teleost TLR1-TLR2, filifolinol, 3'-filifolinchloride and filifolinyl acetate shows similar interactions between them, allowing to predict that they would have similar immunostimulant activity, but different to filifolinone and filifolinane or that they would act by a different mechanisms.</t>
  </si>
  <si>
    <t>Torres, Paulina/AAA-6852-2020</t>
  </si>
  <si>
    <t>Mascayano Collado, Carolina Lorena/0000-0002-3488-9309; Urzua, Alejandro/0000-0003-2638-0921</t>
  </si>
  <si>
    <t>WOS:000343600200009</t>
  </si>
  <si>
    <t>Segura, R; Vélez, J; Godoy, F; Oyarzun, MP; Sepúlveda, P; Aguirre, MJ</t>
  </si>
  <si>
    <t>Segura, Rodrigo; Velez, Jorge; Godoy, Fernando; Oyarzun, Maria P.; Sepulveda, Pamela; Aguirre, Maria J.</t>
  </si>
  <si>
    <t>Preparation of Glassy Carbon Electrode Modified with Polymeric Meso-Tetrakistetrabromo Thienylporphyrin for Determination of Cadmium and Lead by Anodic Stripping Voltammetry</t>
  </si>
  <si>
    <t>The use of a glassy carbon electrode modified with polymeric meso-tetrakistetrabromothienyl porphyrin (TBrTP) to determine Pb(II) and Cd(II) is reported. TBrTP was prepared by electrochemical polymerization in acetonitrile. Using SWASV, variables like number of cycles on the electropolymerization, pH, time and accumulation potential (t(acc), E-acc) were optimized. Optimal analytical conditions were: pH 5.0 (acetate buffer); E-acc -1.00 V vs. Ag/AgCl and t(acc) 60 s. The linear calibration curves ranged from 10.0 to 70.0 mu L-1 for Pb(II) and from 10.0 to 100.0 mu L-1 for Cd(II). The detection limits (3.) were 0.03 and 0.02 mu L-1 for Pb(II) and Cd(II) respectively. The relative standard deviation was 4.8 % and 6.3 % (n=6), respectively, for a solution containing 10.0 mu L-1 of Pb(II) and Cd(II). The method was validated using TMDA 51.3 and SPS-WW1 certified reference materials and then applied to determination of Pb(II) and Cd(II) in spiked tap water.</t>
  </si>
  <si>
    <t>Segura, Rodrigo/J-6696-2016; Cifuentes, Jorge/P-7533-2018; Aguirre, Maria/A-3935-2013; Sepulvedaor, Pamela/GRO-3516-2022</t>
  </si>
  <si>
    <t>Oyarzun, Maria Paz/0000-0001-6477-3385; Segura, Rodrigo/0000-0001-5747-2357; Aguirre, Maria/0000-0003-1134-4469</t>
  </si>
  <si>
    <t>WOS:000326501800028</t>
  </si>
  <si>
    <t>Reyes, A; Mahn, A; Cubillos, F; Huenulaf, P</t>
  </si>
  <si>
    <t>Reyes, Alejandro; Mahn, Andrea; Cubillos, Francisco; Huenulaf, Pedro</t>
  </si>
  <si>
    <t>Mushroom dehydration in a hybrid-solar dryer</t>
  </si>
  <si>
    <t>ENERGY CONVERSION AND MANAGEMENT</t>
  </si>
  <si>
    <t>Mushrooms (Paris variety) were dehydrated in a hybrid solar dryer (HSD) provided with a 3 m(2) solar panel and electric resistances. Mushrooms were cut in 8 mm or 4 mm thickness slices. At the outlet of the tray dryer 80-90% air was recycled and the air temperature was adjusted to the pre-defined levels (50 or 60 degrees C). At the outlet of the solar panel the air temperature raised between 2 and 20 degrees C above the ambient temperature, depending mainly of solar radiation level. Temperature, slices thickness and air recycle level had statistically significant effects on critical moisture content (X-c), as well as on the time necessary to reach a moisture content of 0.1 (wb). The color parameters of dehydrated mushroom indicate a notorious darkening, in all runs. Rehydration assays at 35 degrees C showed that in less than 30 min rehydrated mushrooms reached a moisture content of 0.8 (wb). Effective diffusivity (D-eff) was estimated by the Simplified Constant Diffusivity Model (SCDM), and it ranged between 6E-10 and 40E-10 m(2)/s, with R-2 higher than 0.98, agreeing with literature. The adjustment of experimental drying kinetics with the empirical Page's model resulted in R-2 higher than 0.997. Finally, the input of solar energy resulted in 3.5-12.5% energy saving. These values could even be improved by increasing the agro-product load in the HSD. (C) 2013 Elsevier Ltd. All rights reserved.</t>
  </si>
  <si>
    <t>0196-8904</t>
  </si>
  <si>
    <t>1879-2227</t>
  </si>
  <si>
    <t>10.1016/j.enconman.2013.01.032</t>
  </si>
  <si>
    <t>WOS:000319237900004</t>
  </si>
  <si>
    <t>Castillo-Segura, J; Biela-Cornejo, F; Navarro-Donoso, P</t>
  </si>
  <si>
    <t>Castillo-Segura, J.; Biela-Cornejo, F.; Navarro-Donoso, P.</t>
  </si>
  <si>
    <t>Study of phase separation in liquid-liquid systems using LIX 984N in organic phase</t>
  </si>
  <si>
    <t>In this work we studied the sedimentation and coalescence phenomena in liquid-liquid dispersion without chemical reaction, the aqueous electrolyte consisted of 0.25 M sodium sulfate and an organic phase characteristic organic extractant for copper (LIX 984N) diluted in a commercial solvent (Shellsol 24 AR). The phenomena that dominate the phase separation have been studied by several researchers, which proposed a number of models to predict sedimentation and coalescence profiles. In this work we applied a semi-empirical model to describe the phenomena involved, varying the following experimental conditions: percentage of extractant in organic phase (5 - 30 % v / v), continuous phase (aqueous and organic), time and stirring speed (30 - 1800 s and 400 - 1200 rpm respectively). The main results show that from the 800 rpm of agitation this variable has no influence on primary breakup time, in the same way for 180 seconds of stirring produces the same effect. The fraction of dispersed phase in the packing zone found was 0.74. For higher levels of percentage of extractant in organic phase increased the phase separation time as when the organic phase was used as the continuous phase relative to the aqueous phase. We found a partial adjustment of the experimental data in relation to the simulated values, which is attributable to two factors: the initial inertia of the system once the agitation stopped and the existence of different times of inflection points of the curves of sedimentation and coalescence. In the different articles found in literature assume that the above phenomena occur simultaneously.</t>
  </si>
  <si>
    <t>Castillo, Jonathan/AAB-8092-2019</t>
  </si>
  <si>
    <t>Castillo, Jonathan/0000-0002-7794-4291</t>
  </si>
  <si>
    <t>1988-4222</t>
  </si>
  <si>
    <t>MAR-APR</t>
  </si>
  <si>
    <t>10.3989/revmetalm.1155</t>
  </si>
  <si>
    <t>WOS:000305303200003</t>
  </si>
  <si>
    <t>Gaete-Garretón, L; Hernández, YV; Garcés, JS</t>
  </si>
  <si>
    <t>Linde, BBJ; Paczkowski, J; Ponikwicki, N</t>
  </si>
  <si>
    <t>Gaete-Garreton, L.; Vargas Hernandez, Y.; Saez Garces, J.</t>
  </si>
  <si>
    <t>Corner Frequency in Induced Cracks in Laboratory Samples</t>
  </si>
  <si>
    <t>INTERNATIONAL CONGRESS ON ULTRASONICS (GDANSK 2011)</t>
  </si>
  <si>
    <t>AIP Conference Proceedings</t>
  </si>
  <si>
    <t>International Congress on Ultrasonics (ICU)</t>
  </si>
  <si>
    <t>SEP 05-08, 2011</t>
  </si>
  <si>
    <t>Univ Gdansk, Inst Expt Phys, Gdansk-Oliwa Campus, Gdansk, POLAND</t>
  </si>
  <si>
    <t>Univ Gdansk,Polish Acoust Soc,Polish Acad Sci, Comm Acoust,Int Commiss Acoust (ICA)</t>
  </si>
  <si>
    <t>Univ Gdansk, Inst Expt Phys, Gdansk-Oliwa Campus</t>
  </si>
  <si>
    <t>An experimental study of corner frequency in special samples prepared in laboratory it is presented. The samples were prepared to produce a controlled fault and the acoustic emissions in the failure time were recorded. Our finding shows that it is possible to detect signals from the sample fault. Also the corner frequency was calculated and some material constants were evaluated. It seems that the technique can being useful in the study of the rocks properties in the mines.</t>
  </si>
  <si>
    <t>0094-243X</t>
  </si>
  <si>
    <t>978-0-7354-1019-0</t>
  </si>
  <si>
    <t>10.1063/1.3703134</t>
  </si>
  <si>
    <t>WOS:000307631000005</t>
  </si>
  <si>
    <t>Modeling Individual and Organizational Effects on Chilean Journalism: A Multilevel Analysis of Professional Role Conceptions</t>
  </si>
  <si>
    <t>COMUNICACION Y SOCIEDAD</t>
  </si>
  <si>
    <t>Using a representative survey of Chilean journalists (n= 570) and data collected from each news media organization (n= 114), this paper examines individual and organizational effects on professional role conceptions via hierarchical linear modeling. The findings demonstrate the existence of significant contextual effects on the importance that journalists give to their different functions in society, although not all professional roles are equally affected in form and magnitude by the news media context. This study shows that the journalism's more political roles are modeled for an interrelation between individual and organizational factors, where journalists' background and beliefs tend to be more predictive than news media characteristics. In turn, professional functions linked to the need of the public and to the commercialization of news, appeared to be more tied to the structural characteristics of the news organizations where the journalists belong. The results also reveal that individual and organizational political factors predict the majority of the professional roles, while ownership and media type do not have any direct influence on the journalists' attitudes.</t>
  </si>
  <si>
    <t>0214-0039</t>
  </si>
  <si>
    <t>2174-0895</t>
  </si>
  <si>
    <t>WOS:000299667100009</t>
  </si>
  <si>
    <t>Canobra, BM</t>
  </si>
  <si>
    <t>Modak Canobra, Brenda</t>
  </si>
  <si>
    <t>Natural antivirals in the Aquaculture industry: a challenge to Phytotherapy</t>
  </si>
  <si>
    <t>In Chile, salmon farming has grown greatly in recent years becoming an important commercial activity. However, the emergence of viral diseases has serious economic consequences. Salmonid species are the most affected ones, causing an important impact in salmon culture due to high mortality rates of fry and fingerling. For salmon culture, this is a big problem because of the difficulty of having closed and controlled spaces that avoids the easy dissemination of the pathogens to the sea and lakes. At present, control measures are limited to the use of disinfectants for the eggs and early detection of pathogens, as well as implementation of some vaccines that offers little protection. Therefore, the search for antiviral of natural origin, biodegradable and safe for the environment, emerges as a major challenge for phytochemical.</t>
  </si>
  <si>
    <t>WOS:000295837700002</t>
  </si>
  <si>
    <t>Kaschel, H; Quezada, G; Vega, R; Sanchez, L; Mardones, J</t>
  </si>
  <si>
    <t>Kaschel, Hector; Quezada, Gustavo; Vega, Ricardo; Sanchez, Luis; Mardones, Jose</t>
  </si>
  <si>
    <t>Determination of the Reliability Interval of Outdoor Channel Model in 802.15.4/Zig Bee Networks</t>
  </si>
  <si>
    <t>Within the framework of the implementation of a wireless network of nodes under the IEEE802.15.4/Zigbee standard, the values obtained from experimental measurements of power as a function of distance between nodes in free space are analyzed. A propagation loss model is proposed and a statistical analysis is made to determine the reliability of the prediction of the distance between nodes as a function of the power measured at the receiver. This analysis confirms that the predictions obtained from the proposed model and from widely used models, are not appropriate for determining, with a high degree of certainty, the distance between transmitter and receiver due to the variability of the data.</t>
  </si>
  <si>
    <t>WOS:000292015600011</t>
  </si>
  <si>
    <t>Modak, B; Torres, R; Urzúa, A</t>
  </si>
  <si>
    <t>Modak, Brenda; Torres, Rene; Urzua, Alejandro</t>
  </si>
  <si>
    <t>SEASONAL VARIATION OF THE FLAVONOIDS PINOCEMBRIN AND 3-O-METHYLGALANGIN, IN THE SURFACE COMPONENT MIXTURE (RESINOUS EXUDATES AND WAXY COATING) OF HELIOTROPIUM STENOPHYLLUM</t>
  </si>
  <si>
    <t>In this report we study the seasonal variation of the flavonoids pinocembrin and 3-O-methylgalangin in the surface component mixture (resinous exudate and waxy coating) of Heliotropium stenophyllum. The quantitative analysis of the flavonoids was performed using high-performance liquid chromatography of samples collected monthly over a whole year. The results showed an increase in the spring and summer yield of surface components and a decrease during the winter. Although the sum of pinocembrin and 3-O-methylgalangin did not follow a pattern related with hydric stress, UV radiation or high temperature during the year, a relationship between pinocembrin and 3-O-methylgalangin was found. On average during the months of September to August, excluding March, the amount of pinocembrin decreased wile the amount of 3-O-methylgalangin increased. The results suggest that the above compounds may play different ecophysiological functions during plant development and are consistent with the biosynthetic relationship between the two compounds.</t>
  </si>
  <si>
    <t>10.4067/S0717-97072011000100002</t>
  </si>
  <si>
    <t>WOS:000290700500002</t>
  </si>
  <si>
    <t>A remarkable family of left-ordered groups: Central extensions of Hecke groups</t>
  </si>
  <si>
    <t>JOURNAL OF ALGEBRA</t>
  </si>
  <si>
    <t>We provide an infinite family of left-ordered groups that have a positive cone that is generated by two elements as a semigroup. This family corresponds to that of certain central extensions of Hecke groups, and includes the Klein bottle group and the braid group B-3. Using the classical convex extension (flipping) procedure, on each of the groups of this family we define an ordering sharing many properties with Dehornoy's. Several related questions and problems are addressed. (C) 2010 Elsevier Inc. All rights reserved.</t>
  </si>
  <si>
    <t>0021-8693</t>
  </si>
  <si>
    <t>1090-266X</t>
  </si>
  <si>
    <t>10.1016/j.jalgebra.2010.10.020</t>
  </si>
  <si>
    <t>WOS:000286447400002</t>
  </si>
  <si>
    <t>Guíñez, V; Castañeda, A</t>
  </si>
  <si>
    <t>Guinez, Victor; Castaneda, Alvaro</t>
  </si>
  <si>
    <t>A polynomial class of Markus-Yamabe counterexamples and examples in R3</t>
  </si>
  <si>
    <t>APPLICABLE ANALYSIS</t>
  </si>
  <si>
    <t>We give a polynomial family of counterexamples to the Markus-Yamabe conjecture which contains and generalizes that of Cima-Gasull-Manosas. Furthermore, we construct a new class of polynomial vector fields in 3 having the origin as a global attractor which satisfy the Markus-Yamabe hypotheses.</t>
  </si>
  <si>
    <t>Castañeda, Álvaro/N-3673-2019; Castaneda, Alvaro/J-3972-2013</t>
  </si>
  <si>
    <t>Castaneda, Alvaro/0000-0002-8571-1578</t>
  </si>
  <si>
    <t>0003-6811</t>
  </si>
  <si>
    <t>PII 931063603</t>
  </si>
  <si>
    <t>10.1080/00036811.2010.505565</t>
  </si>
  <si>
    <t>WOS:000289572800002</t>
  </si>
  <si>
    <t>Remarks on Undecidability, Incompleteness and the Integrability Problem</t>
  </si>
  <si>
    <t>In their seminal paper Undecidability and incompleteness in classical mechanics (Int. J. Theor. Phys. 30:1041-1073, 1991), N.C.A. da Costa and F.A. Doria introduced a powerful method for studying the appearance of undecidability and incompleteness in mathematics and theoretical physics. In this work their results are applied to integrability theory. Specifically, it is pointed out that it is not possible to expect the existence of an algorithm able to decide whether a given partial differential equation is integrable or not.</t>
  </si>
  <si>
    <t>10.1007/s10773-009-0217-5</t>
  </si>
  <si>
    <t>WOS:000281041400001</t>
  </si>
  <si>
    <t>Alarcón, B; Guíñez, V; Gutierrez, C</t>
  </si>
  <si>
    <t>Alarcon, Begona; Guinez, Victor; Gutierrez, Carlos</t>
  </si>
  <si>
    <t>Planar embeddings with a globally attracting fixed point</t>
  </si>
  <si>
    <t>We consider sufficient conditions which guarantee that an embedding from the plane R-2 into itself has a unique fixed point. We subsequently study sufficient conditions under which there appears a globally attracting fixed point for such an embedding. (C) 2007 Elsevier Ltd. All rights reserved.</t>
  </si>
  <si>
    <t>Alarcon, Begona/KRT-1234-2024</t>
  </si>
  <si>
    <t>Alarcon Cotillas, Begona/0000-0002-1790-3519</t>
  </si>
  <si>
    <t>10.1016/j.na.2007.05.005</t>
  </si>
  <si>
    <t>WOS:000256952200011</t>
  </si>
  <si>
    <t>Moraga, NO; Rosas, CE; Bubnovich, VI; Solaria, NA</t>
  </si>
  <si>
    <t>Moraga, Nelson O.; Rosas, Cesar E.; Bubnovich, Valeri I.; Solaria, Nicola A.</t>
  </si>
  <si>
    <t>On predicting two-dimensional heat transfer in a cylindrical porous media combustor</t>
  </si>
  <si>
    <t>Convective heat transfer within a cylindrical inert porous media combustor is studied. A two-dimensional, two temperature mathematical model, based on fluid mechanics, energy and chemical species governing equations is used for combustion simulation. The finite volume method is used to solve the discrete model for methane combustion with air. Results are presented for unsteady velocity and temperature distributions, as well as for the displacement of the combustion zone, to assess the effects of inlet reactants velocities in the range 0.3-0.6 m/s; excess air ratios between 3 and 6 and porosities of 0.3 up to 0.6 in the convection heat transfer and combustion processes. (C) 2007 Elsevier Ltd. All rights reserved.</t>
  </si>
  <si>
    <t>10.1016/j.ijheatmasstransfer.2007.03.041</t>
  </si>
  <si>
    <t>WOS:000252688800029</t>
  </si>
  <si>
    <t>Urzúa, A; Santander, R; Echeverría, J; Rezende, MC</t>
  </si>
  <si>
    <t>Urzua, Alejandro; Santander, Rocio; Echeverria, Javier; Rezende, Marcos C.</t>
  </si>
  <si>
    <t>Secondary metabolites in the flower heads of Haplopappus berterii (Asteraceae) and its relation with insect-attracting mechanisms</t>
  </si>
  <si>
    <t>The chemical compositions of the flower heads of H. berterii and of Chrysantemum coronarium L., visited by a varied entomofauna, were compared in the search of possible correlations that might explain why different plants are visited by the same insects. Though some similarities were observed in the flavonoid contents of both species, their overall composition was dramatically different, pointing to the existence of rather complex mechanisms of insect attraction by these species. Our results thus represent a cautionary remark to interpretations of such mechanisms based solely on the chemical composition of the volatile components of flowers in the field.</t>
  </si>
  <si>
    <t>Santander, Rocio/K-7645-2013; Echeverría, Javier/AAK-3323-2020</t>
  </si>
  <si>
    <t>Echeverria, Javier/0000-0002-1688-968X; Rezende, Marcos/0000-0003-2040-9009; Urzua, Alejandro/0000-0003-2638-0921</t>
  </si>
  <si>
    <t>WOS:000247078800005</t>
  </si>
  <si>
    <t>López-Alarcón, C; Lissi, E</t>
  </si>
  <si>
    <t>Lopez-Alarcon, C.; Lissi, E.</t>
  </si>
  <si>
    <t>A novel and simple ORAC methodology based on the interaction of Pyrogallol Red with peroxyl radicals</t>
  </si>
  <si>
    <t>FREE RADICAL RESEARCH</t>
  </si>
  <si>
    <t>Oxygen radicals absorbance capacities (ORAC) indexes are frequently employed to characterize the radical trapping capacity of pure compounds and their complex mixtures. A drawback of ORAC values obtained using phycoerythrin, fluorescein (FL) or c-phycocyanin as targets, makes it possible to conclude that for very reactive compounds they are much more related to stoichiometric factors than to the reactivity of the tested compound. In the present paper, we propose a simple methodology, based on the bleaching of Pyrogallol Red (PGR) absorbance that provides ORAC indexes that are almost exclusively determined by the reactivity of the tested compounds. This difference is due to the high reactivity of PGR and the high concentrations of this compound employed in the experiments.</t>
  </si>
  <si>
    <t>Lopez, Camilo/J-5770-2013</t>
  </si>
  <si>
    <t>Lopez, Camilo/0000-0002-0174-8972</t>
  </si>
  <si>
    <t>1071-5762</t>
  </si>
  <si>
    <t>1029-2470</t>
  </si>
  <si>
    <t>10.1080/10715760500481233</t>
  </si>
  <si>
    <t>WOS:000240748500011</t>
  </si>
  <si>
    <t>Sanhueza, P; Vargas, C; Mellado, P</t>
  </si>
  <si>
    <t>Sanhueza H, Pedro; Vargas R, Claudio; Mellado G, Paula</t>
  </si>
  <si>
    <t>Impact of air pollution by fine particulate matter (PM10) on daily mortality in Temuco, Chile</t>
  </si>
  <si>
    <t>Background: Temuco (304, 000 inhabitants) has high levels of air pollution, mainly due to fine particulate matter of less than 10 mu m (PM10). The effects of this pollution on population health have not been studied. Aim: To study the short-term effects of PM10 on daily mortality in Temuco, in Southern Chile, due to respiratory and cardiovascular causes. Material and methods: We followed the APHEA methodology (Air Pollution and Health European Approach) by estimating poisson multivariate regression models and controlling by trends, seasonality and meteorology. The PM10 variable was introduced after controlling by the confounders and checking by statistical adjustment and autocorrelation of errors. Mortality data was obtained from the Ministry of Health, registering age, gender, place of residence and cause of death. Cancer, respiratory and cardiovascular deaths, occurring between 1997 and 2002, were recorded for this study. Results: There was a significant and positive association between PM10 concentration and daily mortality caused by respiratory disease (p-value=0.046, relative risk (RR) 1.236, 9596 confidence interval (CI) 1.004-1.522) and cardiovascular diseases in people aged 65 years and more (p-value=0.042; RR 1.176 95%, CI 1.006-1.374). Conclusions: There is a significant association between daily air pollution by PM10 particulate matter and mortality in Temuco, Chile.</t>
  </si>
  <si>
    <t>VARGAS, CLAUDIO/0000-0002-8705-0873</t>
  </si>
  <si>
    <t>WOS:000239580200012</t>
  </si>
  <si>
    <t>Zuccar, I; Solar, M; Kri, F; Parada, V</t>
  </si>
  <si>
    <t>Debenham, J</t>
  </si>
  <si>
    <t>Zuccar, Irene; Solar, Mauricio; Kri, Fernanda; Parada, Victor</t>
  </si>
  <si>
    <t>A shared-memory multiprocessor scheduling algorithm</t>
  </si>
  <si>
    <t>PROFESSIONAL PRACTICE IN ARTIFICIAL INTELLIGENCE</t>
  </si>
  <si>
    <t>International Federation for Information Processing</t>
  </si>
  <si>
    <t>19th World Computer Congress</t>
  </si>
  <si>
    <t>AUG 21-24, 2006</t>
  </si>
  <si>
    <t>IFIP TC 12</t>
  </si>
  <si>
    <t>This paper presents an extension of the Latency Time (LT) scheduling algorithm for assigning tasks with arbitrary execution times on a multiprocessor with shared memory. The Extended Latency Time (ELT) algorithm adds to the priority function the synchronization associated with access to the shared memory. The assignment is carried out associating with each task a time window of the same size as its duration, which decreases for every time unit that goes by. The proposed algorithm is compared with the Insertion Scheduling Heuristic (ISH). Analysis of the results established that ELT has better performance with fine granularity tasks (computing time comparable to synchronization time), and also, when the number of processors available to carry out the assignment increases.</t>
  </si>
  <si>
    <t>Solar, Mauricio/AAE-9673-2020; Parada, Victor/M-5840-2014</t>
  </si>
  <si>
    <t>1571-5736</t>
  </si>
  <si>
    <t>0-387-34655-4</t>
  </si>
  <si>
    <t>WOS:000239687600033</t>
  </si>
  <si>
    <t>Vera-Villarroel, PE; Mena, AB</t>
  </si>
  <si>
    <t>Toward the construction of a scale of beliefs of obesity in children (ECOI)</t>
  </si>
  <si>
    <t>Obesity and its related complications constitute serious threats for human health, because this condition is a prone factor for the appearance of chronic diseases such as diabetes, heart diseases, hypertension, and osteomuscular, respiratory and psychological affections. Child obesity has increased significantly in the last years. Parental influence has been demonstrated to be a relevant factor for prevention as much as for the development of non healthful states. The objective of this research was the construction of an instrument to assess beliefs related to the prevention of the child obesity. The sample was composed by 230 mothers whose children were between 2 and 5 years of age and currently living in Santiago de Chile. The results showed significant reliability scores and a factorial construct validity related to only one factor.</t>
  </si>
  <si>
    <t>Bonilla, Alejandra/ABB-8011-2020; Vera-Villarroel, Pablo/A-1134-2011</t>
  </si>
  <si>
    <t>Vera-Villarroel, Pablo/0000-0001-9187-8414</t>
  </si>
  <si>
    <t>WOS:000226097500008</t>
  </si>
  <si>
    <t>History of Latin America and the Caribbean 1825-2001</t>
  </si>
  <si>
    <t>10.1017/S0022216X03237688</t>
  </si>
  <si>
    <t>WOS:000220642700009</t>
  </si>
  <si>
    <t>Ganga, MA; Martínez, C</t>
  </si>
  <si>
    <t>Effect of wine yeast monoculture practice on the biodiversity of non-Saccharomyces yeasts</t>
  </si>
  <si>
    <t>JOURNAL OF APPLIED MICROBIOLOGY</t>
  </si>
  <si>
    <t>Conference on Lab on a Chip - Diagnosis and Onsite Testing</t>
  </si>
  <si>
    <t>JAN 08-09, 2003</t>
  </si>
  <si>
    <t>ENGLAND</t>
  </si>
  <si>
    <t>Soc Appl Microbiol</t>
  </si>
  <si>
    <t>Aims: The objective of this work was to study the effect of the use of Saccharomyces cerevisiae monocultures over the biodiversity of non-Saccharomyces yeasts in wine-producing areas in Chile. Methods and Results: Microvinifications were carried out with grape musts of two areas. In one of them, the fermentation is carried out mainly in a spontaneous manner, whereas in the other the musts are inoculated with commercial yeasts. The isolated yeasts were identified by the internal transcribed (ITS)/restriction fragment length polymorphism technique. In the industrial production area less variability of yeast genera was observed as compared with the traditional area, an observation that is greatest at the end of the fermentation. Furthermore, a study of the production of extracellular enzymes was done. The majority of the yeasts showed at least one of the activities assayed with the exception of beta-glycosidase. Conclusion: The results suggest that in the industrialized area the diversity of yeasts is less in the traditional area. Likewise, the potentiality of the non-Saccharomyces yeasts as enzyme producers with industrial interest has been confirmed. Significance and Impact of the Study: This study shows the negative effect of the use of monocultures over the biodiversity of yeasts in wine-producing regions.</t>
  </si>
  <si>
    <t>Ganga, Maria/S-8176-2019; Martinez, Claudio/MGS-9961-2025</t>
  </si>
  <si>
    <t>1364-5072</t>
  </si>
  <si>
    <t>1365-2672</t>
  </si>
  <si>
    <t>10.1046/j.1365-2672.2003.02080.x</t>
  </si>
  <si>
    <t>WOS:000187407100009</t>
  </si>
  <si>
    <t>Exploiting multiple view geometry in X-ray testing: Part II, applications</t>
  </si>
  <si>
    <t>MATERIALS EVALUATION</t>
  </si>
  <si>
    <t>In this paper, we present four applications that use the theory of multiple view geometry in X-ray testing. Multiple view analysis offers advantages not only in three dimensional interpretation. Two or more views of the same object taken from different viewpoints can be used to confirm and improve the diagnostics provided by analyzing only one image. The goal of multiple view analysis is to gain more information about a test object by analyzing multiple views taken at different viewpoints. Multiple view X-ray testing represents an economic alternative to computed tomography for rapid internal feature analysis.</t>
  </si>
  <si>
    <t>0025-5327</t>
  </si>
  <si>
    <t>WOS:000186970400005</t>
  </si>
  <si>
    <t>Chaná-Cuevas, P; Kunstmann-Rioseco, C; Rodríguez-Riquelme, T</t>
  </si>
  <si>
    <t>Guitarist's cramp:: Treatment with sensory re-education</t>
  </si>
  <si>
    <t>Introduction. Bystonia is defined as a sustained co-contraction of agonistic and antagonistic muscles that can cause twisting, twitching and abnormal postures. Occupational dystonias are included in a special group of pathologies that are secondary to a repeated effort related to the professional activity carried out by the sufferer, as can occur in guitarists, violinists and trumpet players, for example. Its pathophysiology includes descriptions of disorders affecting the peripheral and central nervous systems. Studies conducted in monkeys have shown that, through sensory stimulation, repeated movements can give rise to central anomalies in the somatosensory cortex, with growth of the receptive fields that are stimulated and deformation of the separations between those fields. Case report. We describe the case of a professional guitarist with a seven-year history of symptoms. A neurological examination revealed a co-contraction in the right hand that triggered the extension of the index and little fingers, which made it difficult for him to play his instrument. The patient was submitted to sensory re-education therapy with the use of a splint and a two-month routine of exercises. The response was evaluated using a subjective scale of the patient's symptoms and measurements of the maximum angles of flexion and extension of the affected fingers. Both methods reduced the patient's discomfort and allowed him to exhibit greater skill when playing the guitar. Conclusions. Occupational dystonias produced by repeated stimulation present alterations in the sensory region of the cortex, with the involvement of motor performance that improves with sensory re-education therapy.</t>
  </si>
  <si>
    <t>Chana-Cuevas, Pedro/AAM-8215-2020</t>
  </si>
  <si>
    <t>1576-6578</t>
  </si>
  <si>
    <t>OCT 1</t>
  </si>
  <si>
    <t>10.33588/rn.3707.2003248</t>
  </si>
  <si>
    <t>WOS:000186192000008</t>
  </si>
  <si>
    <t>Ortiz, J; Puelma, M; Gautier, JL</t>
  </si>
  <si>
    <t>Indirect oxidation of phenol on graphite and on Ni0.3Co2.7O4 spinel electrodes in alkaline medium.</t>
  </si>
  <si>
    <t>We studied the oxidation of phenol by HO2- ions obtained from the oxygen reduction reaction (ORR) on pyrolytic graphite and on Ni0.3Co2.7O4 spinel oxide in 1M KOH at 25 degreesC. Phenol degradation was achieved by using the controlled potential electrolysis of saturated O2 solutions under batch and laminar flow conditions. In both electrodes, the electro- generation of HO2- occurs between -0.2 V and -0.4V, with the graphite being more efficient than the Ni0.3Co2.7O4 electrode. The phenol degradation conversions for the batch electrolysis were 32% on graphite and 21% on the oxide, whereas with the flow mode they were 7% and 22% respectively.</t>
  </si>
  <si>
    <t>WOS:000183467400012</t>
  </si>
  <si>
    <t>Mannheim, RL; Garin, JL</t>
  </si>
  <si>
    <t>Microstructural characterization of rhenium powder obtained at various temperatures</t>
  </si>
  <si>
    <t>ADVANCED POWDER TECHNOLOGY III</t>
  </si>
  <si>
    <t>3rd International Latin-American Conference on Powder Technology</t>
  </si>
  <si>
    <t>NOV 26-28, 2001</t>
  </si>
  <si>
    <t>SANTA CATARINA, BRAZIL</t>
  </si>
  <si>
    <t>Assoc Brazilian Ceram</t>
  </si>
  <si>
    <t>This work deals with the measurement of particle-size distribution of rhenium powder obtained by reduction of ammonium perrhenate under hydrogen flux. Depending upon the reduction temperature, variable amounts of hydrogen, nitrogen and oxygen remain interstitially located in the material, causing large X-ray diffraction line broadening, which accounts for particle-size domains in the microstructure of the metallic particles. The present study was carried out in the range of 400 to 1000 degreesC, where the oxidized species can be reduced to rhenium powder. All calculations regarding the line-broadening effects made use of the powerfull Warren-Averbach method, while the experimental diffraction profiles were modeled by non-linear least-squares fitting, using pseudo-Voigt functions. The average particle size increased from 8.7 to 120 nm with increasing temperature from 400 to 750 degreesC, with no further change above this last temperature. On the other side, strain distribution within the same temperature range varied from 15 to 735x10(-5).</t>
  </si>
  <si>
    <t>0-87849-912-1</t>
  </si>
  <si>
    <t>416-4</t>
  </si>
  <si>
    <t>10.4028/www.scientific.net/MSF.416-418.276</t>
  </si>
  <si>
    <t>WOS:000182605200046</t>
  </si>
  <si>
    <t>Mendoza, L; Tapia, L; Wilkens, M; Urzúa, A</t>
  </si>
  <si>
    <t>Antibacterial activity of 13-epi-sclareol, a labdane type diterpene isolated from Pseudognaphalium heterotrichium and P-cheiranthifolium (Asteraceae)</t>
  </si>
  <si>
    <t>The antibacterial activity of 13-epi-sclareol, a labdane type diterpene, isolated from the resinous exudate of Pseudognaphalium heterotrichium and P cheiranthifolium was tested against four Gram positive and three Gram negative bacteria. The antimicrobial activity was determined using three different methods: solid medium, liquid medium and a liquid medium micro-method. The bacterial viability and growth curve were also studied. Gram positive bacteria were selectively affected by 13-epi-sclareol. At concentrations of 30 mug/mL, the compound produced the lysis of Bacillus cereus and B. subtilis.</t>
  </si>
  <si>
    <t>Wilkens, Marcela/G-5928-2019</t>
  </si>
  <si>
    <t>WOS:000176814300003</t>
  </si>
  <si>
    <t>Cárdenas-Jirón, GI</t>
  </si>
  <si>
    <t>Substituent effect in the chemical reactivity and selectivity of substituted cobalt phthalocyanines</t>
  </si>
  <si>
    <t>JOURNAL OF PHYSICAL CHEMISTRY A</t>
  </si>
  <si>
    <t>We rationalize the chemical reactivity and selectivity for a set of substituted cobalt phthalocyanines (CoPc-(X)(n)) in terms of the global and local HSAB (hard soft acid base) principle. Electron donating and electron withdrawing groups were used as substituents. At a global level, we analyze the reactivity in terms of the molecular hardness that present each of the species. At a local level, the graphical maps of the Fukui function for identifying the selectivity of the different sites in the substituted cobalt plithalocyanines are obtained. It is shown that the reaction site in a soft CoPc(X)(n) is associated to a maximum value in the Fukui function. In contrast to this, for a hard CoPc(X)(n) the Fukui function focus seem not to be the adequate criterion to identify the reaction site. The results obtained at the PM3(tm) semiempirical level lead to conclude that the interactions with the CoPc(X)(n) species will be governed by hard-hard and soft-soft interactions.</t>
  </si>
  <si>
    <t>Cardenas-Jiron, Gloria/H-9508-2012</t>
  </si>
  <si>
    <t>1089-5639</t>
  </si>
  <si>
    <t>1520-5215</t>
  </si>
  <si>
    <t>10.1021/jp013050e</t>
  </si>
  <si>
    <t>WOS:000174793100021</t>
  </si>
  <si>
    <t>Ramírez, G; Trollund, E; Isaacs, M; Armijo, F; Zagal, J; Costamagna, J; Aguirre, MJ</t>
  </si>
  <si>
    <t>Electroreduction of molecular oxygen on poly-iron-tetraaminophthalocyanine modified electrodes</t>
  </si>
  <si>
    <t>ELECTROANALYSIS</t>
  </si>
  <si>
    <t>In this work we have investigated the electrocatalytic activity for O-2 reduction of monomeric (FePcTA) and polymeric (poly-FePcTA) iron tetraaaminophthalocyanine, deposited on glassy carbon. The activity of the electropolymerized ligand (poly-H(2)PcTA) was also investigated. Its activity is much lower than the activity of both monomeric and polymeric FePcTA. The electropolymerized FePcTA is more active and stable for O-2 reduction than the monomeric species. In contrast to other Fe-phthalocyanines, poly-FePcTA only catalyzes the two-electron reduction of O-2, to peroxide. Both monomeric and polymeric Fe species seem to form an adduct with oxygen and this causes a gradual deactivation, However at pH 5,85, using sodium perchlorate as electrolyte, the polymer does not lose its activity for O-2 reduction.</t>
  </si>
  <si>
    <t>Aguirre, Maria/A-3935-2013; Armijo, Francisco/G-3391-2013; zagal, jose/L-9648-2014; Isaacs, Mauricio/N-3027-2013</t>
  </si>
  <si>
    <t>Armijo, Francisco/0000-0002-2479-6280; Isaacs Casanova, Mauricio/0000-0003-0503-0949; Ramirez, Galo/0000-0002-6217-4730; Aguirre, Maria/0000-0003-1134-4469</t>
  </si>
  <si>
    <t>1040-0397</t>
  </si>
  <si>
    <t>7-8</t>
  </si>
  <si>
    <t>10.1002/1521-4109(200204)14:7/8&lt;540::AID-ELAN540&gt;3.0.CO;2-3</t>
  </si>
  <si>
    <t>WOS:000175374900012</t>
  </si>
  <si>
    <t>Urzúa, A; Andrade, L</t>
  </si>
  <si>
    <t>Comparative chemical composition of the resinous exudates from Senecio adenotrichius and S-viscosissimus</t>
  </si>
  <si>
    <t>10.1016/S0305-1978(00)00114-9</t>
  </si>
  <si>
    <t>WOS:000169719700011</t>
  </si>
  <si>
    <t>Celentano, D; Cruchaga, M; Moraga, N; Fuentes, J</t>
  </si>
  <si>
    <t>Modeling natural convection with solidification in mould cavities</t>
  </si>
  <si>
    <t>In this work, a comparative assessment of the finite volume (FVM) and finite element (FEM) methods is performed in the analysis of different problems involving natural convection. The FVM semi-implicit method for pressure-linked equations (SIMPLE) algorithm and a fixed-mesh FEM using a generalized streamline operator (CSO) technique are used in the numerical solution of the thermally coupled incompressible Navier-Stokes equations. The thermal induced fluid flow pattern, the modified temperature field, and the heat transfer conditions are successfully evaluated in natural convection problems, including phase-change and mould wall conductance effects.</t>
  </si>
  <si>
    <t>Fuentes, José/JZT-9323-2024; Celentano, Diego/JQW-5027-2023; Cruchaga, Marcela/M-7522-2014</t>
  </si>
  <si>
    <t>MAY 11</t>
  </si>
  <si>
    <t>10.1080/104077801750178905</t>
  </si>
  <si>
    <t>WOS:000168798700005</t>
  </si>
  <si>
    <t>Salgado, L; Filho, FA; Muccilo, R</t>
  </si>
  <si>
    <t>Optimizing the manufacturing process of molybdenum powder</t>
  </si>
  <si>
    <t>ADVANCED POWDER TECHNOLOGY II</t>
  </si>
  <si>
    <t>KEY ENGINEERING MATERIALS</t>
  </si>
  <si>
    <t>2nd International Latin-American Conference on Power Technology</t>
  </si>
  <si>
    <t>NOV, 1999</t>
  </si>
  <si>
    <t>FOZ DO IGUACU, BRAZIL</t>
  </si>
  <si>
    <t>Air Liquide,Belgo Brasileira,brassinter,CCDM,Cofap,Combusto Metalpo,CCP,Degussa Huls,Forjisnter,Gasbarre Sinterite,Hoeganaes,Hoganas,Mahle Metal Leve Miba,OMG Amer,Osterwalder,Penn Team,Zoz</t>
  </si>
  <si>
    <t>Molybdenum-based refractory alloys are particularly advantageous because of their demanding use in aerospace industry and energy conversion systems. However, the manufacturing of molybdenum-bearing alloys by means of powder sintering at moderate temperatures, is fully dependent upon the particle size distribution of the metallic powder, which must be centered around values less than 5 microns in diameter. Hence this research work was oriented towards the first stage of reduction of molybdenum trioxide to molybdenum dioxide, in terms of type of atmosphere, gas flow rate, process time and temperature variations. A close control of all of these parameters allowed to adjust the presence of intermediate oxides, such as Mo4O11, Mo9O26 and Mo8O23, in order to prevent the reduced particles from further growth due to pre-sintering mechanisms. The process yielded particles with nearly spherical morphology, bearing a size distribution averaging 3.0 microns in diameter.</t>
  </si>
  <si>
    <t>1013-9826</t>
  </si>
  <si>
    <t>0-87849-864-8</t>
  </si>
  <si>
    <t>189-1</t>
  </si>
  <si>
    <t>10.4028/www.scientific.net/KEM.189-191.232</t>
  </si>
  <si>
    <t>WOS:000168303300037</t>
  </si>
  <si>
    <t>Aspée, A; Lissi, EA</t>
  </si>
  <si>
    <t>Acid phosphatase reaction with peroxyl radicals:: Inactivation mechanism and behavior of the partially modified ensemble</t>
  </si>
  <si>
    <t>Acid phosphatase (AP) is readily inactivated when exposed to the free radicals generated in the pyrolysis of 2,2'-azobis(2-amidinopropane) hydrochloride (AAPH) under aerobic conditions. On average, a large number of tryptophan groups are modified by each protein molecule that loses its catalytic activity. In spite of this, the enzyme inactivation takes place without induction times, a result that indicates either that damage is progressive or that damage of a critical target is needed to inactivate the enzyme (all-or-nothing mechanism). A Lineweaver-Burk plot of the enzyme activity measured at pH 4.8 is not compatible with an all-or-nothing mechanism, showing that after exposure of the native protein ensemble to the free radical source there are partially damaged molecules whose affinity for the substrate is widely different from that of the native molecules. On the other hand, the partially damaged ensemble shows a normal Michaelis-Menten behavior when the activity is measured at pH 7.0, with only a reduced value of V-M, relative to that of the unmodified ensemble. These results show that the native protein and modified proteins that remain active constitute different populations, with different responses to pH changes. Comparative heat denaturation studies of the native and pretreated proteins support this proposal. (C) 2000 Academic Press.</t>
  </si>
  <si>
    <t>10.1006/abbi.2000.1887</t>
  </si>
  <si>
    <t>WOS:000088522200010</t>
  </si>
  <si>
    <t>Gamboa, J</t>
  </si>
  <si>
    <t>Fermions on non-trivial topologies</t>
  </si>
  <si>
    <t>An exact expression for the Green function of a purely fermionic system moving on the manifold R x Sigma(D-1), where Sigma(D-1) is a (D - 1)-torus, is found. This expression involves the bosonic analog of chi(n) = e(in theta) corresponding to the irreducible representation for the nth class of homotopy and in the fermionic case for D = 2 and 3, chi(n) is a measure of the statistics of the particles. For higher dimensions (D greater than or equal to 4), there is no analogue interpretation however this could, presumably, indicate a generation of mass as in quantum field theories at finite temperature. (C) 2000 Elsevier Science B.V. All rights reserved.</t>
  </si>
  <si>
    <t>MAR 30</t>
  </si>
  <si>
    <t>10.1016/S0370-2693(00)00243-4</t>
  </si>
  <si>
    <t>WOS:000086203300009</t>
  </si>
  <si>
    <t>Sanhueza, P; Vargas, C; Jiménez, J</t>
  </si>
  <si>
    <t>Daily mortality in Santiago and its relationship with air pollution</t>
  </si>
  <si>
    <t>Background: Santiago de Chile, due to meteorological and topographic factors, is one of the most polluted cities in the world. The adverse effects of contamination on health are relatively well known, but they may be overvalued. Aim: To evaluate the short term effects of exposure to air pollution on mortality of people over 65 years old. Material and methods: Daily mortality data in Santiago, from 1988 to 1993, was obtained from the National Statistics Institute. Daily concentrations of contaminants in Santiago and meteorological variables, were obtained from SESMA the Metropolitan Environmental Health Services. An association between contamination and mortality due to respiratory or cardiovascular diseases in subjects over 65 years old was searched, using temporal series analysis. Results: There was a significant association between air pollution, meteorological values on the same and previous days and mortality. PM10 had the strongest association with mortality. The relative risk of a 100 mu g/m(3) increment in PM10 was 1.052 for the elderly, 1.025 for cardiovascular and 1.061 for respiratory mortality. The relative risk of SO2 was 1.006 for all deaths and 1.017 for respiratory deaths. The figures for O-3 were 1.015 for all deaths and 1.008 for cardiovascular deaths. Conclusions: This work confirms a consistent association between air pollution and daily mortality, specially for particulate matter, even for levels below Chilean norms.</t>
  </si>
  <si>
    <t>WOS:000079616700016</t>
  </si>
  <si>
    <t>Bustamante, R; Fernández, J</t>
  </si>
  <si>
    <t>Diaz, C; Landolt, C; Utigard, T</t>
  </si>
  <si>
    <t>Comparative productivity and quality evaluation of copper smelting gas cooling techniques</t>
  </si>
  <si>
    <t>SMELTING, TECHNOLOGY DEVELOPMENT, PROCESS MODELING AND FUNDAMENTALS</t>
  </si>
  <si>
    <t>4th International Conference of the COPPER 99/COBRE 99</t>
  </si>
  <si>
    <t>OCT 10-13, 1999</t>
  </si>
  <si>
    <t>PHOENIX, AZ</t>
  </si>
  <si>
    <t>Chilean Inst Min Engineers,Met Soc Canadian Inst Min, Met &amp; Petr,Minerals Met &amp; Mat Soc,Soc Min, Met &amp; Explorat</t>
  </si>
  <si>
    <t>The subject of this paper is a comparative evaluation of different copper smelting gas cooling techniques, using productivity and quality criteria. The first section presents a brief description of the operation of the radiant and the evaporative cooling systems, focusing on the differences between each other, in particular regarding: a) mass and energy balances; b) gas flow, temperature and composition; c) dust concentration and recovery. This section includes a brief discussion of the client-server chain, i.e. the links between the cooling equipment and the down- and up-stream operations. More in particular, the up-stream server relationship impacts on the operating stability of the furnace, and in turn on furnace down-time and Cu production losses, and the down-stream client relationship affects the operation of the electrostatic precipitators, in terms of workload and cost of handling larger quantities of dust of a given dust size. The second section deals with the development of indexes to measure and compare value added through the utilization, productivity and quality that can be expected of both cooling methods at the physical and economic levels, and the impact on the overall smelter productivity and the final cost composition of copper. The final section presents the results and includes a discussion of the comparative advantages and disadvantages of both cooling systems.</t>
  </si>
  <si>
    <t>0-87339-440-2</t>
  </si>
  <si>
    <t>WOS:000085715900018</t>
  </si>
  <si>
    <t>Contreras, ML; Gonzalez, FD; Campodonico, PR; Rozas, R</t>
  </si>
  <si>
    <t>Molecular modeling. 9-anilineacridine and its DNA intercalation.</t>
  </si>
  <si>
    <t>Recently, drug focused molecular modeling studies have revealed to be a useful option for research with good results for the industry. In this work, 9-anilineacridine, the most active compound among a group of molecules of known antimalarial and antitumour activities, was considered to study a key step of the DNA topoisomerase II inhibition mechanism, by means of simulating the intercalation of this drug in the DNA. Molecular modeling study was addressed to the insertion of the drug into isolated DNA fragments constituted by different combinations of four nitrogenated bases. Energy and conformational parameters showed a better drug interaction for the CG/CG base pairs in agreement with experimental data for other drug families. In addition, the insertion of the drug into a major DNA fragment was studied focusing specifically to the CG/CG base pairs. Docking module of Biosym was used for that and each of the energy barriers generated during drug insertion were properly evaluated.</t>
  </si>
  <si>
    <t>Campodónico, Paola/L-9664-2014; González-Nilo, Fernando/M-5671-2016</t>
  </si>
  <si>
    <t>WOS:A1997XH41800007</t>
  </si>
  <si>
    <t>Wars, parties and nationalism: Essays on the politics and society of nineteenth-century Latin America - PosadaCarbo,E</t>
  </si>
  <si>
    <t>WOS:A1997XB75800018</t>
  </si>
  <si>
    <t>Otero, A; Garcia, D; Fabregas, J</t>
  </si>
  <si>
    <t>Factors controlling eicosapentaenoic acid production in semicontinuous cultures of marine microalgae</t>
  </si>
  <si>
    <t>JOURNAL OF APPLIED PHYCOLOGY</t>
  </si>
  <si>
    <t>3rd Asia-Pacific Conference on Algal Biotechnology</t>
  </si>
  <si>
    <t>MAY 07-10, 1997</t>
  </si>
  <si>
    <t>PHUKET, THAILAND</t>
  </si>
  <si>
    <t>Three marine microalgal species with a high content of eicosapentaenoic acid (EPA), Phaeadactylum tricornutum, Isochrysis galbana and Porphyridium cruentum, were cultured semicontinuously in order to study the effect of renewal rate on EPA productivity. The percentage of EPA in total fatty acids increased with increasing renewal rates in nitrogen limited cultures, but while for Phaeodactylum tricornutum and Isochrysis galbana a plateau around 20-25% of total fatty acids was reached with renewal rates that were not nitrogen-limiting, in Porphyridium cruentum EPA percentage increased continuously with increasing renewal rate even for those cultures that were nitrogen sufficient. Maximal EPA productivities of 4.6 mg L-1 day(-1) for Isochrysis galbana and 5.2 mg L-1 day(-1) for Phaeodactylum tricornutum were achieved with renewal rates of 20% and 30% respectively. On the other hand for Porphyridium cruentum maximal EPA productivity, 5.3 mg L-1 day(-1), was obtained with the maximal renewal rate tested. Results indicate that different culture strategies should be adopted for the production of a particular polyunsaturated fatty acid depending on the microalgal species being used.</t>
  </si>
  <si>
    <t>Otero, Ana/S-1882-2018</t>
  </si>
  <si>
    <t>Otero, Ana/0000-0002-3315-5709</t>
  </si>
  <si>
    <t>0921-8971</t>
  </si>
  <si>
    <t>1573-5176</t>
  </si>
  <si>
    <t>10.1023/A:1007930804367</t>
  </si>
  <si>
    <t>WOS:000072582100012</t>
  </si>
  <si>
    <t>Approximation of abstract functional differential equations with unbounded delay</t>
  </si>
  <si>
    <t>INDIAN JOURNAL OF PURE &amp; APPLIED MATHEMATICS</t>
  </si>
  <si>
    <t>In this work we study the approximation of solutions of abstract retarded functional differential equations (ARFDE) with unbounded delay by means of solutions of ARFDE with bounded delay. As consequence we establish some results of stability and existence of periodic solutions for the first one.</t>
  </si>
  <si>
    <t>0019-5588</t>
  </si>
  <si>
    <t>WOS:A1996UJ08700003</t>
  </si>
  <si>
    <t>Cardenas, H; Arraztoa, JA; Rocha, A; Imarai, CM</t>
  </si>
  <si>
    <t>Relationship between IgA levels in fallopian tube perfusates and circulating estradiol (E2) and progesterone (P) levels.</t>
  </si>
  <si>
    <t>BIOLOGY OF REPRODUCTION</t>
  </si>
  <si>
    <t>0006-3363</t>
  </si>
  <si>
    <t>WOS:A1996VF09900124</t>
  </si>
  <si>
    <t>Gramsch, E; Moses, WW; Gullikson, EM</t>
  </si>
  <si>
    <t>VanMetter, RL; Beutel, J</t>
  </si>
  <si>
    <t>Development of avalanche photodiode arrays for positron emission tomography</t>
  </si>
  <si>
    <t>PHYSICS OF MEDICAL IMAGING: MEDICAL IMAGING 1996</t>
  </si>
  <si>
    <t>PROCEEDINGS OF THE SOCIETY OF PHOTO-OPTICAL INSTRUMENTATION ENGINEERS (SPIE)</t>
  </si>
  <si>
    <t>1996 Annual Meeting on the Physics of Medical Imaging</t>
  </si>
  <si>
    <t>FEB 11-13, 1996</t>
  </si>
  <si>
    <t>NEWPORT BEACH, CA</t>
  </si>
  <si>
    <t>Soc Photo Opt Instrumentat Engineers,Amer Assoc Physicists Med,Amer Physiol Soc,FDA, Ctr Devices &amp; Radiol Hlth,Soc Imaging Sci &amp; Technol,Natl Elect Manufacturers Assoc, Diagnost Imaging &amp; Therapy Syst Div,Radiol Informat Syst Consortium,Radiol Soc N Amer,Soc Comp Appl Radiol</t>
  </si>
  <si>
    <t>0-8194-2083-2</t>
  </si>
  <si>
    <t>10.1117/12.237837</t>
  </si>
  <si>
    <t>WOS:A1996BF52P00067</t>
  </si>
  <si>
    <t>Pacheco, M; Barticevic, Z; Claro, F</t>
  </si>
  <si>
    <t>HernandezCalderon, I; Asomoza, R</t>
  </si>
  <si>
    <t>The exciton Stark ladder in GaAs/AlxGa1-xAs superlattices in a magnetic field</t>
  </si>
  <si>
    <t>SURFACES, VACUUM, AND THEIR APPLICATIONS</t>
  </si>
  <si>
    <t>AIP CONFERENCE PROCEEDINGS</t>
  </si>
  <si>
    <t>8th Latin-American Congress on Surface Science and Its Applications (CLACSA-8) - Surfaces, Vacuum, and Their Applications</t>
  </si>
  <si>
    <t>SEP 19-23, 1994</t>
  </si>
  <si>
    <t>CONACyt, Mexico,CINVESTAV,AVS,IUPAP,CLAF,CYTED</t>
  </si>
  <si>
    <t>Pacheco, Monica/L-9669-2014</t>
  </si>
  <si>
    <t>1-56396-418-X</t>
  </si>
  <si>
    <t>WOS:A1996BG27Q00022</t>
  </si>
  <si>
    <t>DITERPENE ACETYLXYLOSIDES FROM THE EXUDATE OF CONYZA-LINEARIS</t>
  </si>
  <si>
    <t>PHYTOCHEMISTRY</t>
  </si>
  <si>
    <t>Two new labdane acetylxylosides, ent-manool-13-O-beta-D-4'-acetylxylopyranoside and ent-manool-13-O-beta-D-3'-acetylxylopyranoside were obtained from the exudate of Conyza linearis. The structures were deduced from chemical and spectroscopic evidence.</t>
  </si>
  <si>
    <t>0031-9422</t>
  </si>
  <si>
    <t>10.1016/0031-9422(95)00109-K</t>
  </si>
  <si>
    <t>WOS:A1995RN85800040</t>
  </si>
  <si>
    <t>HIGGS BOSONS IN THE PREQUARK-LEPTON-SYMMETRICAL ELECTROWEAK MODEL</t>
  </si>
  <si>
    <t>We analyse the Higgs sector of the prequark-lepton-symmetric electroweak model proposed recently to unify particle physics beyond the standard theory. We show that such a model can reproduce the predictions of the two-Higgs-doublet standard model. The new feature is that separate physical Higgs bosons coupling to leptons and quarks are expected, which exclude Higgs signals in leptonic and semi-leptonic decays of hadrons and lepton-hadron interactions.</t>
  </si>
  <si>
    <t>10.1007/BF02730951</t>
  </si>
  <si>
    <t>WOS:A1994QF37200004</t>
  </si>
  <si>
    <t>ZAGAL, JH</t>
  </si>
  <si>
    <t>METALLOPHTHALOCYANINES AS CATALYSTS IN ELECTROCHEMICAL REACTIONS</t>
  </si>
  <si>
    <t>COORDINATION CHEMISTRY REVIEWS</t>
  </si>
  <si>
    <t>0010-8545</t>
  </si>
  <si>
    <t>1873-3840</t>
  </si>
  <si>
    <t>10.1016/0010-8545(92)80031-L</t>
  </si>
  <si>
    <t>WOS:A1992JU43200004</t>
  </si>
  <si>
    <t>VILLARROEL, LH; VAREA, P; CACERES, R</t>
  </si>
  <si>
    <t>INTEGERRIMINE AND USARAMINE FROM SENECIO-MURORUM REMY</t>
  </si>
  <si>
    <t>WOS:A1988P037100007</t>
  </si>
  <si>
    <t>ABUIN, E; AVARIA, L; LISSI, E</t>
  </si>
  <si>
    <t>EFFECT OF HYDROPEROXIDES ON THE BENZOIN PHOTOINITIATED VINYL-ACETATE POLYMERIZATION</t>
  </si>
  <si>
    <t>WOS:A1987L154000006</t>
  </si>
  <si>
    <t>CONTRERAS, ML; RIVAS, S; ROZAS, R</t>
  </si>
  <si>
    <t>AN APPROACH TO THE MECHANISM OF PHOTOOXIDATION OF BERBERINE UNDER BASIC CONDITIONS</t>
  </si>
  <si>
    <t>HETEROCYCLES</t>
  </si>
  <si>
    <t>0385-5414</t>
  </si>
  <si>
    <t>WOS:A1984SB36600022</t>
  </si>
  <si>
    <t>LISSI, EA</t>
  </si>
  <si>
    <t>ON THE USE OF A MODIFIED MAYO PLOT</t>
  </si>
  <si>
    <t>A15</t>
  </si>
  <si>
    <t>10.1080/00222338108074384</t>
  </si>
  <si>
    <t>WOS:A1981LE65300009</t>
  </si>
  <si>
    <t>ABUIN, E; LISSI, EA</t>
  </si>
  <si>
    <t>KINETICS OF TYPE-I PHOTOCLEAVAGE OF ALIPHATIC-KETONES</t>
  </si>
  <si>
    <t>JOURNAL OF PHOTOCHEMISTRY</t>
  </si>
  <si>
    <t>0047-2670</t>
  </si>
  <si>
    <t>WOS:A1976CJ36800001</t>
  </si>
  <si>
    <t>ENCINA, MV; LISSI, EA</t>
  </si>
  <si>
    <t>ROLE OF SOLVENT IN TYPE-2 PHOTOREACTIONS FROM ALIPHATIC-KETONES</t>
  </si>
  <si>
    <t>10.1016/0047-2670(76)85025-3</t>
  </si>
  <si>
    <t>WOS:A1976BT92400009</t>
  </si>
  <si>
    <t>THE SICK BRAIN IN THE MEDICAL LITERATURE OF CHILEAN LIBRARIES OFTHE 18TH CENTURY</t>
  </si>
  <si>
    <t>This article explores the conceptualization of brain diseases or illnesses connected to the brain that can be found in medial books that circulated in Chile during the 18th century. It studies notions about brain diseases listed in books of surgery and general medicine, focusing particular on popularizing medical books aimed at a lay public.The article examines where brain diseases appear and how they are characterized, showing the conception that this literature exposed about brain physiology and its accidents, identifying the diseases most included and exploring the body map that these conceptualizations suggest. It shows that brain diseases were in close relation to vapors and humors coming from other parts of the body, connections that can also be found in narratives from people not related to medicine. Thus, it suggests the existence of a confluence between medical and lay languages.</t>
  </si>
  <si>
    <t>WOS:001460986000006</t>
  </si>
  <si>
    <t>Olivares, VE; Oddershede, A; Quezada, L; Vargas, M; Montt, C</t>
  </si>
  <si>
    <t>Olivares, Victor E.; Oddershede, Astrid; Quezada, Luis; Vargas, Manuel; Montt, Cecilia</t>
  </si>
  <si>
    <t>Development of a Model for Generating Trajectories for an Autonomous Naval Vehicle Using Genetic Algorithms in MATLAB</t>
  </si>
  <si>
    <t>This work presents the development of a model for generating trajectories for an autonomous naval vehicle using genetic algorithms implemented in MATLAB. The primary objective is to optimize the routes the vehicle must follow, minimizing the traveled distance and ensuring efficient navigation. Various scenarios were tested by varying model parameters such as the number of environmental control points, the number of generations, and the number of individuals to evaluate the genetic algorithm's performance. In each scenario, results were analyzed in terms of minimum traveled distance and the optimal sequence of trajectory points (FITNESS). The results show that the genetic algorithm can find efficient solutions, adapting to different configurations of points and generations. Specific examples illustrate the optimal generated trajectories, accompanied by graphical representations visualizing the sequence of points. This study demonstrates the effectiveness of genetic algorithms in route planning for autonomous naval vehicles and provides a solid foundation for future research and applications in autonomous navigation.</t>
  </si>
  <si>
    <t>1841-9844</t>
  </si>
  <si>
    <t>10.15837/ijccc.2024.6.6865</t>
  </si>
  <si>
    <t>WOS:001348582100002</t>
  </si>
  <si>
    <t>Urrea, C; Garcia-Garcia, Y; Kern, J</t>
  </si>
  <si>
    <t>Urrea, Claudio; Garcia-Garcia, Yainet; Kern, John</t>
  </si>
  <si>
    <t>Improving Surgical Scene Semantic Segmentation through a Deep Learning Architecture with Attention to Class Imbalance</t>
  </si>
  <si>
    <t>BIOMEDICINES</t>
  </si>
  <si>
    <t>This article addresses the semantic segmentation of laparoscopic surgery images, placing special emphasis on the segmentation of structures with a smaller number of observations. As a result of this study, adjustment parameters are proposed for deep neural network architectures, enabling a robust segmentation of all structures in the surgical scene. The U-Net architecture with five encoder-decoders (U-Net5ed), SegNet-VGG19, and DeepLabv3+ employing different backbones are implemented. Three main experiments are conducted, working with Rectified Linear Unit (ReLU), Gaussian Error Linear Unit (GELU), and Swish activation functions. The applied loss functions include Cross Entropy (CE), Focal Loss (FL), Tversky Loss (TL), Dice Loss (DiL), Cross Entropy Dice Loss (CEDL), and Cross Entropy Tversky Loss (CETL). The performance of Stochastic Gradient Descent with momentum (SGDM) and Adaptive Moment Estimation (Adam) optimizers is compared. It is qualitatively and quantitatively confirmed that DeepLabv3+ and U-Net5ed architectures yield the best results. The DeepLabv3+ architecture with the ResNet-50 backbone, Swish activation function, and CETL loss function reports a Mean Accuracy (MAcc) of 0.976 and Mean Intersection over Union (MIoU) of 0.977. The semantic segmentation of structures with a smaller number of observations, such as the hepatic vein, cystic duct, Liver Ligament, and blood, verifies that the obtained results are very competitive and promising compared to the consulted literature. The proposed selected parameters were validated in the YOLOv9 architecture, which showed an improvement in semantic segmentation compared to the results obtained with the original architecture.</t>
  </si>
  <si>
    <t>Urrea, Claudio/0000-0001-7197-8928; Garcia-Garcia, Yainet/0000-0001-7565-4859</t>
  </si>
  <si>
    <t>2227-9059</t>
  </si>
  <si>
    <t>10.3390/biomedicines12061309</t>
  </si>
  <si>
    <t>WOS:001254663200001</t>
  </si>
  <si>
    <t>Alé-Silva, J; Huerta-Cancino, L</t>
  </si>
  <si>
    <t>Ale-Silva, Jhon; Huerta-Cancino, Leonor</t>
  </si>
  <si>
    <t>The Sun in Augmented Reality: An Interactive Resource for Physics Learning</t>
  </si>
  <si>
    <t>PHYSICS TEACHER</t>
  </si>
  <si>
    <t>Alé, Jhon/MIT-2747-2025</t>
  </si>
  <si>
    <t>Ale Silva, Jhon Alfredo/0000-0002-1999-4012; Huerta Cancino, Leonor/0000-0002-3870-4084</t>
  </si>
  <si>
    <t>0031-921X</t>
  </si>
  <si>
    <t>1943-4928</t>
  </si>
  <si>
    <t>10.1119/5.0095415</t>
  </si>
  <si>
    <t>WOS:001265060900019</t>
  </si>
  <si>
    <t>Barraza, JJM</t>
  </si>
  <si>
    <t>Barraza, Juan Jose Martinez</t>
  </si>
  <si>
    <t>Efficiency versus tax collection effectiveness. The Royal Treasury of Chile at the end of the colonial period: dynamics, formation and amendments</t>
  </si>
  <si>
    <t>Despite consensus in specialized historiography regarding the swelling of the Spanish Royal Indian Treasuries in the late colonial period, the evidence to support the claim has generally been total tax revenues. In other words, it is based only on collection effectiveness, not efficiency, which would also account for fiscal performance and the ratios between net tax proceeds, collection cost and tax revenue. This paper addresses this deficit in Spanish-American history, evaluating collection efficiency through a case study of the Royal Treasury of Chile from the last third of the 18th century through the colonial decline. Researchers use official documentation on the Chilean treasury's financial position, prepared since the 1780s, to reproduce the actual flow of tax variables. When combined with an examination of the treasury's governance and administration, the analysis demonstrates that, while successful in terms of collection, tax reforms faced serious application and adaptation issues on Chilean soil. Following a costly bureaucratic consolidation process culminating in Intendent-issued ordinances, the abovementioned issues forced local authorities to amend several modernizing measures to relieve local financial tensions. These were in place until the colonial decline.</t>
  </si>
  <si>
    <t>Martínez, Juan/S-5746-2019</t>
  </si>
  <si>
    <t>e6228</t>
  </si>
  <si>
    <t>10.22199/issn.0718-1043-2024-0019</t>
  </si>
  <si>
    <t>WOS:001456237000006</t>
  </si>
  <si>
    <t>Ruiz, PH</t>
  </si>
  <si>
    <t>Ruiz, Pablo Hurtado</t>
  </si>
  <si>
    <t>Education and Assimilation of the Indigenous in the Novels Mariluán and Aves sin nido</t>
  </si>
  <si>
    <t>CULTURALES</t>
  </si>
  <si>
    <t>This paper analyzes the education of the indigenous in the novels Mariluan (1862) by Alberto Blest Gana and Aves sin nido (1889) by Clorinda Matto de Turner. Both works raise the problem of the indigenous for the national project and the difficulties that education entails. By reviewing the educational strategies in the works, the relationship between the novel and the civilizing process pursued by the authors is established. Both works show the failure of the attempts to civilize the indigenous world, determined by different actors that function as obstacles to the development of societies.</t>
  </si>
  <si>
    <t>1870-1191</t>
  </si>
  <si>
    <t>2448-539X</t>
  </si>
  <si>
    <t>e774</t>
  </si>
  <si>
    <t>10.22234/recu.20241201.e774</t>
  </si>
  <si>
    <t>WOS:001152458800001</t>
  </si>
  <si>
    <t>Urrea, C; Agramonte, R</t>
  </si>
  <si>
    <t>Urrea, Claudio; Agramonte, Rayko</t>
  </si>
  <si>
    <t>Improving Exoskeleton Functionality: Design and Comparative Evaluation of Control Techniques for Pneumatic Artificial Muscle Actuators in Lower Limb Rehabilitation and Work Tasks</t>
  </si>
  <si>
    <t>The study of lower limbs has become relevant in recent years. Lower limbs have several classifications, but the most widespread categories are robots for patient rehabilitation and robots for work tasks. Two of the main pillars in the development of exoskeletons are actuators and control strategies. Pneumatic artificial muscles are similar to human muscles in their function. This work focuses on this similarity to develop control techniques for this type of actuator. The purpose of this investigation is to design, evaluate, and compare the effectiveness of three different control systems-the proportional-integrative-derivative (PID) system, the sliding mode control (SMC) system, and the fuzzy logic controller (FLC) system-in executing precise trajectory tracking using an exoskeleton and including very realistic dynamic considerations. This study aims to design and implement these controllers and assess their performance in following three distinct trajectories, thereby determining the most efficient and reliable control method for exoskeleton motion. Additionally, the analysis centers on both the response of the controllers to external perturbations and the reaction of the controllers when the time delay inherent to their dynamic is added to the mathematical model. Finally, the results are compared, revealing through the analysis of performance indexes and time response that the FLC is the controller that exhibits the best global results in the tracking of the different trajectories. This work demonstrates that, for the system in question, the action of adding a time delay in the actuator causes the FLC and PID controllers to maintain a similar response, which is obtained without the delay action, in contrast to the system with an SMC controller. However, the same does not occur when including other dynamic factors, such as disturbances external to the system.</t>
  </si>
  <si>
    <t>Agramonte, Rayko/HTM-8716-2023; Claudio, URREA/KWU-1600-2024</t>
  </si>
  <si>
    <t>Urrea, Claudio/0000-0001-7197-8928; Agramonte Alburquerque, Rayko Enrique/0000-0002-7395-5874</t>
  </si>
  <si>
    <t>10.3390/pr11123278</t>
  </si>
  <si>
    <t>WOS:001131216600001</t>
  </si>
  <si>
    <t>Acuna-Castillo, C; Barrera-Avalos, C; Bachelet, VC; Milla, LA; Inostroza-Molina, A; Vidal, M; Luraschi, R; Vallejos-Vidal, E; Mella-Torres, A; Valdes, D; Reyes-Lopez, FE; Imarai, M; Rojas, P; Sandino, AM</t>
  </si>
  <si>
    <t>Acuna-Castillo, Claudio; Barrera-Avalos, Carlos; Bachelet, Vivienne C.; Milla, Luis A.; Inostroza-Molina, Ailen; Vidal, Mabel; Luraschi, Roberto; Vallejos-Vidal, Eva; Mella-Torres, Andrea; Valdes, Daniel; Reyes-Lopez, Felipe E. E.; Imarai, Monica; Rojas, Patricio; Sandino, Ana Maria</t>
  </si>
  <si>
    <t>An ecological study on reinfection rates using a large dataset of RT-qPCR tests for SARS-CoV-2 in Santiago of Chile</t>
  </si>
  <si>
    <t>FRONTIERS IN PUBLIC HEALTH</t>
  </si>
  <si>
    <t>IntroductionAs the SARS-CoV-2 continues to evolve, new variants pose a significant threat by potentially overriding the immunity conferred by vaccination and natural infection. This scenario can lead to an upswing in reinfections, amplified baseline epidemic activity, and localized outbreaks. In various global regions, estimates of breakthrough cases associated with the currently circulating viral variants, such as Omicron, have been reported. Nonetheless, specific data on the reinfection rate in Chile still needs to be included. MethodsOur study has focused on estimating COVID-19 reinfections per wave based on a sample of 578,670 RT-qPCR tests conducted at the University of Santiago of Chile (USACH) from April 2020 to July 2022, encompassing 345,997 individuals. ResultsThe analysis reveals that the highest rate of reinfections transpired during the fourth and fifth COVID-19 waves, primarily driven by the Omicron variant. These findings hold despite 80% of the Chilean population receiving complete vaccination under the primary scheme and 60% receiving at least one booster dose. On average, the interval between initial infection and reinfection was found to be 372 days. Interestingly, reinfection incidence was higher in women aged between 30 and 55. Additionally, the viral load during the second infection episode was lower, likely attributed to Chile's high vaccination rate. DiscussionThis study demonstrates that the Omicron variant is behind Chile's highest number of reinfection cases, underscoring its potential for immune evasion. This vital epidemiological information contributes to developing and implementing effective public health policies.</t>
  </si>
  <si>
    <t>Luraschi, Roberto/AAI-7965-2021; Milla, Luis/AAU-5222-2020; Reyes-López, Felipe/S-1760-2018; Bachelet, Vivienne/JAN-7158-2023; Acuña-Castillo, Claudio/AAI-7090-2021; Vidal, Mabel/F-9968-2016; Vallejos-Vidal, Eva/R-9606-2019</t>
  </si>
  <si>
    <t>Acuna-Castillo, Claudio/0000-0003-3607-6077; Bachelet, Vivienne C./0000-0002-5715-9755; Vidal, Mabel/0000-0002-0800-1353; Reyes-Lopez, Felipe E./0000-0002-5001-457X; Milla, Luis/0000-0001-9738-6234; Vallejos-Vidal, Eva/0000-0002-3091-2700</t>
  </si>
  <si>
    <t>2296-2565</t>
  </si>
  <si>
    <t>JUL 10</t>
  </si>
  <si>
    <t>10.3389/fpubh.2023.1191377</t>
  </si>
  <si>
    <t>WOS:001031890200001</t>
  </si>
  <si>
    <t>Avaria, CV; Avdaloff, AJ</t>
  </si>
  <si>
    <t>Avaria, Carola Vesely; Avdaloff, Andrea Jeftanovic</t>
  </si>
  <si>
    <t>María de la Luz Uribe and Charo Cofré: towards an aesthetics of dissent in children's chilean poetry during the seventies</t>
  </si>
  <si>
    <t>ANTITESES</t>
  </si>
  <si>
    <t>This study is situated within the realm of literary studies, specifically examining the poetic works created for children in Chile during the 1970s. The primary objective is to explore the potentialities of poetic language in actively positioning itself within the specific contexts of its production and circulation. For this purpose, we delve into the work of Chilean creators Maria de la Luz Uribe and Charo Cofre, who collaborated during this period through poetry, music, and visual art (the latter, thanks to the significant contribution of illustrator Fernando Krahn), which materialized in the publication of the album Tolin, tolin, tolan (1972). Considered an unprecedented milestone in the history of Chilean childrens music, this production has been recently revisited through the heritage preservation efforts of the Chilean label Monophone, which reissued the album in 2022 to commemorate its fifty years since publication. Therefore, through a critical analysis of selected sung poems from the work, this study delves into the intricacies of traumatic memory and reviews the trajectories of poetic creation for children during the Chilean dictatorship period, characterized by the articulation of transformative imaginaries about childhood and the assertion of its political nature through aesthetics of dissent that combine the fantastic, the subversive, and the neo-subversive, establishing a significant dialogue with new generations.</t>
  </si>
  <si>
    <t>1984-3356</t>
  </si>
  <si>
    <t>10.5433/1984-3356.2023v16n32p034-058</t>
  </si>
  <si>
    <t>WOS:001252416800003</t>
  </si>
  <si>
    <t>Alarcon, R; Walter, M; Paez, M; Azócar, MI</t>
  </si>
  <si>
    <t>Alarcon, Romina; Walter, Mariana; Paez, Maritza; Ignacio Azocar, Manuel</t>
  </si>
  <si>
    <t>Ostwald Ripening and Antibacterial Activity of Silver Nanoparticles Capped by Anti-Inflammatory Ligands</t>
  </si>
  <si>
    <t>NANOMATERIALS</t>
  </si>
  <si>
    <t>Silver nanoparticles (AgNPs) have been extensively studied during recent decades as antimicrobial agents. However, their stability and antibacterial activity over time have yet to be sufficiently studied. In this work, AgNPs were coated with different stabilizers (naproxen and diclofenac and 5-chlorosalicylic acid) in different concentrations. The suspensions of nanostructures were characterized by transmission electron microscopy, UV-Vis and FT-IR spectroscopic techniques. The antibacterial activity as a function of time was determined through microbiological studies against Staphylococcus aureus. The AgNPs show differences in stabilities when changing the coating agent and its concentration. This fact could be a consequence of the difference in the nature of the interaction between the stabilizer and the surface of the NPs, which were evaluated by FT-IR spectroscopy. In addition, an increase in the size of the nanoparticles was observed after 30 days, which could be related to an Ostwald maturation phenomenon. This result raises new questions about the role that stabilizers play on the surface of NPs, promoting size change in NPs. It is highly probable that the stabilizer functions as a growth controller of the NPs, thus determining an effect on their biological properties. Finally, the antibacterial activity was evaluated over time against the bacterium Staphylococcus aureus. The results showed that the protective or stabilizing agents can play an important role in the antibacterial capacity, the control of the size of the AgNPs and additionally in the stability over time.</t>
  </si>
  <si>
    <t>Paez, Maritza/M-2010-2014; Azocar, Manuel/I-1226-2013</t>
  </si>
  <si>
    <t>paez, maritza/0000-0001-5881-884X; Azocar Guzman, Manuel/0000-0003-1098-4659</t>
  </si>
  <si>
    <t>2079-4991</t>
  </si>
  <si>
    <t>10.3390/nano13030428</t>
  </si>
  <si>
    <t>WOS:000929714900001</t>
  </si>
  <si>
    <t>Fuentes-Sepúlveda, R; Cofré-Toledo, J; Vasco, DA; Utrera, A; García-Herrera, C</t>
  </si>
  <si>
    <t>Fuentes-Sepulveda, Rodrigo; Cofre-Toledo, Jonathan; Vasco, Diego A.; Utrera, Andres; Garcia-Herrera, Claudio</t>
  </si>
  <si>
    <t>Effect of the temperature and grain direction on the stress relaxation behavior of PCM-impregnated and nonimpregnated wood under tensile and bending stresses</t>
  </si>
  <si>
    <t>EUROPEAN JOURNAL OF WOOD AND WOOD PRODUCTS</t>
  </si>
  <si>
    <t>Due to its anatomical properties, wood is an anisotropic, porous, and heterogeneous material with constituent cells of varying types and shapes. The time-dependent mechanical response of wood is of notable interest in structural applications, especially the viscoelastic response. This work characterized the viscoelastic response of Pinus radiata impregnated with a paraffinic phase change material (PCM; technical grade octadecane), thereby considering the longitudinal, radial, and tangential log directions. In addition, the effect of the temperature on the viscoelastic response was examined, evaluating the PCM in the solid (15 degrees C) and liquid (35 degrees C) states. The elastic moduli of all tested wood specimens indicated similar trends; the magnitude was the largest along the longitudinal direction, followed by the tangential and radial directions. In the solid PCM phase, the stress relaxation decreased along the longitudinal direction regarding liquid-phase PCM. Conversely, greater relaxation responses were observed along the radial and tangential directions in the presence of solid-phase PCM compared to a liquid-phase-impregnated sample. Finally, a nonlinear response was observed along the tangential direction during the relaxation tests, depending on the strain reached.</t>
  </si>
  <si>
    <t>Vasco, Diego/Y-2934-2019; García-Herrera, Claudio/ABE-8991-2020</t>
  </si>
  <si>
    <t>Cofre-Toledo, Jonathan/0000-0002-7961-1554; Vasco, Diego Andres/0000-0001-7456-4683</t>
  </si>
  <si>
    <t>0018-3768</t>
  </si>
  <si>
    <t>1436-736X</t>
  </si>
  <si>
    <t>10.1007/s00107-022-01923-2</t>
  </si>
  <si>
    <t>JAN 2023</t>
  </si>
  <si>
    <t>WOS:000912265800001</t>
  </si>
  <si>
    <t>Bachelet, V; Osorio, R; Silva-Villalobos, D; Urzúa-Alvarez, C; Navarrete, MS</t>
  </si>
  <si>
    <t>Bachelet, Vivienne; Osorio, Robin; Silva-Villalobos, Diego; Urzua-Alvarez, Camilo; Navarrete, Maria S.</t>
  </si>
  <si>
    <t>Exploring physicians' perception of diagnostic information in clinical practice</t>
  </si>
  <si>
    <t>A well-informed diagnostic process results in better health outcomes and less overdiagnosis. While there have been studies conducted to explore doctors' knowledge, attitudes, and practice regarding diagnostic test information, there are no reports from Latin America. We invited phy-sician readers of a Latin American medical journal to answer a survey on their professional and demographic characteristics and previous exposure to diagnostic information training. Two hundred fifteen responded, of whom 88% agreed to some extent that diagnostic information is helpful for clinical practice and that more training is needed. This brief exploratory survey un-derscores the need for more resources to train in the diagnostic process and the utilization of diagnostic information in clinical practice. However, given the limitations of this study, more evidence is needed.</t>
  </si>
  <si>
    <t>NAVARRETE, MARISOL/AAG-4222-2020; Bachelet, Vivienne/JAN-7158-2023</t>
  </si>
  <si>
    <t>Navarrete, Maria S/0000-0002-5411-4498; Urzua Alvarez, Camilo Andres/0000-0002-5415-4609; Bachelet, Vivienne C./0000-0002-5715-9755; Silva Villalobos, Diego/0000-0002-8986-669X</t>
  </si>
  <si>
    <t>e2665</t>
  </si>
  <si>
    <t>10.5867/medwave.2023.01.2665</t>
  </si>
  <si>
    <t>WOS:000954895600001</t>
  </si>
  <si>
    <t>Leal, CD; Valdebenito, PM; Peña-Baeza, A</t>
  </si>
  <si>
    <t>Leal, Cristobal Delgado; Valdebenito, Paulina Moreno; Pena-Baeza, Alonso</t>
  </si>
  <si>
    <t>Pedagogical guidelines for the inclusion of students with disabilities in Physical Education and Health: A review of Chilean ministerial documentation</t>
  </si>
  <si>
    <t>RETOS-NUEVAS TENDENCIAS EN EDUCACION FISICA DEPORTE Y RECREACION</t>
  </si>
  <si>
    <t>In Chile there are Learning Support Resources proposed by the Ministry of Education to provide support to teachers who present students with disabilities Objective: To analyse the specific pedagogical recommendations provided by the Ministry of Educa-tion's learning support resources for the area of Physical Education and thematic axes related to the subject. Methodology: A narra -tive review of the 25 learning resource guides was carried out, analysing the documentation by searching for key concepts linked to the subject of Physical Education: exercise, physical activity, Physical Education, motor skills, motor development, bodi-ly expression, games and movement. Results: Of the 25 documents found, only 1 contained specific recommendations for the subject of Physical Education, while 10 address recommendations associated with the curricular axes linked to Physical Education. Conclusions: There is support material aimed at supporting Physical Education and Health teachers in the educational process of students with disabilities. However, these recommendations are of a general nature and subject-specific recommendations are needed to contribute to the effective inclusion of students with disabilities.</t>
  </si>
  <si>
    <t>Pena Baeza, Alonso/R-6773-2017</t>
  </si>
  <si>
    <t>Pena Baeza, Alonso/0000-0003-0711-7036</t>
  </si>
  <si>
    <t>1579-1726</t>
  </si>
  <si>
    <t>1988-2041</t>
  </si>
  <si>
    <t>WOS:001021648500001</t>
  </si>
  <si>
    <t>Seguel, CA; Farias, MF</t>
  </si>
  <si>
    <t>Seguel, Claudio Araya; Farias, Miguel Farias</t>
  </si>
  <si>
    <t>Discourse Configuration of the Social Upsurge in Three Chilean Cyberpress Media</t>
  </si>
  <si>
    <t>This paper reports on some preliminary findings from the research project Ideological conceptions about the Chilean constitutional process (2021). Results from the linguistic valorative analysis of cyberpress texts and their rethorical effects dealing with the Social Upsurge, the foundational event of the constitutional process, are presented. These results show that El Mostrador assumes a critical position towards the government by thematizing the following: a defeated government, the opposition's accusation and the government as dictatorship. The cyber newspaper Emol takes a critical look at violence and its consequences to the Santiago subway through the themes the chaos of evasion, the subway's relevance and the sharing of guilt. In turn, La Tercera thematizes violence and highlights the government's measures against it. The semantic polarization and the actors represented in the texts constitute a discourse territory of ideological tensions and alignements.</t>
  </si>
  <si>
    <t>Farias, Miguel/JBJ-8602-2023</t>
  </si>
  <si>
    <t>10.15443/RL3220</t>
  </si>
  <si>
    <t>WOS:000960921600008</t>
  </si>
  <si>
    <t>Who is destroying life on the planet? The confrontation of the Anthropocene and Capitalocene concepts in the environmental debate</t>
  </si>
  <si>
    <t>The paper is inscribed in studies of the ideas and theoretical-political dimension of the environmental debate, understanding by this debate all the discussion relative to overcoming the global environmental crisis. In this regard, it hypothesizes that the criticism that the Capitalocene concept realizes to the Anthropocene concept, would tend to stimulate the theoretical political debate about the global environmental crisis, which involves answering questions such as what and who would be responsible for it, when did it begin, how is it overcome, resituating the debate in one of the most important theoretical-political debates of modernity, such as the capitalism-anti-capitalism tension. For these effects, the central theses of both concepts are exposed, which seek to answer the questions posed in order to highlight their theoretical confrontation.</t>
  </si>
  <si>
    <t>10.4067/S0718-23762021000200661</t>
  </si>
  <si>
    <t>WOS:000753302600011</t>
  </si>
  <si>
    <t>Carvajal, L; Sosa, M; Artigas, A; Luco, N; Monsalve, A</t>
  </si>
  <si>
    <t>Carvajal, Linton; Sosa, Maria; Artigas, Alfredo; Luco, Nelson; Monsalve, Alberto</t>
  </si>
  <si>
    <t>Ultrasonic Assessment of the Influence of Cold Rolling and Recrystallization Annealing on the Elastic Constants in a TWIP Steel</t>
  </si>
  <si>
    <t>MATERIALS</t>
  </si>
  <si>
    <t>The evolution of the elastic constants, C33, C44 and C55, Poisson's ratio and acoustic birefringence of a Fe-0.5 wt% C-21.5 wt% Mn twinning-induced plasticity (TWIP) steel with reduction by cold rolling and recrystallization annealing was assessed from measurements of the times of flight of ultrasonic waves propagating along the thickness of the rolled plates. As the reduction increased, changes in the elastic constants resulted in a steadily increasing orthotropy, which was clearly shown by Poisson's ratio and acoustic birefringence. Although optical metallography and hardness measurements showed that partial or full recrystallization is attained after annealing at 600 &amp; DEG;C and 700 &amp; DEG;C, the ultrasonic measurements revealed that a high level of orthotropy remains.</t>
  </si>
  <si>
    <t>1996-1944</t>
  </si>
  <si>
    <t>10.3390/ma14216559</t>
  </si>
  <si>
    <t>WOS:000722351800001</t>
  </si>
  <si>
    <t>The luminous novel by Mario Levrero and the production of nothing</t>
  </si>
  <si>
    <t>WOS:001184625700001</t>
  </si>
  <si>
    <t>Beltramin, Jorge Brower</t>
  </si>
  <si>
    <t>How do democracies die?</t>
  </si>
  <si>
    <t>10.17230/co-herencia.18.35.14</t>
  </si>
  <si>
    <t>WOS:000755751200015</t>
  </si>
  <si>
    <t>Marín, JF</t>
  </si>
  <si>
    <t>Marin, Juan F.</t>
  </si>
  <si>
    <t>Bubble evolution around heterogeneities in φ4-field theories</t>
  </si>
  <si>
    <t>JOURNAL OF HIGH ENERGY PHYSICS</t>
  </si>
  <si>
    <t>Localised heterogeneities have been recently discovered to act as bubblenucleation sites in nonlinear field theories. Vacuum decay seeded by black holes is one of the most remarkable applications. This article proposes a simple and exactly solvable phi(4) model to study bubble evolution about a localised heterogeneity. Bubbles with a rich dynamical behaviour are observed depending on the topological properties of the heterogeneity. The linear stability analysis of soliton-bubbles predicts oscillating bubbles and the insertion of new bubbles inside an expanding precursor bubble. Numerical simulations in 2+1 dimensions are in good agreement with theoretical predictions.</t>
  </si>
  <si>
    <t>Marín, Juan/J-6676-2019</t>
  </si>
  <si>
    <t>1029-8479</t>
  </si>
  <si>
    <t>FEB 23</t>
  </si>
  <si>
    <t>10.1007/JHEP02(2021)198</t>
  </si>
  <si>
    <t>WOS:000668689500001</t>
  </si>
  <si>
    <t>Abejón, R</t>
  </si>
  <si>
    <t>Abejon, Ricardo</t>
  </si>
  <si>
    <t>Self-Healing Asphalt: A Systematic Bibliometric Analysis for Identification of Hot Research Topics during the 2003-2018 Period</t>
  </si>
  <si>
    <t>The use of self-healing asphalt is a good option to extend the lifetime of roads and to improve the sustainability of pavement management systems. A bibliometric analysis based on the Scopus database was carried out to review the global research related to self-healing asphalt from 2003 to 2018 and to identify relevant quantitative characteristics from the research in this period. The results from this analysis revealed that the number of accumulated publications followed an exponential growth, which confirmed the relevance that this research topic has gained during the last years. The study revealed that China was the most productive country, followed by the Netherlands, where the most prolific institution is located: Delft University of Technology. Some important research features of the two main approaches most frequently used to develop asphalt mixtures with enhanced self-healing abilities (external heating and encapsulated rejuvenating agents) are compiled in this work.</t>
  </si>
  <si>
    <t>Abejon, Ricardo/I-7171-2019</t>
  </si>
  <si>
    <t>ABEJON, Ricardo/0000-0002-8030-7752</t>
  </si>
  <si>
    <t>10.3390/ma14030565</t>
  </si>
  <si>
    <t>WOS:000615382100001</t>
  </si>
  <si>
    <t>The Policy-making Process in the Old Chilean Democracy</t>
  </si>
  <si>
    <t>Asking how public policies were made in the old Chilean democracy, this article analyzes the public administration reform of the 1920s and the creation of Chile's National Health Service in 1952. Collected evidence shows that the policy-making process may be characterized as elitist, technocratic, and where the president's motivation toward a particular issue plays a key role for the issue to be included in the government agenda and go further in the process. This is very similar to how the policy process of the new Chilean democracy has been characterized. Considering that under Pinochet's dictatorship deep reforms were introduced in political institutions and that following the new institutionalism framework, rule behaviors, and interchange of policy actors, the article finishes asking what other factors may be acting on a political institution or the policy process directly to explain the similarity between this finding.</t>
  </si>
  <si>
    <t>10.1080/01900692.2020.1785497</t>
  </si>
  <si>
    <t>WOS:000596179500006</t>
  </si>
  <si>
    <t>Jorquera-Bravo, N; Vásquez, OC</t>
  </si>
  <si>
    <t>Liberatore, F; Parlier, GH; Demange, M</t>
  </si>
  <si>
    <t>Jorquera-Bravo, Natalia; Vasquez, Oscar C.</t>
  </si>
  <si>
    <t>On the Local Dominance Properties in Single Machine Scheduling Problems</t>
  </si>
  <si>
    <t>PROCEEDINGS OF THE 11TH INTERNATIONAL CONFERENCE ON OPERATIONS RESEARCH AND ENTERPRISE SYSTEMS (ICORES)</t>
  </si>
  <si>
    <t>11th International Conference on Operations Research and Enterprise Systems (ICORES)</t>
  </si>
  <si>
    <t>FEB 03-05, 2022</t>
  </si>
  <si>
    <t>INSTICC</t>
  </si>
  <si>
    <t>We consider a non-preemptive single machine scheduling problem for a non-negative penalty function f. For this problem every job j has a priority weight wj and a processing time p(j), and the goal is to find an order on the given jobs that minimizes Sigma w(j) f (C-j), where C-j is the completion time of job j. This paper explores the local dominance properties in this problem, which provide a powerful theoretical tool to better describe the structure of optimal solutions by identifying rules that at least one optimal solution must satisfy, reducing the search space from n! to n! =3(n/3) schedules and providing insights to show the computational complexity status for problem with a convex penalty from a general framework, such as the problem of minimizing the sum of weighted mean squared deviation of the completion times with respect to a common due date and jobs with arbitrary weights.</t>
  </si>
  <si>
    <t>Jorquera-Bravo, Natalia/0009-0007-1762-0598; Vasquez, Oscar C./0000-0002-1393-4692</t>
  </si>
  <si>
    <t>978-989-758-548-7</t>
  </si>
  <si>
    <t>10.5220/0010871600003117</t>
  </si>
  <si>
    <t>WOS:000818727100023</t>
  </si>
  <si>
    <t>Experts and authorities on madness</t>
  </si>
  <si>
    <t>WOS:000807304300006</t>
  </si>
  <si>
    <t>Vidal, CP; Velásquez, E; Galotto, MJ; de Dicastillo, CL</t>
  </si>
  <si>
    <t>Patino Vidal, Cristian; Velasquez, Eliezer; Jose Galotto, Maria; Lopez de Dicastillo, Carol</t>
  </si>
  <si>
    <t>Antimicrobial food packaging system based on ethyl lauroyl arginate-loaded core/shell electrospun structures by using hydrophilic and hydrophobic polymers</t>
  </si>
  <si>
    <t>POLYMER TESTING</t>
  </si>
  <si>
    <t>Antimicrobial compounds can be encapsulated into core/shell structures through coaxial electrospinning in order to develop novel active food packaging materials. In this work, poly (vinyl alcohol)-(ethyl lauroyl arginate)/poly (lactic acid) core/shell fibers, (PVOH-LAE/PLA)(f), were developed with the purpose to study the influence of combining a hydrophilic and a hydrophobic polymer on LAE release. LAE release studies were carried out in an aqueous and fatty food simulant, and data were analyzed through a phenomenological mass transfer model. Flat-ribbon fibers with a core/shell structure were observed by TEM. PLA crystallinity degree of coaxial fibers did not present significant differences with uniaxial PLA fibers, although thermal stability and the glass transition temperature decreased. The maximum concentrations of LAE released from (PVOH-LAE/PLA)(f) fibers to both simulants reached the MIC values of LAE against Listeria innocua, evidencing a higher affinity of LAE towards fatty simulant and a fast diffusion from fibers in the aqueous simulant.</t>
  </si>
  <si>
    <t>Patiño Vidal, Cristian Javier/JDM-7961-2023; Lopez-de-Dicastillo, Carol/C-6347-2019</t>
  </si>
  <si>
    <t>Patino Vidal, Cristian Javier/0000-0002-5633-6908; Lopez-de-Dicastillo, Carol/0000-0003-0067-9765; VELASQUEZ, ELIEZER/0000-0001-8858-8926</t>
  </si>
  <si>
    <t>0142-9418</t>
  </si>
  <si>
    <t>1873-2348</t>
  </si>
  <si>
    <t>10.1016/j.polymertesting.2020.106937</t>
  </si>
  <si>
    <t>WOS:000600290200058</t>
  </si>
  <si>
    <t>Deconstructing Novice Teachers' Actions and Reactions to Nonharmonic Chilean School Communities of Practice</t>
  </si>
  <si>
    <t>PROFILE-ISSUES IN TEACHERS PROFESSIONAL DEVELOPMENT</t>
  </si>
  <si>
    <t>This paper reports a small section of a larger study that uses a mixed-methods approach to examine participation experiences of novice teachers of English in Chile beginning their careers in nonharmonic public, semiprivate, and private school communities. Drawing on Wenger's framework of communities of practice, this paper reveals that novice teachers come across nonharmonic communities of teachers regardless of the types of schools where they work-that is, schools normally classified by socioeconomic background. As such, new teachers experience varying degrees of challenges that hinder their participation in such school communities. Rather than being a detriment, these nonharmonic communities of practice positively impact novice teachers to strive, including by joining diverse forms of communities, during the first years of teaching.</t>
  </si>
  <si>
    <t>Romero, Gloria/GWV-4873-2022; Romero Villarroel, Gloria/U-1721-2018</t>
  </si>
  <si>
    <t>Romero Villarroel, Gloria/0000-0003-1169-0644</t>
  </si>
  <si>
    <t>1657-0790</t>
  </si>
  <si>
    <t>2256-5760</t>
  </si>
  <si>
    <t>10.15446/profile.v23n1.83955</t>
  </si>
  <si>
    <t>WOS:000614266400002</t>
  </si>
  <si>
    <t>Rubio, M; Rubio, R</t>
  </si>
  <si>
    <t>Rubio, Manuel; Rubio, Raquel</t>
  </si>
  <si>
    <t>Teaching Spanish to Migrants: Meanings Constructed by University Students on the Pedagogical Interaction in the Classroom</t>
  </si>
  <si>
    <t>This article aims to describe the meanings that a group of university students constructed on the experience of teaching Spanish to Haitian migrants. The methodology corresponds to a qualitative case study. The case is an university social responsibility project managed by academics from the University of Santiago de Chile, who train, guide and accompany a group of university students in their work as monitors. The sample consisted of 9 students (monitors), with one year of experience in the project, divided into two conversation groups. The analysis process was inductive in nature. Results indicate that the monitors experienced a process of adjustment of expectations concerning the teaching of a language, the emerging situations, their degree of autonomy, the didactic interaction, the learners, and their own abilities as teachers, among others. It is concluded that the intervention model based on learning by doing and cooperative learning is valid for the training of specialists in Spanish as a Foreign Language (SFL) teaching, although it is necessary to rethink the process of classroom supervision by the academics in charge of the project.</t>
  </si>
  <si>
    <t>Rubio, Amalia/L-1992-2017</t>
  </si>
  <si>
    <t>Rubio, Manuel/0000-0003-2314-1781; Rubio Martin, Raquel/0000-0003-4997-3543</t>
  </si>
  <si>
    <t>10.15443/RL3111</t>
  </si>
  <si>
    <t>WOS:000681368000011</t>
  </si>
  <si>
    <t>Ruminot-Ahumada, N; Valencia-Cordero, C; Abarzúa-Ortiz, R</t>
  </si>
  <si>
    <t>Ruminot-Ahumada, Nicolas; Valencia-Cordero, Claudio; Abarzua-Ortiz, Rodrigo</t>
  </si>
  <si>
    <t>Side Channel Attack Countermeasure for Low Power Devices with AES Encryption</t>
  </si>
  <si>
    <t>The advancement of Internet of Things produces a massive increase in the use of low-power devices, which can contain sensitive information. Most of these devices do not have the necessary security to protect their information. Therefore, the work aims is analyze and compare countermeasures for SCA in low-power devices with 128-AES encryption. In this scenario, we analyze existing countermeasures and conclude that algorithm-based countermeasures are more suitable for low-power devices. Subsequently, we run a set of tests to understand the scope of CPA attacks and thus establish a countermeasure that is tailored to these devices. Finally, we propose a countermeasure based on byte logic, comparing it with traditional countermeasures of the same type.</t>
  </si>
  <si>
    <t>Ruminot, Nicolas/KVB-8647-2024</t>
  </si>
  <si>
    <t>Ruminot, Nicolas/0009-0005-0893-3993</t>
  </si>
  <si>
    <t>10.1109/ICAACCA51523.2021.9465337</t>
  </si>
  <si>
    <t>WOS:000855764500105</t>
  </si>
  <si>
    <t>Díaz, CZ</t>
  </si>
  <si>
    <t>Zamorano Diaz, Cesar</t>
  </si>
  <si>
    <t>Assessment of the Cultural Project during the Unidad Popular: La Quinta Rueda and Cuadernos de la Realidad Nacional</t>
  </si>
  <si>
    <t>The Unidad Popular is a period where there was a deep reflection on culture and its interdependence with the political-social changes. After a first moment, during the period of the electoral campaign and a year after starting the implementation of a national project on the road to socialism, the discussions on the role of culture in this process intensified and whose resonances went through positive balances to strong criticism, especially the danger of recognizing culture only as a means of disseminating something that is done elsewhere, of an instrumentalization of its practices. This paper aims to analyze this discussion in two political-cultural journals that opened their pages to their understanding. In effect, both La quinta rueda and Cuadernos de la Realidad Nacional (also known as Cuadernos del CEREN) constitute critical frameworks from which we can better observe the diverse and heterogeneous discourses that not only manifest the heterogeneity of voices that circulated, but also the theoretical and reflexive intensity of this era.</t>
  </si>
  <si>
    <t>Zamorano Diaz, Cesar/K-6033-2015</t>
  </si>
  <si>
    <t>Zamorano Diaz, Cesar/0000-0003-4510-8069</t>
  </si>
  <si>
    <t>10.7203/KAM.17.17648</t>
  </si>
  <si>
    <t>WOS:000680725300004</t>
  </si>
  <si>
    <t>Leal, C</t>
  </si>
  <si>
    <t>Leal, Claudio</t>
  </si>
  <si>
    <t>Existence of weighted bounded solutions for nonlinear discrete-time fractional equations</t>
  </si>
  <si>
    <t>Let X be a Banach space and T be a bounded linear operator defined on X. In this work we study the existence of solutions of a class of nonlinear difference equation of fractional order in the form Delta(alpha)u(n) = Tu(n) + f (n, u(n)), n is an element of N-0, 1 &lt; alpha &lt;= 2; u(0) = u(0), u(1) = u(1), where Delta(alpha) corresponds to the fractional difference operator of order alpha&gt; 0 in sense of Riemann-Liouville and f : N-0 x X -&gt; X is a function satisfying suitable conditions. More specifically, by using operator-theoretical methods and fixed point theory, we show the existence of solutions of such class of equations on the vector-valued weighted space of sequences l(f)(infinity)(N-2;X)={eta:N-2 -&gt; X/(n &gt;= 2)sup parallel to eta &gt;=(n)parallel to/nn! &lt; infinity}.</t>
  </si>
  <si>
    <t>1563-504X</t>
  </si>
  <si>
    <t>JUL 26</t>
  </si>
  <si>
    <t>10.1080/00036811.2018.1546001</t>
  </si>
  <si>
    <t>WOS:000547590800007</t>
  </si>
  <si>
    <t>Paez, M. A.</t>
  </si>
  <si>
    <t>Predictive electrochemistry: will it be possible?</t>
  </si>
  <si>
    <t>10.1007/s10008-020-04710-2</t>
  </si>
  <si>
    <t>JUN 2020</t>
  </si>
  <si>
    <t>WOS:000541021300003</t>
  </si>
  <si>
    <t>Pérez, PG</t>
  </si>
  <si>
    <t>Garcia Perez, Patricio</t>
  </si>
  <si>
    <t>Armed organizations past United self Defense: From the counterinsurgent past to the present of transnational criminality. 2006-2016</t>
  </si>
  <si>
    <t>The following research has as object of study the forms of organized violence of Colombia in the context of the internal conflict mutations and the parastatal actors that have played a leading role, after the partial demobilization of the United Self-Defense Groups of Colombia (AUC) in 2006 and until the year 2016. The vital question is to systematize differences in the organizations that burst after the AUC, were they a paramilitary continuity? Or did they have different elements? The work historically conceptualizes criminal entities as part of the evolution of the privatization of Colombian violence, whose modalities for institutions have been present in the past since the late 1950s. The main debates about paramilitarism in Colombia are exposed, as necessary, due to the complexity of the subject. As a working hypothesis it is established that in extended internal conflicts like the Colombian case, the institutional weaknesses and fragilities added to the increase of illegal economies produce the transformation of parastatal and paramilitary organizations which are parts of the conflict, with counterinsurgent political elements in predominantly criminal formations.</t>
  </si>
  <si>
    <t>WOS:000451966900009</t>
  </si>
  <si>
    <t>Climax: Biology and Ethics in Environmental Restoration</t>
  </si>
  <si>
    <t>ENVIRONMENTAL ETHICS</t>
  </si>
  <si>
    <t>0163-4275</t>
  </si>
  <si>
    <t>2153-7895</t>
  </si>
  <si>
    <t>WIN</t>
  </si>
  <si>
    <t>WOS:000591853100005</t>
  </si>
  <si>
    <t>Flores-Kossack, C; Rodriguez-Bascuñan, C; Bugueño, K; Garcés, A; Maisey, K</t>
  </si>
  <si>
    <t>Flores-Kossack, C.; Rodriguez-Bascunan, C.; Bugueno, K.; Garces, A.; Maisey, K.</t>
  </si>
  <si>
    <t>Characterization of rainbow trout CD3ζ signaling: common mechanism between fish and mammals?</t>
  </si>
  <si>
    <t>EUROPEAN JOURNAL OF IMMUNOLOGY</t>
  </si>
  <si>
    <t>17th International Congress of Immunology of the International-Union-of-Immunological-Societies (IUIS)</t>
  </si>
  <si>
    <t>OCT 19-23, 2019</t>
  </si>
  <si>
    <t>Beijing, PEOPLES R CHINA</t>
  </si>
  <si>
    <t>Int Union Immunol Soc</t>
  </si>
  <si>
    <t>0014-2980</t>
  </si>
  <si>
    <t>1521-4141</t>
  </si>
  <si>
    <t>P1073</t>
  </si>
  <si>
    <t>WOS:000490026905238</t>
  </si>
  <si>
    <t>Calfío, C; Huidobro-Toro, JP</t>
  </si>
  <si>
    <t>Calfio, Camila; Pablo Huidobro-Toro, Juan</t>
  </si>
  <si>
    <t>Potent Vasodilator and Cellular Antioxidant Activity of Endemic Patagonian Calafate Berries (Berberis microphylla) with Nutraceutical Potential</t>
  </si>
  <si>
    <t>Hydroalcoholic extracts of Patagonian Calafate berry (Berberis microphylla) contain mono or disaccharide conjugated anthocyanins and flavonols. The Liquid Chromatography-Mass Spectrometry (LC-MS) chemical extract profile identified glycosylated anthocyanidins such as delphinidin-, petunidin- and malvidin-3-glucoside as the major constituents. The predominant flavonols were 3-O substituents quercetin-rutinoside or -rhamnoside. Anthocyanins doubled flavonols in mass (13.1 vs. 6 mg/g extract). Polyphenols vascular actions were examined in the rat arterial mesenteric bed bioassay; extract perfusion elicited concentration-dependent vasodilatation mimicked by conjugated anthocyanins standards. Vascular responses of main glycosylated anthocyanins were endothelium-dependent (p &lt; 0.001) and mediated by NO production (p &lt; 0.05). The anthocyanins antioxidant activity determined in isolated endothelial cells (CAA) showed a reduced redox potential as compared to the extract or quercetin. While in the 2,2-Diphenyl-1-picrylhydrazyl (DPPH) assay, the anthocyanins showed an equivalent quercetin potency, the extract was 15-fold less active, proposing that the anthocyanin-induced vasodilation is not due to an antioxidant mechanism. The extract shows promising commercial nutraceutical potential.</t>
  </si>
  <si>
    <t>Calfio, Camila/0000-0002-8220-9849</t>
  </si>
  <si>
    <t>10.3390/molecules24152700</t>
  </si>
  <si>
    <t>WOS:000482441100023</t>
  </si>
  <si>
    <t>Civil Obedience: Complicity and Complacency in Chile since Pinochet.</t>
  </si>
  <si>
    <t>10.5195/reviberoamer.2019.7831</t>
  </si>
  <si>
    <t>WOS:000487198500027</t>
  </si>
  <si>
    <t>Castillo-Sepúlveda, J</t>
  </si>
  <si>
    <t>Castillo-Sepulveda, Jorge</t>
  </si>
  <si>
    <t>Governmentality and somatocracy in the Regime of Explicit Guarantees in Health in Chile</t>
  </si>
  <si>
    <t>Among the different technologies of neoliberal government emerging during the XX and XXI centuries, those that have attracted greater attention and reflection probably refer to those related to the processes of life, and the conception of it as a field for politics. This paper addresses the neoliberal governmental rationality involved in the development of the last major health reform in Chile: the Regime of Explicit Health Guarantees (GES), considering the implications of their epistemic aspects in understanding of corporeality. We consider as material for analysis several accounts of experts who have participated in the design of the regime, professionals involved in its implementation, legal and technical documents, and ethnographic observations. We analyse such information considering the notion of enactment proposed by Annemarie Mol. Results expose the processes of epistemic ordering, biopolitical acceleration, and biocitizenship prescription, linked to the enactment of the body as an assemblage of different spaces of government. We call such process as somatocracy, using the notion created by Michel Foucault. We conclude by integrating some components to think biocitizenship from emerging aspects in the work.</t>
  </si>
  <si>
    <t>Castillo-Sepulveda, Jorge/E-8632-2014</t>
  </si>
  <si>
    <t>Castillo-Sepulveda, Jorge/0000-0002-6315-3798</t>
  </si>
  <si>
    <t>10.22199/issn.0718-1043-2019-0009</t>
  </si>
  <si>
    <t>WOS:000483464400014</t>
  </si>
  <si>
    <t>Giglio, J; Inostroza-Ponta, M; Villalobos-Cid, M</t>
  </si>
  <si>
    <t>Giglio, Juan; Inostroza-Ponta, Mario; Villalobos-Cid, Manuel</t>
  </si>
  <si>
    <t>A multi-objective optimisation evolutionary approach for the Multidimensional Scaling Problem</t>
  </si>
  <si>
    <t>The Multidimensional Scaling (MDS) strategies allow visualising the similarity between different objects reducing the number of dimensions. MDS has been widely used to perform exploratory analyses in different fields of the knowledge. The current strategies designed to deal with the MDS problem are able to consider exclusively one measure in a same time, however, most of the real-life problems usually require to analyse more than one measure simultaneously. The multi-objective optimisation techniques have been successfully used to deal with in problems from different areas considering multiples criteria (two or three criteria). In this work, we propose a genetic algorithm to deal with the multi-objective MDS problem being evaluated by using classical data sets from the related literature. The results show that the proposed strategy is able to identify a Pareto set of solutions that include new representations which were non-dominated by solutions from the current state of the art single-objective optimisation approaches, and new solutions which combine the features of the different inputs. These results make our proposal a real alternative to deal with problems which require to visualise different similarity inputs.</t>
  </si>
  <si>
    <t>Giglio G., Juan/0009-0006-5333-9069; Villalobos-Cid, Manuel/0000-0002-1145-2016</t>
  </si>
  <si>
    <t>10.1109/sccc49216.2019.8966433</t>
  </si>
  <si>
    <t>WOS:000540055800042</t>
  </si>
  <si>
    <t>Huidobro-Toro, JP; Latapiat, V; Barrera, N</t>
  </si>
  <si>
    <t>Huidobro-Toro, J. P.; Latapiat, V.; Barrera, N.</t>
  </si>
  <si>
    <t>Combined in silico plus electrophysiological studies identify molecular determinants of ivermectin and zinc P2X4R allosterism</t>
  </si>
  <si>
    <t>S54</t>
  </si>
  <si>
    <t>WOS:000456281300138</t>
  </si>
  <si>
    <t>Silva-Vera, W; Zamorano-Riquelme, M; Rocco-Orellana, C; Vega-Viveros, R; Gimenez-Castillo, B; Silva-Weiss, A; Osorio-Lira, F</t>
  </si>
  <si>
    <t>Silva-Vera, Wladimir; Zamorano-Riquelme, Marcela; Rocco-Orellana, Catalina; Vega-Viveros, Ricardo; Gimenez-Castillo, Begona; Silva-Weiss, Andrea; Osorio-Lira, Fernando</t>
  </si>
  <si>
    <t>Study of Spray System Applications of Edible Coating Suspensions Based on Hydrocolloids Containing Cellulose Nanofibers on Grape Surface (Vitis vinifera L.)</t>
  </si>
  <si>
    <t>FOOD AND BIOPROCESS TECHNOLOGY</t>
  </si>
  <si>
    <t>An edible coating is a useful technology to preserve fruit quality by covering them with a protective layer which improves the appearance and provides a semipermeable barrier for gases and water vapor transfer, allowing extension of their shelf life. In this study, edible coatings based on hydroxypropyl methyl cellulose, k-carrageenan, glycerol, and cellulose nanofibers were formulated. The operational conditions of the spray system were studied to obtain a coating with optimal adhesion on grape (Vitis vinifera L.) surface. Furthermore, the physico-chemical properties of grapes covered with edible coatings were evaluated during refrigerated storage. A full factorial 2(3) experimental design was applied, where liquid suspension flow (1-5 L h(-1)), air pressure (50-200 kPa), and height of impact (0.3-0.5 m) were evaluated as independent variables, whereas the percentage of coating and thickness of coating was the response variables. Both mechanical and physico-chemical properties were evaluated during 41 days in both coated and uncoated grapes as shelf life criteria. Throughout the storage time, noticeable changes in pH and total soluble solids were not found in grapes covered with edible coatings and they showed the highest stability for the evaluated mechanical properties. Moreover, coated grapes showed final weight loss and water vapor permeability values of approximately 30 and 34% lower, respectively, than uncoated grapes, suggesting a shelf life extension.</t>
  </si>
  <si>
    <t>Silva-Weiss, Andrea/AAL-3271-2021; osorio, fernando/AAY-7304-2021</t>
  </si>
  <si>
    <t>1935-5130</t>
  </si>
  <si>
    <t>1935-5149</t>
  </si>
  <si>
    <t>10.1007/s11947-018-2126-1</t>
  </si>
  <si>
    <t>WOS:000436292700012</t>
  </si>
  <si>
    <t>Escudero, MC; Vallejos, RC</t>
  </si>
  <si>
    <t>Chapsal Escudero, Mauricio; Castillo Vallejos, Roberto</t>
  </si>
  <si>
    <t>Contemporary democracy and its medieval foundations: Marsilius of Padua and the rational justification of the normative principles of the state</t>
  </si>
  <si>
    <t>Through the works of Marsilius of Padua we trace sources and references that, in the context of thirteenth and fourteenth century discussions, may be seen on the margins of the foundations of contemporary democracy. The article discusses arguments related to political liberalism (Habermas), the imperative of pluralism (Rorty), and a broadening of the characterization of the social and political thinking of the Middle Ages.</t>
  </si>
  <si>
    <t>10.1590/0101-3173.2018.v41n2.04.p55</t>
  </si>
  <si>
    <t>WOS:000438907500003</t>
  </si>
  <si>
    <t>Merlet, G; Uribe, F; Aravena, C; Rodríguez, M; Cabezas, R; Quijada-Maldonado, E; Romero, J</t>
  </si>
  <si>
    <t>Merlet, G.; Uribe, F.; Aravena, C.; Rodriguez, M.; Cabezas, R.; Quijada-Maldonado, E.; Romero, J.</t>
  </si>
  <si>
    <t>Separation of fermentation products from ABE mixtures by perstraction using hydrophobic ionic liquids as extractants</t>
  </si>
  <si>
    <t>In this work, the perstraction process was implemented to separate butanol, acetone and ethanol from aqueous solutions using four different commercial hydrophobic ionic liquids (ILs) as receiving phase: [bmin][PF6], [bmim][Tf2N], [omim][Tf2N] and [P-6,P-6,P-6,P-14][DCA]. These ILs constituted by different cations and anions were selected in terms of its hydrophobicity, good solubility of butanol and commercial availability. Perstraction assays were carried out using a symmetric membrane made in polydimethylsiloxane (PDMS) in order to quantify the extraction percentage and transmembrane fluxes of butanol, acetone, ethanol and water. The results indicate that the transmembrane fluxes of butanol were particularly high considering that the PDMS membrane used in the experiments was relatively thick (160 mu m). The highest average flux of butanol was obtained using [P-6,P-6,P-6,P-14][DCA] as the extractant reaching a value of 5.5x10(-3) kg h(-1) m(-2). Nevertheless, the IL with the best separation performance was [omim][Tf2N] with a low flux of butanol (4.3x10(-3) kg h(-1) m(-2)) but with the highest butanol/water selectivity value equal to 64.25. This perstraction technique combined with ILs could allow to design a wide range of separation processes to purify a large variety of molecules. Besides that, the perstraction process could be considered a good alternative for the selective separation of fermentation or reaction products with high commercial value.</t>
  </si>
  <si>
    <t>Cabezas, Rene/AAY-2094-2020; Romero, Julio/I-6705-2013; Merlet Venturelli, Gaston/B-4109-2019</t>
  </si>
  <si>
    <t>Quijada-Maldonado, Esteban/0000-0003-1411-4327; Cabezas, Rene/0000-0002-4162-3429; Romero, Julio/0000-0002-1229-1592; Merlet Venturelli, Gaston/0000-0003-2602-6471</t>
  </si>
  <si>
    <t>10.1016/j.memsci.2017.05.045</t>
  </si>
  <si>
    <t>WOS:000402508600033</t>
  </si>
  <si>
    <t>Texier, BD; Ibarra, A; Melo, F</t>
  </si>
  <si>
    <t>Darbois Texier, Baptiste; Ibarra, Alejandro; Melo, Francisco</t>
  </si>
  <si>
    <t>Helical Locomotion in a Granular Medium</t>
  </si>
  <si>
    <t>PHYSICAL REVIEW LETTERS</t>
  </si>
  <si>
    <t>The physical mechanisms that bring about the propulsion of a rotating helix in a granular medium are considered. A propulsive motion along the axis of the rotating helix is induced by both symmetry breaking due to the helical shape, and the anisotropic frictional forces undergone by all segments of the helix in the medium. Helix dynamics is studied as a function of helix rotation speed and its geometrical parameters. The effect of the granular pressure and the applied external load were also investigated. A theoretical model is developed based on the anisotropic frictional force experienced by a slender body moving in a granular material, to account for the translation speed of the helix. A good agreement with experimental data is obtained, which allows for predicting the helix design to propel optimally within granular media. These results pave the way for the development of an efficient sand robot operating according to this mode of locomotion.</t>
  </si>
  <si>
    <t>Melo, Francisco/M-3923-2014; Darbois Texier, Baptiste/F-2747-2015</t>
  </si>
  <si>
    <t>Melo, Francisco Esteban/0000-0001-6818-5476; Darbois Texier, Baptiste/0000-0002-8772-3433; Ibarra, Alejandro/0000-0002-6916-8608</t>
  </si>
  <si>
    <t>0031-9007</t>
  </si>
  <si>
    <t>1079-7114</t>
  </si>
  <si>
    <t>10.1103/PhysRevLett.119.068003</t>
  </si>
  <si>
    <t>WOS:000407326800015</t>
  </si>
  <si>
    <t>Calfío, C; Mateluna, C; Huidobro-Toro, JP</t>
  </si>
  <si>
    <t>Calfio, C.; Mateluna, C.; Huidobro-Toro, J. P.</t>
  </si>
  <si>
    <t>PATAGONIA CALAFATE (BERBERIS MICROPHYLLA) BERRY EXTRACTS HAS A POTENT CELLULAR ANTIOXIDANT PROFILE AND ELICITS ENDOTHELIUM-DEPENDENT VASCULAR RELAXATION</t>
  </si>
  <si>
    <t>BASIC &amp; CLINICAL PHARMACOLOGY &amp; TOXICOLOGY</t>
  </si>
  <si>
    <t>1742-7835</t>
  </si>
  <si>
    <t>1742-7843</t>
  </si>
  <si>
    <t>P-68</t>
  </si>
  <si>
    <t>WOS:000407573400134</t>
  </si>
  <si>
    <t>Köhler, H; Contreras, RA; Pizarro, M; Cortés-Antíquera, R; Zúñiga, GE</t>
  </si>
  <si>
    <t>Kohler, Hans; Contreras, Rodrigo A.; Pizarro, Marisol; Cortes-Antiquera, Rodrigo; Zuniga, Gustavo E.</t>
  </si>
  <si>
    <t>Antioxidant Responses Induced by UVB Radiation in Deschampsia antarctica Desv.</t>
  </si>
  <si>
    <t>FRONTIERS IN PLANT SCIENCE</t>
  </si>
  <si>
    <t>Deschampsia antarctica Desv. is one of two vascular plants that live in the Maritime Antarctic Territory and is exposed to high levels of ultraviolet-B (UVB) radiation. In this work, antioxidant physiology of D. antarctica was studied in response to UVB induced oxidative changes. Samples were collected from Antarctica and maintained in vitro culture during 2 years. Plants were sub-cultured in a hydroponic system and exposed to 21.4 kJ m(-2) day(-1), emulating summer Antarctic conditions. Results showed rapid and significant increases in reactive oxygen species (ROS) at 3 h, which rapidly decreased. No dramatic changes were observed in photosynthetic efficiency, chlorophyll content, and level of thiobarbituric acid reactive species (MDA). The enzymatic (superoxide dismutase, SOD and total peroxidases, POD) and non-enzymatic antioxidant activity (total phenolic) increased significantly in response to UVB treatment. These findings suggest that tolerance of D. antarctica to UVB radiation could be attributed to its ability to activate both enzymatic and non-enzymatic antioxidant systems.</t>
  </si>
  <si>
    <t>Zuñiga, Gustavo/P-8306-2015; Contreras, Rodrigo/I-1871-2013</t>
  </si>
  <si>
    <t>Contreras, Rodrigo/0000-0001-9970-3125; Zuniga, Gustavo/0000-0002-8286-9468</t>
  </si>
  <si>
    <t>1664-462X</t>
  </si>
  <si>
    <t>MAY 31</t>
  </si>
  <si>
    <t>10.3389/fpls.2017.00921</t>
  </si>
  <si>
    <t>WOS:000402386800001</t>
  </si>
  <si>
    <t>Contreras, D; Jaime, D; Lillo, S; Vera-Villarroel, P</t>
  </si>
  <si>
    <t>Contreras, Daniela; Jaime, Daniela; Lillo, Sebastian; Vera-Villarroel, Pablo</t>
  </si>
  <si>
    <t>Psychometric properties of the sexual subjetive well-being scale in young and adults chilean</t>
  </si>
  <si>
    <t>The present study evaluates the psychometric properties of subjective sexual well-being questionnaire in young and adult Chileans who residing in Santiago. The version of the scale translated into Spanish, was applied to a sample of 661 young and adults people between the ages of 18 and 54 who did not report any mental or physical illness. 49% of the sample was women and 51% of men. The psychometric properties and reliability were evaluated by exploratory factorial analysis and Cronbach's alpha. The optimal factorial structure of the questionnaire was one factor with 4 items and had adequate reliability (alpha = .73), although item 4 had low factor loadings. The results indicate that the version of the subjective sexual well-being questionnaire is a valid and reliable self-administered instrument to evaluate the sexual well-being of women and men without reports of physical or mental illness.</t>
  </si>
  <si>
    <t>Lillo, Sara/KVB-4124-2024; Vera-Villarroel, Pablo/A-1134-2011</t>
  </si>
  <si>
    <t>0718-4808</t>
  </si>
  <si>
    <t>WOS:000408714500006</t>
  </si>
  <si>
    <t>Torres, J; Lippi, L; Leal, R</t>
  </si>
  <si>
    <t>Torres, J.; Lippi, L.; Leal, R.</t>
  </si>
  <si>
    <t>STUDENT EXPERIENCE IN SKILLS TRAINING FOR ENTREPRENEURSHIP MODULE, IN PROFESSIONAL TECHNICAL AND VOCATIONAL SECONDARY SCHOOLS IN CHILE</t>
  </si>
  <si>
    <t>10TH INTERNATIONAL CONFERENCE OF EDUCATION, RESEARCH AND INNOVATION (ICERI2017)</t>
  </si>
  <si>
    <t>10th Annual International Conference of Education, Research and Innovation (ICERI)</t>
  </si>
  <si>
    <t>NOV 16-18, 2017</t>
  </si>
  <si>
    <t>Professional technical and vocational education in Chile includes, among its objectives, enabling expedited transit of its students into the world of work. Considering the need of expanding the range of exit options for the students beyond early labor insertion and continuity of higher level studies, a pilot experience is added to the above, in four professional technical schools in the country, which seeks to further develop entrepreneurship competencies in students. This work collects the first six months of student experience in four professional technical and vocational schools in Chile, considering the implementation of focus groups of young people from ninth to twelfth grade of the four establishments. The information collected is sought as a contribution to expand this type of initiative, with special attention to the difficulties, learning and favorable points from the perspective of the students at the beginning of their training cycle, as well as of those are finishing their professional technical and vocational education.</t>
  </si>
  <si>
    <t>978-84-697-6957-7</t>
  </si>
  <si>
    <t>WOS:000429975306094</t>
  </si>
  <si>
    <t>Contreras, D; Lillo, S; Vera-Villarroel, P</t>
  </si>
  <si>
    <t>Contreras, Daniela; Lillo, Sebastian; Vera-Villarroel, Pablo</t>
  </si>
  <si>
    <t>Subjective Sexual Well-Being in Chilean Adults: Evaluation of a Predictive Model</t>
  </si>
  <si>
    <t>JOURNAL OF SEX &amp; MARITAL THERAPY</t>
  </si>
  <si>
    <t>Research on sexuality has traditionally focused on sexual satisfaction, with studies into subjective sexual well-being being a recent phenomenon. This study sought to evaluate the relationship between sexual behavior, happiness, health, and subjective sexual well-being. The data were collected from 862 people aged between 18 and 50 years in Santiago, Chile, and were analyzed by logistic regression analysis. The results showed that sexual behavioral indicators (sexual frequency, sexual caresses, and touching), happiness, and perception of health taken as a whole predicted 47.4% of subjective sexual well-being (SSWB). Analysis of the four items of subjective sexual well-being separately showed that the dimension of physical satisfaction was associated with three variables of sexual behavior indicators with a prediction percentage of 33.5%, whereas emotional satisfaction was associated with three variables of sexual behavior indicators and happiness, with a percentage of prediction of 43.3%. Satisfaction with sexual function was associated with perception of health and one sexual behavior indicator, with a prediction percentage of 29.2% of this variable. The importance of sex was associated with three sexual behavior variables that predicted 26.2% of this variable. The results confirm that subjective sexual well-being can be predicted and that its four dimensions present a different behavior compared to the study predictors.</t>
  </si>
  <si>
    <t>0092-623X</t>
  </si>
  <si>
    <t>1521-0715</t>
  </si>
  <si>
    <t>10.1080/0092623X.2015.1053018</t>
  </si>
  <si>
    <t>WOS:000378138900006</t>
  </si>
  <si>
    <t>Cabrera, DJ</t>
  </si>
  <si>
    <t>Jimenez Cabrera, Diego</t>
  </si>
  <si>
    <t>Since the Treaty of Peace and Friendship of 1984 to the Treaty of Maipu of 2009: an Institutionally Consolidated Evolutive Process</t>
  </si>
  <si>
    <t>REVISTA DE CIENCIA POLITICA</t>
  </si>
  <si>
    <t>Since 1990 Argentina and Chile have been developing the deepest stage of cooperation in its republican history. In order for both countries to be able to make that kind of cooperation viable, Argentina's and Chile's political elites reformulated their views of each other, reconstructing the referential geopolitical space that each country had about its role in the international society. Thus, autonomous bi-national institutions are the outcome of a transition process towards a new stage in the case of Argentinian-Chilean relations, marked by the construction and implementation of a geopolitical discourse oriented to create such institutions.</t>
  </si>
  <si>
    <t>Cabrera, Diego/U-2906-2018</t>
  </si>
  <si>
    <t>0718-090X</t>
  </si>
  <si>
    <t>WOS:000384779900007</t>
  </si>
  <si>
    <t>Fernández, BM; Valencia, CC; Kaschel, CH</t>
  </si>
  <si>
    <t>Marco Fernandez, B.; Claudio Valencia, C.; Hector Kaschel, C.</t>
  </si>
  <si>
    <t>A Distributed Brillouin Optical Sensor Simulation for Measuring Stress and Temperature.</t>
  </si>
  <si>
    <t>The distributed Brillouin optical sensor allows monitoring physical parameters such as temperature and stress, making them ideal for application in structural monitoring. Currently, the researches focus on improving the detection distance and resolution of these sensors, the laboratory tests are the main tools to checking the results of different theorical proposals. Therefore, the aim of this paper is to present a simulation tool of the distributed Brillouin optical sensors based on Brillouin optical frequency domain analysis since to our knowledge there is no tool that allows the simulation. For this, a simplified model of the transfer function in the Brillouin frequency domain is proposed, from which an expression for the Brillouin distributed sensor depending on the distance is obtained. The latter expression is used to perform the simulation both of the amplitude as the distance and later the behavior is verified. This simulation could be applied to other schemes based on BOFDA technique for validating sensor operation.</t>
  </si>
  <si>
    <t>WOS:000390556300089</t>
  </si>
  <si>
    <t>Olivares, V; Cordova, F</t>
  </si>
  <si>
    <t>Dzitac, I; Filip, FG; Manolescu, MJ</t>
  </si>
  <si>
    <t>Olivares, Victor; Cordova, Felisa</t>
  </si>
  <si>
    <t>Design of Drone Fleet Management Model in A Production System of Customized Products</t>
  </si>
  <si>
    <t>2016 6TH INTERNATIONAL CONFERENCE ON COMPUTERS COMMUNICATIONS AND CONTROL (ICCCC)</t>
  </si>
  <si>
    <t>6th International Conference on Computers Communications and Control (ICCCC)</t>
  </si>
  <si>
    <t>MAY 10-14, 2016</t>
  </si>
  <si>
    <t>Oradea, ROMANIA</t>
  </si>
  <si>
    <t>IEEE,IEEE Reg 8,Agora Univ</t>
  </si>
  <si>
    <t>In many manufacturing plants, there is a major problem in the internal logistics due to the high number of products, machines, and routes, especially in those manufacturing plants that produce low weight products. For example, many industries such as footwear, toys, plastic household goods and industrial products, among others, require assemblage products in small assembly lines, in small and customized lots according to customer requirements. In general, in this stage of the process, it is not available an efficient logistics system and an adequate level of automation in the transport of supplies, either for collecting materials or for distributing them. Transporting materials and semi-finished products into a plant using a fleet of drones, involves to take over the tasks associated to the size of the fleet of drones, routing decisions, and drone selection to perform a particular task. The aim of this paper is to propose a fleet managing model for VTOL-UAV drones (Vertical TakeOff and Landing - Unmanned Aerial Vehicle) that perform the delivery or pickup of supplies and materials in a production plant, also incorporating alternation in drone operations for an efficient use of energy in their batteries. When calculating the size of a fleet, the model determines that, in order to bear the peak demand of final products, it will be required a drone fleet of a certain amount of units (drones) depending on the load capacity, cycle time of the transport operation, and the demand of units to be manufactured. This amount of drones is able to meet the demand of products covering all the deviations in the parameters. Furthermore, it is incorporated the use of coefficients which involve deviations in the estimated demand, cycle time, load capacity and availability of the drone fleet. In this context, a computational tool has been developed in order to determine the amount of drones that comprise a fleet to perform certain logistical operations under diverse operating conditions, some of which can include the product demand for turn; volume, weight and shape of the products, power and speed of the drones, covered distance and finally warehouse and plant layout. A manufacturer of plastic is used as a reference model. In this situation, the final product, storage boxes for home of various sizes, are assembled by performing pickup of parts in warehouses and performing delivery to the assembly lines at the plant. This work is aimed to simulate and evaluate a model which represents the operation of a fleet of drones in the process of transporting materials. The model also includes the manufacture of semi-finished materials and parts in their respective workstations and final assembly of the products in their respective lines, incorporating the activity of replacing flat batteries for charged batteries. This model allows to evaluate the impact on production due to battery changes, especially the drones used for transport.</t>
  </si>
  <si>
    <t>CORDOVA, FELISA/S-1093-2019</t>
  </si>
  <si>
    <t>CORDOVA, FELISA/0000-0002-5557-8569</t>
  </si>
  <si>
    <t>978-1-5090-1735-5</t>
  </si>
  <si>
    <t>WOS:000391251000026</t>
  </si>
  <si>
    <t>Olivares, V; Cordova, F; Sepúlveda, JM; Derpich, I</t>
  </si>
  <si>
    <t>Gomes, LFAM; Colcher, R; Wolcott, P; HerreraViedma, E; Shi, Y</t>
  </si>
  <si>
    <t>Olivares, Victor; Cordova, Felisa; Sepulveda, Juan M.; Derpich, Ivan</t>
  </si>
  <si>
    <t>MODELING INTERNAL LOGISTICS BY USING DRONES ON THE STAGE OF ASSEMBLY OF PRODUCTS</t>
  </si>
  <si>
    <t>3RD INTERNATIONAL CONFERENCE ON INFORMATION TECHNOLOGY AND QUANTITATIVE MANAGEMENT, ITQM 2015</t>
  </si>
  <si>
    <t>Procedia Computer Science</t>
  </si>
  <si>
    <t>3rd International Conference on Information Technology and Quantitative Management (ITQM)</t>
  </si>
  <si>
    <t>JUL 21-24, 2015</t>
  </si>
  <si>
    <t>Rio De Janeiro, BRAZIL</t>
  </si>
  <si>
    <t>Int Acad Informat Technol &amp; Quantitat Management,Ibmec,FIRJAN,UFF,SOBRAPO,ASSESPRO,CAPES,FAPERJ,SUCESU RJ,SINDITEC,ANE Natl Acad Engn,Res Ctr Fictitious Econ,Data Sci,Key Lab Big Data Mining &amp; Knowledge Management,Chinese Acad Sci, Sch Management,Univ Chinese Acad Sci, Sch Management,Chinese Acad Sci, Inst Policy &amp; Management,Chinese Soc Management Modernizat,Univ Nebraska</t>
  </si>
  <si>
    <t>The subject addressed in this paper is the issue of using an UAV type Quadcopter in the internal logistics within a manufacturing plant, particularly at the stage of assembly and /or customization of products. The vertical takeoff and landing, as well as horizontal flight, both with the characteristic of low speed and high precision, are major requirements for this work. The quadrotor architecture has been chosen for analysis because of its low dimensions, good maneuverability, simple mechanics and available payload capacity. As a major drawback, the high energy consumption when operating is a constraint to be modeled and optimized. In the first step, an internal logistics modeling is performed in order to determine the location of depots, clusters and sub-clusters; workstations are defined and routes are generated using a genetic algorithm for each quadcopter of a particular fleet. In a second step, the weight to be transported by each quadcopter is determined, depending on the assigned route and workstations that should go through the sequence either to remove materials (picking) or to deliver materials (delivery). In a third step, it is determined the electric power amount to be drained off the battery of every quadcopter for a given route depending on the weight carried, distance covered, number of workstations visited and the quadcopter aerodynamic efficiency. (C) 2015 Published by Elsevier B.V. This is an open access article under the CC BY-NC-ND license (http://creativecommons.org/licenses/by-nc-nd/4.0/).</t>
  </si>
  <si>
    <t>CORDOVA, FELISA/S-1093-2019; derpich, ivan/T-1160-2019</t>
  </si>
  <si>
    <t>Sepulveda, Juan M./0000-0003-3755-0981; Derpich, Ivan/0000-0001-9759-7285; CORDOVA, FELISA/0000-0002-5557-8569</t>
  </si>
  <si>
    <t>1877-0509</t>
  </si>
  <si>
    <t>10.1016/j.procs.2015.07.132</t>
  </si>
  <si>
    <t>WOS:000360101400139</t>
  </si>
  <si>
    <t>Avila, MC</t>
  </si>
  <si>
    <t>Cecilia Avila, Mariela</t>
  </si>
  <si>
    <t>Hannah Arendt and concentration camps. An image of hell</t>
  </si>
  <si>
    <t>Alpha-Revista de Artes Letras y Filosofia</t>
  </si>
  <si>
    <t>This article deals with Hannah Arendt's work on Second World War concentration and extermination camps, which she considers the main institution of organized power. Her analysis focuses on concentration camps as life-size experiments on human beings' lives, whereby it is made clear that anything can happen. This article highlights the author's philosophical perspective on this subject, which presents these spaces of exception as involving a hiatus in the public sphere and therefore annihilating the possibility of political practice.</t>
  </si>
  <si>
    <t>Avila, Mariela/0000-0002-9347-2191</t>
  </si>
  <si>
    <t>10.4067/S0718-22012014000200012</t>
  </si>
  <si>
    <t>WOS:000348909300012</t>
  </si>
  <si>
    <t>Villegas, M; Huiliñir, C</t>
  </si>
  <si>
    <t>Villegas, Manuel; Huilinir, Cesar</t>
  </si>
  <si>
    <t>Biodrying of sewage sludge: Kinetics of volatile solids degradation under different initial moisture contents and air-flow rates</t>
  </si>
  <si>
    <t>BIORESOURCE TECHNOLOGY</t>
  </si>
  <si>
    <t>This study focuses on the kinetics of the biodegradation of volatile solids (VS) of sewage sludge for biodrying under different initial moisture contents (Mc) and air-flow rates (AFR). For the study, a 3(2) factorial design, whose factors were AFR (1, 2 or 3 L/min kg(TS)) and initial Mc (59%, 68% and 78% w.b.), was used. Using seven kinetic models and a nonlinear regression method, kinetic parameters were estimated and the models were analyzed with two statistical indicators. Initial Mc of around 68% increases the temperature matrix and VS consumption, with higher moisture removal at lower initial Mc values. Lower AFRs gave higher matrix temperatures and VS consumption, while higher AFRs increased water removal. The kinetic models proposed successfully simulate VS biodegradation, with root mean square error (RMSE) between 0.007929 and 0.02744, and they can be used as a tool for satisfactory prediction of VS in biodrying (C) 2014 Elsevier Ltd. All rights reserved.</t>
  </si>
  <si>
    <t>0960-8524</t>
  </si>
  <si>
    <t>1873-2976</t>
  </si>
  <si>
    <t>10.1016/j.biortech.2014.09.136</t>
  </si>
  <si>
    <t>WOS:000345014900005</t>
  </si>
  <si>
    <t>Cañete, P; Silva, JF; Zagal, JH</t>
  </si>
  <si>
    <t>Canete, Paulina; Francisco Silva, J.; Zagal, Jose H.</t>
  </si>
  <si>
    <t>ELECTROCATALYTIC ACTIVITY FOR O2 REDUCTION OF UNSUBSTITUTED AND PERCHLORINATED IRON PHTHALOCYANINES ADSORBED ON AMINO-TERMINATED MULTIWALLED CARBON NANOTUBES DEPOSITED ON GLASSY CARBON ELECTRODES</t>
  </si>
  <si>
    <t>Amino-functionalized multiwalled carbon nanotubes (MWCNT-NH2) were modified with Fe phthalocyanine (FePc) and perchlorinated Fe phthalocyanine (16(Cl) FePc) and deposited on glassy carbon electrodes (GCE). The electrocatalytic activity of these hybrid electrodes was examined for the reduction of molecular oxygen in alkaline media (0.2 M NaOH) using stationary and rotating disk electrodes. Electrodes containing 16(Cl) FePc are more active than those containing FePc. Electrodes containing CNTs are more active than electrodes without CNTs but the higher activity can be attributed to a greater real surface area, compared CGEs and not necessarily to a catalytic effect.</t>
  </si>
  <si>
    <t>Sierra-Rosales, Paulina/K-4733-2019; zagal, jose/L-9648-2014</t>
  </si>
  <si>
    <t>Sierra-Rosales, Paulina/0000-0001-7077-785X</t>
  </si>
  <si>
    <t>10.4067/S0717-97072014000200030</t>
  </si>
  <si>
    <t>WOS:000342613100030</t>
  </si>
  <si>
    <t>Gulppi, MA; Recio, FJ; Tasca, F; Ochoa, G; Silva, JF; Pavez, J; Zagal, JH</t>
  </si>
  <si>
    <t>Gulppi, Miguel A.; Recio, Francisco J.; Tasca, Federico; Ochoa, Gonzalo; Silva, Juan F.; Pavez, Jorge; Zagal, Jose H.</t>
  </si>
  <si>
    <t>Optimizing the reactivity of surface confined cobalt N4-macrocyclics for the electrocatalytic oxidation of L-cysteine by tuning the Co(II)/(I) formal potential of the catalyst</t>
  </si>
  <si>
    <t>12th ISE Topical Meeting</t>
  </si>
  <si>
    <t>MAR 17-21, 2013</t>
  </si>
  <si>
    <t>Bochum, GERMANY</t>
  </si>
  <si>
    <t>The redox potential of macrocyclic complexes is a very predictive reactivity index for the electrocatalytic activity of these molecules and it can be easily measured under the same conditions of the kinetic experiments. It reflects directly the catalytic activity of a given complex. We have investigated the effect of the Co(II)/(I) formal potential of CoN4 macrocyclics complexes on the catalytic activity of a series of Co porphyrins and Co phthalocyanines for the electrooxidation of L-cysteine. The complexes were adsorbed on ordinary pyrolytic graphite. A correlation of log i (at constant potential) versus the Co(II)/(I) formal potential of the catalysts gives a volcano curve. Our results clearly show that the Co (II)/( I) formal potential of N4-macrocyclic complexes needs to be adjusted to values around -0.96 V vs. SCE to obtain the highest catalytic activity for the oxidation of L-cysteine at pH 13. (C) 2013 Elsevier Ltd. All rights reserved.</t>
  </si>
  <si>
    <t>zagal, jose/L-9648-2014; Gulppi, Miguel/KTA-6210-2024; Tasca, Federico/J-4134-2015; Recio, Francisco/AAB-2148-2020; PAVEZ, JORGE/K-6904-2014</t>
  </si>
  <si>
    <t>Gulppi, Miguel/0000-0001-6099-4463; PAVEZ, JORGE/0000-0002-5100-6707; Recio, Francisco/0000-0002-5181-3197</t>
  </si>
  <si>
    <t>10.1016/j.electacta.2013.07.230</t>
  </si>
  <si>
    <t>WOS:000336340900006</t>
  </si>
  <si>
    <t>Vallejos, Rolando Alvarez</t>
  </si>
  <si>
    <t>The new politics in the post-dictatorship Chile: Passivity Citizen or clientelism from below? (1990-1996)</t>
  </si>
  <si>
    <t>In Chile, the governments that followed Pinochet's military dictatorship have generally been analyzed from a political-institutional perspective and mostly interpreted as a product of political engineering carried out by the leaders of the center-left coalition, the political right and the so called poderes facticos (de facto powers). This article explores the role of the Chilean citizenry in the configuration of post dictatorship politics. It argues that far from remaining passive or mere observers of the events that were unfolding in the country, citizens expressed demands and concerns that contributed to the re-shaping of Chilean politics. This process began at the local level like the Municipalities, where people saw the clearest access to power. It was there that the new Chilean politics , depoliticized and pragmatic, was born and encouraged.</t>
  </si>
  <si>
    <t>WOS:000348413600009</t>
  </si>
  <si>
    <t>Muchnick, N; Herrera, F; Alburquenque, D; Pastene, R; Ortiz, J; Gautier, JL</t>
  </si>
  <si>
    <t>Muchnick, Nicole; Herrera, Francisco; Alburquenque, Daniela; Pastene, Ruben; Ortiz, Juan; Luis Gautier, Juan</t>
  </si>
  <si>
    <t>SPINEL LiFeXCo2-XO4 (0.25 ≤ x ≤ 1) AS CATHODES IN LITHIUM BATTERIES. RELATIONSHIP BETWEEN IONIC DISTRIBUTION AND LITHIUM ION INSERTION</t>
  </si>
  <si>
    <t>Spinel LiFexCo2-xO4 samples with 0.25 &lt;= x &lt;= 1 were synthesized by the sol-gel Pechini method at 300 degrees C in order to study the impact on their structural and electrochemical properties due to the substitution of Co by Fe. The specific capacity for lithium insertion into the electrode materials depend on lithium diffusion coefficient DLi which in turn depends on the Fe3(+/)( Fe3++ Co3+ + Co4+) octahedral cationic ratio.</t>
  </si>
  <si>
    <t>PASTENE OLIVARES, RUBEN/0000-0002-7137-0303; Alburquenque, Daniela/0000-0001-9236-3308; Herrera, Francisco/0000-0001-7783-2970</t>
  </si>
  <si>
    <t>10.4067/S0717-97072013000400022</t>
  </si>
  <si>
    <t>WOS:000331238800018</t>
  </si>
  <si>
    <t>García, V; Ganga, A; Martinez, C</t>
  </si>
  <si>
    <t>Garcia, Veronica; Ganga, Angelica; Martinez, Claudio</t>
  </si>
  <si>
    <t>Role of gene ICY1 of Saccharomyces cerevisiae in nitrogen consumption during alcoholic fermentation</t>
  </si>
  <si>
    <t>YEAST</t>
  </si>
  <si>
    <t>26th International Conference on Yeast Genetics and Molecular Biology</t>
  </si>
  <si>
    <t>AUG 29-SEP 03, 2013</t>
  </si>
  <si>
    <t>Frankfurt Main, GERMANY</t>
  </si>
  <si>
    <t>Wiley Blackwell,Lesaffre,Singer Instruments,Federat European Microbiol Soc,Sci Res &amp; Dev GmbH,VAAM,Cluster Excellence Frankfurt,Carlsberg Lab,Butalco,SFB 902,DSM,ARTES</t>
  </si>
  <si>
    <t>García, Verónica/AAM-1175-2021; Martinez, Claudio/MGS-9961-2025; Ganga, Maria/S-8176-2019</t>
  </si>
  <si>
    <t>0749-503X</t>
  </si>
  <si>
    <t>1097-0061</t>
  </si>
  <si>
    <t>WOS:000327927400453</t>
  </si>
  <si>
    <t>Godoy, JC</t>
  </si>
  <si>
    <t>Castro Godoy, Jimena</t>
  </si>
  <si>
    <t>Confession, word, and power: the miserable womanly existence</t>
  </si>
  <si>
    <t>Among the medieval German abbess Hildegard von Bingen (XII Century) and the Chilean late seventeenth century Clarisse Sister Ursula Suarez there exists a great historical and cultural distance. However, something strongly approximates them as if they were sisters of the same cloister. And this approach is not the clothing habits or the proclamation of vows of poverty, obedience and chastity, but it is, above all, the adventures that both had to live through in order to describe their spiritual experiences: ask permission of a male figure in the case of Hildegard, and submit to the obedience of this same figure in the case of Ursula. In this paper we propose to show how the discourses of the nuns who have written are subordinated to the approval of a model of power and authority.</t>
  </si>
  <si>
    <t>WOS:000337748700005</t>
  </si>
  <si>
    <t>Sepúveda, I; Barrientos, H; Mahn, A; Moenne, A</t>
  </si>
  <si>
    <t>Sepuveda, Ignacio; Barrientos, Herna; Mahn, Andrea; Moenne, Alejandra</t>
  </si>
  <si>
    <t>Changes in SeMSC, Glucosinolates and Sulforaphane Levels, and in Proteome Profile in Broccoli (Brassica oleracea var. Italica) Fertilized with Sodium Selenate</t>
  </si>
  <si>
    <t>The aim of this work was to analyze the effect of sodium selenate fortification on the content of selenomethyl selenocysteine (SeMSC), total glucosinolates and sulforaphane, as well as the changes in protein profile of the inflorescences of broccoli (Brassica oleracea var. Italica). Two experimental groups were considered: plants treated with 100 mu mol/L sodium selenate (final concentration in the pot) and control plants treated with water. Fortification began 2 weeks after transplantation and was repeated once a week during 10 weeks. Broccoli florets were harvested when they reached appropriate size. SeMSC content in broccoli florets increased significantly with sodium selenate fortification; but total glucosinolates and sulforaphane content as well as myrosinase activity were not affected. The protein profile of broccoli florets changed due to fortification with sodium selenate. Some proteins involved in general stress-responses were up-regulated, whereas down-regulated proteins were identified as proteins involved in protection against pathogens. This is the first attempt to evaluate the physiological effect of fortification with sodium selenate on broccoli at protein level. The results of this work will contribute to better understanding the metabolic processes related with selenium uptake and accumulation in broccoli.</t>
  </si>
  <si>
    <t>10.3390/molecules18055221</t>
  </si>
  <si>
    <t>WOS:000319446900027</t>
  </si>
  <si>
    <t>Gambi, MO; González, CA</t>
  </si>
  <si>
    <t>Olavarria Gambi, Mauricio; Allende Gonzalez, Claudio</t>
  </si>
  <si>
    <t>Student Debt and Access to Higher Education in Chile</t>
  </si>
  <si>
    <t>REVISTA ESPANOLA DE INVESTIGACIONES SOCIOLOGICAS</t>
  </si>
  <si>
    <t>This paper analyses whether the fear of indebtedness resulting from going on to post-secondary education affects potential students' decisions to apply for, and enter into, Higher Education; whether there is any relationship between the fear of indebtedness and the socio-economic level of the families of potential students; and whether there is an association between the fear of indebtedness and student performance. This study shows that the fear of indebtedness for post-secondary studies is not a limiting factor for young people from lower-income sectors to go on to tertiary education. The study also shows that availability of loans facilitates access to Higher Education. These findings contradict the conclusions of studies by Claire Callender and Jonathan Jackson, who previously analysed the British case with the same aims.</t>
  </si>
  <si>
    <t>0210-5233</t>
  </si>
  <si>
    <t>10.5477/cis/reis.141.91</t>
  </si>
  <si>
    <t>WOS:000318007400004</t>
  </si>
  <si>
    <t>Evaluation of Programs in Chile: Analysis of a Sample of Evaluated Public Programs</t>
  </si>
  <si>
    <t>REVISTA DEL CLAD REFORMA Y DEMOCRACIA</t>
  </si>
  <si>
    <t>The idea of instituting an Agency of Public Policy Evaluation in Chile has been included in government programs of both President Bachelet (2006-2010) and President Pinera (2010-2014). In that context, this article seeks to offer evidence about the functioning of program evaluation in the country and, consequently, to contribute to the debate about the design of a potential Agency. With that purpose, the work begins with the question on What effects have had the evaluations of public programs on government decisions and program management? The study analyzes a sample of 23 public programs which have been evaluated through the modalities of Expert Panel or Impact Evaluation. Three of them have been evaluated through both modalities. The cases of analysis were selected considering criteria of intentioned sampling and theoretical saturation. The evaluation reports were analyzed considering their methodological rigor and whether the evaluations are succeed in capturing the reality of the program management. With the same purpose, Integral Management Balances and histories of budget laws from 2006 to 2011 were also analyzed. The research included interviews to people related to the evaluated programs in roles of managers, ministers, undersecretaries, congressmen, and evaluators. Interviews were conducted on February 2012. The study concludes that Chilean evaluation practice is concentrated, formal and information that produce does not have true influence on the policy decision making on the programs. These findings leads to the opening of a convenient debate about the dependency of a potential Agency, whether it would be appropriate to decentralize some aspects of the evaluation and to separate the functions of budget approval and control from the evaluation of the program, as well as the tasks that an organization impelling program evaluation in the public sector should fulfill.</t>
  </si>
  <si>
    <t>1315-2378</t>
  </si>
  <si>
    <t>WOS:000325441700006</t>
  </si>
  <si>
    <t>Matiacevich, S; Silva, P; Osorio, F; Enrione, J</t>
  </si>
  <si>
    <t>Caivano, JL; Buera, MD</t>
  </si>
  <si>
    <t>Matiacevich, Silvia; Silva, Patricia; Osorio, Fernando; Enrione, Javier</t>
  </si>
  <si>
    <t>Evaluation of Blueberry Color during Storage by Image Analysis</t>
  </si>
  <si>
    <t>COLOR IN FOOD: TECHNOLOGICAL AND PSYCHOPHYSICAL ASPECTS</t>
  </si>
  <si>
    <t>Enrione, Javier/I-9225-2014; osorio, fernando/AAY-7304-2021</t>
  </si>
  <si>
    <t>Enrione, Javier/0000-0002-3916-6775; osorio, fernando/0000-0001-7206-0924</t>
  </si>
  <si>
    <t>978-1-4398-7694-7; 978-1-4398-7693-0</t>
  </si>
  <si>
    <t>WOS:000358648900023</t>
  </si>
  <si>
    <t>Lizama, C; Ponce, R</t>
  </si>
  <si>
    <t>Lizama, Carlos; Ponce, Rodrigo</t>
  </si>
  <si>
    <t>Almost automorphic solutions to abstract Volterra equations on the line</t>
  </si>
  <si>
    <t>Given a is an element of L(1)(R) and A the generator of an L(1)-integrable family of bounded and linear operators defined on a Banach space X, we prove the existence of an almost automorphic mild solution to the semilinear integral equation u(t) = integral(t)(-infinity) a(t - s)[Au(s) + f(s, u(s))]ds for each f : R x X -&gt; X S(p)-almost automorphic in t, uniformly in x is an element of X, and satisfying diverse Lipschitz type conditions. For the scalar linear case, we prove that a is an element of L(1)(R) completely monotonic is already sufficient. (C) 2011 Elsevier Ltd. All rights reserved.</t>
  </si>
  <si>
    <t>Ponce, Rodrigo/0000-0002-1337-8083; Lizama, Carlos/0000-0002-9807-1100</t>
  </si>
  <si>
    <t>10.1016/j.na.2011.03.029</t>
  </si>
  <si>
    <t>WOS:000290021800036</t>
  </si>
  <si>
    <t>Vásquez, OC; Alfaro, MD</t>
  </si>
  <si>
    <t>Vasquez, Oscar C.; Alfaro, Miguel D.</t>
  </si>
  <si>
    <t>Municipal solid waste management in Gran Santiago, Chile</t>
  </si>
  <si>
    <t>WASTE MANAGEMENT</t>
  </si>
  <si>
    <t>0956-053X</t>
  </si>
  <si>
    <t>10.1016/j.wasman.2011.02.010</t>
  </si>
  <si>
    <t>WOS:000289327700027</t>
  </si>
  <si>
    <t>Bubnovich, V; Maiza, M; Vargas, LH</t>
  </si>
  <si>
    <t>Klemes, JJ; Varbanov, PS; Lam, HL</t>
  </si>
  <si>
    <t>Bubnovich, Valeri; Maiza, Manuel; Henriquez Vargas, Luis</t>
  </si>
  <si>
    <t>Modelling of Thermoelectric Power Generation by Porous Media Burner</t>
  </si>
  <si>
    <t>PRES 2011: 14TH INTERNATIONAL CONFERENCE ON PROCESS INTEGRATION, MODELLING AND OPTIMISATION FOR ENERGY SAVING AND POLLUTION REDUCTION, PTS 1 AND 2</t>
  </si>
  <si>
    <t>Chemical Engineering Transactions</t>
  </si>
  <si>
    <t>14th International Conference on Process Integration, Modeling and Optimization for Energy Saving and Pollution Reduction (PRES)</t>
  </si>
  <si>
    <t>MAY 08-11, 2011</t>
  </si>
  <si>
    <t>Florence, ITALY</t>
  </si>
  <si>
    <t>AIDIC, Italian Assoc Chem Engn</t>
  </si>
  <si>
    <t>A system for converting combustion heat into electric power is proposed in this work on the basis of super-adiabatic combustion in a thermoelectric porous element. A lean gas mixture is introduced into the porous medium, where the gas flow rate changes at a regular interval of time. As a result, the combustion front remains at a predetermined region of the porous medium. A steady state temperature distribution is established along the flow direction, resulting in a steep temperature gradient in the thermoelectric porous element. Numerical simulation showed that the total thermal efficiency reaches 4.6 %, almost equal to the conversion efficiency of the thermoelectric element itself. Consequently, using the proposed system, the chemical energy can be effectively converted into electric power.</t>
  </si>
  <si>
    <t>Henríquez-Vargas, Luis/Q-3617-2019</t>
  </si>
  <si>
    <t>2283-9216</t>
  </si>
  <si>
    <t>978-88-95608-16-7</t>
  </si>
  <si>
    <t>10.3303/CET1125024</t>
  </si>
  <si>
    <t>WOS:000298027000024</t>
  </si>
  <si>
    <t>Mahn, A</t>
  </si>
  <si>
    <t>Mahn, Andrea</t>
  </si>
  <si>
    <t>Hydrophobic Interaction Chromatography: Fundamentals and Applications in Biomedical Engineering</t>
  </si>
  <si>
    <t>WOS:000378911600026</t>
  </si>
  <si>
    <t>Gonzalez, P; Cornejo, JJ; Ortiz, J; Gautier, JL</t>
  </si>
  <si>
    <t>Gonzalez, P.; Cornejo, J. J.; Ortiz, J.; Gautier, J. L.</t>
  </si>
  <si>
    <t>LONG CHAIN 1-ALKYL-3-METHYLIMIDAZOLIUM TETRAFLUOROBORATES AS ELECTROLYTES IN Li-ION BATTERIES</t>
  </si>
  <si>
    <t>We have determined the electrochemical behavior of a series of long chain 1-alkyl-3-methylimidazolium ionic liquids [(R-mim)BF4], with alkyl groups ranging from pentyl to octyl, and tested them as electrolytes in lithium ion batteries. These ionic liquids present good conductivities and electrochemical windows which make them likely solvents of choice for Li-ion batteries using LiMn2O4 as the cathode. Charge/discharge properties of a Li/R-mim)BF4/LiMn2O4 cell have been evaluated both with the IL as the sole electrolyte and with IL and conducting support. The Li-ion insertion results in IL can be explained on the basis of self aggregation of each long chain 1-alkyl-3-methylimidazolium cation.</t>
  </si>
  <si>
    <t>WOS:000279984400029</t>
  </si>
  <si>
    <t>Aránguiz, R; Espinoza, F; Muñoz, J</t>
  </si>
  <si>
    <t>Aranguiz, R.; Espinoza, F.; Munoz, J.</t>
  </si>
  <si>
    <t>CETRAM</t>
  </si>
  <si>
    <t>Quality of life in Chilean Parkinson's disease patients: assessment using the World Health Organization Quality of Life Instrument Short Form</t>
  </si>
  <si>
    <t>PARKINSONISM &amp; RELATED DISORDERS</t>
  </si>
  <si>
    <t>1353-8020</t>
  </si>
  <si>
    <t>1873-5126</t>
  </si>
  <si>
    <t>P1.119</t>
  </si>
  <si>
    <t>S59</t>
  </si>
  <si>
    <t>10.1016/S1353-8020(09)70241-X</t>
  </si>
  <si>
    <t>WOS:000576194500227</t>
  </si>
  <si>
    <t>Campos, M; Bravo, E; Eugenín, J</t>
  </si>
  <si>
    <t>Campos, Marlys; Bravo, Eduardo; Eugenin, Jaime</t>
  </si>
  <si>
    <t>Respiratory dysfunctions induced by prenatal nicotine exposure</t>
  </si>
  <si>
    <t>CLINICAL AND EXPERIMENTAL PHARMACOLOGY AND PHYSIOLOGY</t>
  </si>
  <si>
    <t>P&gt;Maternal tobacco smoking is the principal risk factor associated with sudden infant death syndrome (SIDS), a leading cause of death of infants under 1 year of age. Victims of SIDS show a higher incidence of respiratory control abnormalities, including central apnoeas, delayed arousal responses and diminished ventilatory chemoreflexes. Nicotine is likely the link between maternal tobacco smoking and SIDS. Prenatal nicotine exposure can alter the breathing pattern and can reduce hypoxia- and hypercarbia-induced ventilatory chemoreflexes. In vitro approaches have revealed that prenatal nicotine exposure impairs central chemosensitivity, switching the cholinergic contribution from a muscarinic to a nicotinic receptor-based drive. In addition, serotonergic, noradrenergic, GABAergic, glycinergic and glutamatergic, among others, are affected by prenatal nicotine. Here we propose that prenatal nicotine affects the respiratory network through two main processes: (i) reorganization of neurotransmitter systems; and (ii) remodelling of neural circuits. These changes make breathing more vulnerable to fail in early postnatal life, which could be related to the pathogenesis of SIDS.</t>
  </si>
  <si>
    <t>Bravo, Eduardo/0000-0001-9209-841X</t>
  </si>
  <si>
    <t>1440-1681</t>
  </si>
  <si>
    <t>10.1111/j.1440-1681.2009.05214.x</t>
  </si>
  <si>
    <t>WOS:000272192300013</t>
  </si>
  <si>
    <t>Pavez, P; Santander, N; Caranza, J; Vera-Villarroel, P</t>
  </si>
  <si>
    <t>Pavez, Paula; Santander, Natalia; Caranza, Jorge; Vera-Villarroel, Pablo</t>
  </si>
  <si>
    <t>Familial risk factors for suicide among adolescents with depression</t>
  </si>
  <si>
    <t>Background: Suicide is the second or third cause of death among Chilean teenagers aged 15 to 19 years. Aim: To evaluate familial risk factors associated to suicidal attempt in adolescents with a depressive disorder. Material and methods: Thirty two teenagers with depression, aged between 13 and 18 years, receiving psychological treatment in six public Mental Health Centers in Santiago and 32 fathers, mothers or tutors were evaluated. Beck's Depression Inventory and the Family Adaptability and Cohesion Evaluation Scale (FACES III, family version) were applied to adolescents. Adults were evaluated by the Goldberg's General Health Questionnaire and the FACES III parents version. Results: No meaningful statistical association between adolescents suicidal attempt and family risk factors (family order, pressure of family stressors and parent's mental health), was observed. However, the was a significant association between suicidal ideation of teenagers, their familiar adaptability and suicidal ideation of close relatives. Conclusions: Suicidal attempt in this group of teenagers was associated with familial adaptability and suicidal ideation by close relatives. Therefore close relatives must be integrated to the prevention programs for adolescents' suicide (Rev Med Chile 2009; 137: 226-33)</t>
  </si>
  <si>
    <t>pavez, paula/ITT-0755-2023; Vera-Villarroel, Pablo/A-1134-2011</t>
  </si>
  <si>
    <t>Vera-Villarroel, Pablo/0000-0001-9187-8414; Pavez Salinas, Paula Andrea/0000-0001-7829-8490</t>
  </si>
  <si>
    <t>WOS:000266723800006</t>
  </si>
  <si>
    <t>Cornejo, SL; Rodriguez, JF; Valencia, AA; Guzman, AM; Finol, EA</t>
  </si>
  <si>
    <t>Cornejo, S. L.; Rodriguez, J. F.; Valencia, A. A.; Guzman, A. M.; Finol, E. A.</t>
  </si>
  <si>
    <t>FLOW-INDUCED WALL MECHANICS OF PATIENT-SPECIFIC ANEURYSMAL CEREBRAL ARTERIES: NONLINEAR ISOTROPIC VS. ANISOTROPIC WALL STRESS</t>
  </si>
  <si>
    <t>PROCEEDINGS OF THE ASME SUMMER BIOENGINEERING CONFERENCE 2008, PTS A AND B</t>
  </si>
  <si>
    <t>ASME Summer Bioengineering Conference</t>
  </si>
  <si>
    <t>JUN 25-29, 2008</t>
  </si>
  <si>
    <t>Marco Isl, FL</t>
  </si>
  <si>
    <t>Amer Soc Mech Engineers, Bioengn Div</t>
  </si>
  <si>
    <t>Guzman, Amador/F-9260-2013; Valencia, Alvaro/H-3754-2013; Finol, Ender/C-4585-2016</t>
  </si>
  <si>
    <t>valencia, alvaro/0000-0002-3644-3167</t>
  </si>
  <si>
    <t>978-0-7918-4321-5</t>
  </si>
  <si>
    <t>WOS:000263364700193</t>
  </si>
  <si>
    <t>Poblete, V</t>
  </si>
  <si>
    <t>Poblete, Veronica</t>
  </si>
  <si>
    <t>Maximal regularity of second-order equations with delay</t>
  </si>
  <si>
    <t>We characterize existence and uniqueness of solutions of an inhomogeneous abstract delay equation in Holder spaces. The method is based on the theory of operator-valued Fourier multipliers. (c) 2008 Elsevier Inc. All rights reserved.</t>
  </si>
  <si>
    <t>Poblete, Veronica/D-8810-2015</t>
  </si>
  <si>
    <t>10.1016/j.jde.2008.03.034</t>
  </si>
  <si>
    <t>WOS:000261314600012</t>
  </si>
  <si>
    <t>Vera-Villarroel, P; Córdova-Rubio, N; Celis-Atenas, K</t>
  </si>
  <si>
    <t>Vera-Villarroel, Pablo; Cordova-Rubio, Natalia; Celis-Atenas, Karem</t>
  </si>
  <si>
    <t>Optimism Evaluation: Preliminary Analysis of the Life Orientation Test Revised Version (Lot-R) in Chilean Population</t>
  </si>
  <si>
    <t>UNIVERSITAS PSYCHOLOGICA</t>
  </si>
  <si>
    <t>The dispositional optimism has been researched widely in different cultures, proving its utility as a related variable and as a predictor of important psychological variables and states of health. The following study reports the preliminary psychometric properties of the Life Orientation Test (LOT-R), in a sample of 309 young university students with ages between 18 and 25 years, from Santiago of Chile. The estimation of the internal consistency was of 0,65. From the exploratory factorial analysis a two factors structure emerges, of optimism and pessimism, which explain a 55.55% of the variance. There are not significant sex differences between men and women. In general terms, evidence support the adequacy of the test for its use in Chile.</t>
  </si>
  <si>
    <t>Vera-Villarroel, Pablo/AAQ-8476-2020; Vera-Villarroel, Pablo/A-1134-2011</t>
  </si>
  <si>
    <t>1657-9267</t>
  </si>
  <si>
    <t>WOS:000267646700005</t>
  </si>
  <si>
    <t>Comman, Henri</t>
  </si>
  <si>
    <t>Large deviations for quantum markov semigroups on the 2 x 2-matrix algebra</t>
  </si>
  <si>
    <t>ANNALES HENRI POINCARE</t>
  </si>
  <si>
    <t>Let (T(*)t) be a predual quantum Markov semigroup acting on the full 2 x 2-matrix algebra and having an absorbing pure state. We prove that for any initial state., the net of orthogonal measures representing the net of states (T(*)t(.)) satisfies a large deviation principle in the pure state space, with a rate function given in terms of the generator, and which does not depend on.. This implies that (T(*)t(.)) is faithful for all t large enough. Examples arising in weak coupling limit are studied.</t>
  </si>
  <si>
    <t>1424-0637</t>
  </si>
  <si>
    <t>1424-0661</t>
  </si>
  <si>
    <t>10.1007/s00023-008-0379-3</t>
  </si>
  <si>
    <t>WOS:000258702900005</t>
  </si>
  <si>
    <t>Chacón, M; Contreras, R; Acuña, G; Panerai, RB</t>
  </si>
  <si>
    <t>MullerKarger, C; Wong, S; LaCruz, A</t>
  </si>
  <si>
    <t>Chacon, M.; Contreras, R.; Acuna, G.; Panerai, R. B.</t>
  </si>
  <si>
    <t>Direct procurement of an autoregulation index of the cerebral blood flow for pressure-induced changes</t>
  </si>
  <si>
    <t>IV LATIN AMERICAN CONGRESS ON BIOMEDICAL ENGINEERING 2007, BIOENGINEERING SOLUTIONS FOR LATIN AMERICA HEALTH, VOLS 1 AND 2</t>
  </si>
  <si>
    <t>IFMBE Proceedings</t>
  </si>
  <si>
    <t>4th Latin American Congress on Biomedical Engineering 2007 - Bioengineering Solutions for Latin America Health</t>
  </si>
  <si>
    <t>SEP 24-28, 2007</t>
  </si>
  <si>
    <t>Margarita Isl, VENEZUELA</t>
  </si>
  <si>
    <t>CORAL,IFMBE,EMB,IEEE,SOVEB,Univ Simon Bolivar</t>
  </si>
  <si>
    <t>The most widely used index to evaluate the Cerebral Autoregulation System is the autoregulatory index ARI proposed by Aaslid and Tiecks. Although it is often used in clinical research and is also included in some commercial equipment it has a major drawback: it exhibits great variability even when used in the same patient. It also produces many false positives. In this work an alternative measurement to the Aaslid-Tiecks ARI directly taken from the thigh cuffs maneuver signals and inspired in the Ziegler-Nichols reaction curve method is presented. This method uses only two parameters to characterize a response to the thigh cuffs maneuver. Once the values of these parameters are obtained, a correspondence between them and the parameters of the Aaslid-Tiecks, ARI, is computed using linear regression. Results from 16 healthy subjects to which 6 different thigh cuffs maneuvers were applied showed that the proposed direct measurement method reduces the variability of the ARI from 30% +/- 21 % to 9,7% +/- 4,2% and also significantly reducing the number of false positives.</t>
  </si>
  <si>
    <t>1680-0737</t>
  </si>
  <si>
    <t>978-3-540-74470-2</t>
  </si>
  <si>
    <t>1,2</t>
  </si>
  <si>
    <t>WOS:000261093200004</t>
  </si>
  <si>
    <t>Lara, LH</t>
  </si>
  <si>
    <t>Hachim Lara, Luis</t>
  </si>
  <si>
    <t>The colony and coloniality in Letter to Spanish Amerians by Abbe Viscardo</t>
  </si>
  <si>
    <t>International Peruvianist Congress</t>
  </si>
  <si>
    <t>APR 25-29, 2007</t>
  </si>
  <si>
    <t>WOS:000265620500004</t>
  </si>
  <si>
    <t>Transformations in the Chilean poetry between 1973 and 1988</t>
  </si>
  <si>
    <t>This paper gives a global vision of the Chilean poetry during the dictatorial period 1973-1978, and shows the relationship between the historical/social processes in the country and the transformations that occurred in literary discourse. Some relationships between the poetic discourse which goes beyond frontiers and the literary/cultural and the historical/social representations are established in each of the three stages the dictatorial period has been divided. These processes have forward and backward repercussions, but at the same time they are impacted by the literary field in its restriction and extension. In the conclusion, some tentative and general reflections are given about the meaning of some poetic representations concerning the dictatorial government and the process of modernism.</t>
  </si>
  <si>
    <t>WOS:000249743900009</t>
  </si>
  <si>
    <t>Variational form of the large deviation functional</t>
  </si>
  <si>
    <t>STATISTICS &amp; PROBABILITY LETTERS</t>
  </si>
  <si>
    <t>Under exponential tightness hypothesis, we show that the large deviation functional (Lambda) over bar(center dot) has the same variational form as when large deviations hold. As an application, we identify the affine regularization of a rate function on any real Hausdorff topological vector space in terms of (Lambda) over bar(center dot). Some classical results involving the generalized log-moment generating function are improved. (C) 2007 Elsevier B.V. All rights reserved.</t>
  </si>
  <si>
    <t>0167-7152</t>
  </si>
  <si>
    <t>10.1016/j.spl.2007.01.005</t>
  </si>
  <si>
    <t>WOS:000247900500011</t>
  </si>
  <si>
    <t>Saavedra, P</t>
  </si>
  <si>
    <t>Saavedra, Pegerto</t>
  </si>
  <si>
    <t>The standard of life in rural Spain, 18th-20th centuries.</t>
  </si>
  <si>
    <t>HISPANIA-REVISTA ESPANOLA DE HISTORIA</t>
  </si>
  <si>
    <t>0018-2141</t>
  </si>
  <si>
    <t>WOS:000244839200020</t>
  </si>
  <si>
    <t>Scattering of solitary waves from interfaces in granular media</t>
  </si>
  <si>
    <t>The scattering of nonlinear solitary waves from an interface is numerically studied in detail. The interface is created by joining two one-dimensional chains of spherical beads of different radii (masses). Beads are assumed to be in Hertzian contact, without static precompression, and to have identical mechanical properties. In addition to previous findings, it is observed that in both cases, when a solitary wave travels from the light to the heavy system and vice versa, secondary multipulse structures are generated at the interface, being backscattered and forward scattered, respectively.</t>
  </si>
  <si>
    <t>SEP 2</t>
  </si>
  <si>
    <t>10.1103/PhysRevLett.95.108002</t>
  </si>
  <si>
    <t>WOS:000231615700058</t>
  </si>
  <si>
    <t>Monsalve, A; Artigas, A; Celentano, D</t>
  </si>
  <si>
    <t>Effect of aluminium nitride precipitation on recrystallisation kinetic in low carbon batch annealing steels</t>
  </si>
  <si>
    <t>An important feature of aluminium killed steels is the strong influence that aluminium nitride precipitates produce in both the mechanical properties and the final microstructural characteristics of the steel. This influence is related to the different stages of the fabrication process. This paper deals with a study of the effects of aluminium nitrides on the kinetics of recrystallisation. Different heat treatments were carried out, in one case to dissolve AIN, and in the other in order to precipitate AIN. These steels were subjected to cold rolling, followed by a batch annealing process. The recrystallised fraction was measured, thus obtaining the kinetic curves. The activation energy for recrystallisation was computed in each case. The results showed that AIN precipitation during recrystallisation produces a delay in recrystallisation kinetics through a change in the activation energy value.</t>
  </si>
  <si>
    <t>10.3989/revmetalm.2005.v41.i5.223</t>
  </si>
  <si>
    <t>WOS:000236367800003</t>
  </si>
  <si>
    <t>Letelier, MF; Siginer, DA; Rouliez, JP; Corral, OF</t>
  </si>
  <si>
    <t>Letelier, Mario F.; Siginer, Dennis A.; Rouliez, Jean-Paul; Corral, Omar F.</t>
  </si>
  <si>
    <t>Mathematical modelling of magneto-hydrodynamic dampers with time-varying fluid properties</t>
  </si>
  <si>
    <t>Proceedings of the ASME Fluids Engineering Division</t>
  </si>
  <si>
    <t>FLUIDS ENGINEERING DIVISION OF THE AMERICAN SOCIETY OF MECHANICAL ENGINEERS</t>
  </si>
  <si>
    <t>NOV 05-11, 2005</t>
  </si>
  <si>
    <t>ASME, Proc Ind Div,ASME, Rail Transportat Div,ASME, Noise Control &amp; Acoust Div,ASME, Triol Div,ASME, Pressure Vessels &amp; Piping Div,ASME, Bioengn Div,ASME, Mat Div,ASME, Appl Mech Div,ASME, Fluids Engn Div,ASME, Micro Elect Mech Syst Div,ASME, Heat Transfer Div,ASME, Nucl Engn Div,ASME, Power Div,ASME, Solar Energy Div,ASME, Safety Engn &amp; Risk Anal Div,ASME, Technol &amp; Soc Div,ASME, Adv Energy Syst Div,ASME, Aerosp Div,ASME, Comp &amp; Informat Engn Div</t>
  </si>
  <si>
    <t>The fluid dynamics of dampers is investigated for the case where the damping fluid flows through passages in which a magnetic field is applied. This is a specific case of a new and promising field of applications that has emerged through the design of devices that take advantage of some properties of the so-called electrorheological fluids and magnetorheological fluids (ERF and MRF). These fluids are created when a base fluid is seed with very small dielectric or iron particles, so that it reacts to electric or magnetic fields by developing some non-Newtonian characteristics, most prominently a yield stress, viscosity change, and also viscoelasticity. These fluid properties can be controlled through control of the electric or magnetic fields' strength. In this paper, a typical damping load is modeled and related to the required flow of a MRF inside the damper. To this end the fluid is modeled as a Bingham fluid with time-varying yield-stress. The analysis here developed makes it possible to determine the magnetic field variation necessary in order to achieve a specific displacement of the damper's piston. The flow equations are analytically solved for any time-history of the dimensionless fluid's yield-stress. Main results are some simplified relationships that correlate damping load and magnetic field time-variations. These results aim at providing analytical tools that may facilitate dampers' design.</t>
  </si>
  <si>
    <t>0-7918-4219-3</t>
  </si>
  <si>
    <t>WOS:000243038600115</t>
  </si>
  <si>
    <t>Moraga, NO; Vega, SA</t>
  </si>
  <si>
    <t>Unsteady three-dimensional natural convection of water cooled inside a cubic enclosure</t>
  </si>
  <si>
    <t>Three-dimensional unsteady natural convection of cooling water inside a cubical cavity at Ra = 10(5) is investigated. The finite-volume method with the SIMPLE algorithm is used to solve the nonlinear coupled continuity, momentum, and energy equations. All physical water properties-density, viscosity, thermal conductivity, and specific heat-are allowed to change with temperature. The numerical results for the 3-D geometry show that the side effects are relevant in fluid mechanics and in heat transfer, with larger differences than with the 2-D predictions in the region where the density anomaly of water is important.</t>
  </si>
  <si>
    <t>Vega, Sylvana/LTZ-5796-2024</t>
  </si>
  <si>
    <t>Vega, Sylvana/0000-0001-7126-4191</t>
  </si>
  <si>
    <t>10.1080/10407780390244425</t>
  </si>
  <si>
    <t>WOS:000221054000006</t>
  </si>
  <si>
    <t>Cárdenas-Jirón, GI; Parra-Villalobos, E</t>
  </si>
  <si>
    <t>Application of condensed Fukui functions to cobalt macrocycle complexes</t>
  </si>
  <si>
    <t>A theoretical analysis at the ROB3LYP/3-21G* level of theory of the condensed Fukui function (f(k)) applied to a set of eight cobalt macrocycles derived of the porphyrine is performed. Two approximations for f(k) are used, finite difference (fd) and frozen core (fc), and the f(k)(-) and f(k)(+) indices are evaluated for determining the most probable reaction site for the attack of an electrophile and of a nucleophile, respectively. We found a good agreement between fd and fc calculated for f(k)(+), in the sense that both predict that the cobalt atom is the preferred reaction site receiving an electrophile. In the case of a nucleophilic attack, the comparison between the fd and fc approximations shows that both predict the cobalt atom as the most probable reaction site receiving a nucleophile. We conclude that realistic (fd) as approximate (fc) estimates of the condensed Fukui function used here in general can work very well in diagnosing reactivity trends in cobalt porphyrine and derivatives.</t>
  </si>
  <si>
    <t>DEC 25</t>
  </si>
  <si>
    <t>10.1021/jp030705y</t>
  </si>
  <si>
    <t>WOS:000187446900027</t>
  </si>
  <si>
    <t>Cardemil, E; Ravanal, MC; Flores, M; Aroca, F; Llanos, L</t>
  </si>
  <si>
    <t>Function of Arg70 in Saccharomyces cerevisiae phosphoenolpyruvate carboxykinase.</t>
  </si>
  <si>
    <t>226th National Meeting of the American-Chemical-Society</t>
  </si>
  <si>
    <t>SEP 07-11, 2003</t>
  </si>
  <si>
    <t>NEW YORK, NY</t>
  </si>
  <si>
    <t>Amer Chem Soc</t>
  </si>
  <si>
    <t>Ravanal, Maria/G-8682-2018</t>
  </si>
  <si>
    <t>091-BIOL</t>
  </si>
  <si>
    <t>U164</t>
  </si>
  <si>
    <t>U165</t>
  </si>
  <si>
    <t>WOS:000187062400683</t>
  </si>
  <si>
    <t>Chacón, M; Luci, O</t>
  </si>
  <si>
    <t>Sanfeliu, A; RuizShulcloper, J</t>
  </si>
  <si>
    <t>Patients classification by risk using cluster analysis and genetic algorithms</t>
  </si>
  <si>
    <t>PROGRESS IN PATTERN RECOGNITION, SPEECH AND IMAGE ANALYSIS</t>
  </si>
  <si>
    <t>8th Iberoamerican Congress on Pattern Recognition</t>
  </si>
  <si>
    <t>NOV 26-29, 2003</t>
  </si>
  <si>
    <t>HAVANA, CUBA</t>
  </si>
  <si>
    <t>ICIMAF,CIC,Univ La Salle,Univ Oriente,Inst Polytecnico Jose A Echevarria,Univ Cent Villas,Centro Nacl Investigac Cient,Cuban Assoc Pattern Recognit,Spanish Assoc Pattern Recognit &amp; Image Anal,Mexican Soc Artificial Intelligence,Int Assoc Pattern Recognit</t>
  </si>
  <si>
    <t>Knowing a patient's risk at the moment of admission to a medical unit is important for both clinical and administrative decision making: it is fundamental to carry out a health technology assessment. In this paper, we propose a non-supervised learning method based on cluster analysis and genetic algorithms to classify patients according to their admission risk. This proposal includes an innovative way to incorporate the information contained in the diagnostic hypotheses into the classification system. To assess this method, we used retrospective data of 294 patients (50 dead) admitted to two Adult Intensive Care Units (ICU) in the city of Santiago, Chile. An area calculation under the ROC curve was used to verify the accuracy of this classification. The results show that, with the proposed methodology, it is possible to obtain an ROC curve with a 0.946 area, whereas with the APACHE II system it is possible to obtain only a 0.786 area.</t>
  </si>
  <si>
    <t>3-540-20590-X</t>
  </si>
  <si>
    <t>WOS:000188097600043</t>
  </si>
  <si>
    <t>Bigun, J; Gustavsson, T</t>
  </si>
  <si>
    <t>Crossing line profile: A new approach to detecting defects in aluminium die casting</t>
  </si>
  <si>
    <t>IMAGE ANALYSIS, PROCEEDINGS</t>
  </si>
  <si>
    <t>13th Scandinavian Conference on Image Analysis (SCIA 2003)</t>
  </si>
  <si>
    <t>JUN 29-JUL 02, 2003</t>
  </si>
  <si>
    <t>HALMSTAD, SWEDEN</t>
  </si>
  <si>
    <t>Chalmers Univ Technol,Halmstad Univ,Swedish Soc Automated Image Anal,Int Assoc Pattern Recognit</t>
  </si>
  <si>
    <t>Radioscopy is the accepted way for controlling the quality of aluminium die cast pieces through computer-aided analysis of X-ray images. Two classes of regions are possible in a digital X-ray image of a casting: regions belonging to regular structures of the specimen, and those relating to defects. Since the contrast between a flaw and a defect-free neighbourhood is distinctive, the detection is usually performed by thresholding this feature. Nevertheless, this measurement suffers from accuracy error when the neighbourhood is not homogeneous, for example when the flaw is at an edge of a regular structure of the test object. For this reason, many approaches use a-priori information about the location of regular structures of the test piece. In this paper, a new approach to detecting defects without a-priori knowledge is proposed. The approach is based on features extracted from crossing line profiles, i.e., the grey level profiles along straight lines crossing each segmented potential flaw in the middle. The profile that contains the most similar grey levels in the extremes is selected. Hence, the homogeneity of the neighbourhood is ensured. Features from the selected profile are extracted. The detection performance of our features and a vast number of other known features are assessed by computing the area A. under the Receiver Operation Characteristic (ROC) curve. The best performance is achieved using one of the proposed features yielding an area A(z) = 0.9944 in 50 X-ray images of aluminium wheels with 23.000 potential flaws.</t>
  </si>
  <si>
    <t>3-540-40601-8</t>
  </si>
  <si>
    <t>WOS:000185178400096</t>
  </si>
  <si>
    <t>Escudey, M; Förster, JE; Galindo, G; Pizarro, C</t>
  </si>
  <si>
    <t>Description of the binari cation exchange on synthetic variable surface charge aluminosilicates by the Rothmund-Kornfeld approach.</t>
  </si>
  <si>
    <t>The applicability of Rothmund-Kornfeld semiempirical approach to describe the binary cationic exchange equilibria K-Ca, K-Mg, Ca-Mg, and Ca-Zn carried out on variable surface charge synthetic aluminosilicates with and without coating (10 samples at all), was studied. The equivalent fraction of adsorbed ions and the equilibrium constan results were compared with those obtained by using the Gaines-Thomas approach, widely used and validated in cation exchange studies carried out on variable surface charge systems. The synthetic aluminosilicates (with and without coatings of iron oxides and organic matter) present a higher cationic exchange capacity (CEC) and K selectivity than similar soils and fractions. The equivalent fraction of adsorbed ions obtained by both aproaches correlates, r(2) ranges between 0.962-0.998. The natural logarithm of the thermodynamic constant determined by both approaches correlates with r(2)=0.992. The slight observed differences are probably due to integration errors associated with the resolution of equation involved in the Gaines-Thomas calculations. The Rothmund-Kornfeld model can be applied to the describe the binary cation exchange equilibria carried out on synthetic variable surface charge systems, with independence of K selectivity and CEC magnitude of samples.</t>
  </si>
  <si>
    <t>Pizarro, Carmen/0000-0003-4927-5681</t>
  </si>
  <si>
    <t>WOS:000180026700005</t>
  </si>
  <si>
    <t>Silva, C; Pérez, P; Trier, A</t>
  </si>
  <si>
    <t>Statistical modelling and prediction of atmospheric pollution by particulate material:: two nonparametric approaches</t>
  </si>
  <si>
    <t>ENVIRONMETRICS</t>
  </si>
  <si>
    <t>Atmospheric particles are one of the main factors of air pollution in Santiago, Chile. Inhalation of particulate material is known to lead to serious health problems, including respiratory illness and complications related thereto. Vehicular traffic, industrial activity and street dust are important sources of atmospheric particles, The public authorities in Santiago have been monitoring air pollution by means of a network of semiautomatic sampling stations. At one of these stations, located near the city centre close to Government House, both PM2.5 and PM10 particulate material concentrations have been measured continuously for several years. Here PM2.5 refers to particles having a diameter smaller than 2.5 microns and PM10 corresponds to particles smaller than 10 microns. Hourly averages of the concentrations are available. For the present work, hourly data recorded at intervals of 12 hours have been used. The aim is to describe and forecast these variables with satisfactory precision, including critical pollution episodes, both as a function of previous behaviour and of a set of meteorological variables, comprising wind speed and direction, ambient temperature and relative air humidity. Both non-parametric discriminant analysis and multivariate adaptive regression splines procedures have been applied. Highly satisfactory classification as well as forecasting results were achieved with these approaches, respectively. Copyright (C) 2001 John Wiley &amp; Sons, Ltd.</t>
  </si>
  <si>
    <t>1180-4009</t>
  </si>
  <si>
    <t>10.1002/1099-095X(200103)12:2&lt;147::AID-ENV451&gt;3.3.CO;2-V</t>
  </si>
  <si>
    <t>WOS:000167597800004</t>
  </si>
  <si>
    <t>Eugenín, J; Llona, I; Infante, CD; Ampuero, E</t>
  </si>
  <si>
    <t>In vitro approach to the chemical drive of breathing</t>
  </si>
  <si>
    <t>BIOLOGICAL RESEARCH</t>
  </si>
  <si>
    <t>Since its introduction two decades ago, the isolated brain stem-spinal cord preparation of neonatal rodents has been the preferred method used to reveal the mystery underlying the genesis of the respiratory rhythm. Little research using this in vitro approach has focused on the study of the central respiratory chemo sensitivity. Some unexpected findings obtained with the brain stem-spinal cord preparation have added new questions that challenge our previous theoretic framework. Some of these findings are addressed here.</t>
  </si>
  <si>
    <t>Ampuero, Estibaliz/0000-0001-5543-1594</t>
  </si>
  <si>
    <t>0716-9760</t>
  </si>
  <si>
    <t>WOS:000171382700011</t>
  </si>
  <si>
    <t>Mujica, N; Melo, F</t>
  </si>
  <si>
    <t>Experimental study of solid-liquid-type transitions in vibrated granular layers and the relation with surface waves</t>
  </si>
  <si>
    <t>From pressure and surface dilation measurements, we show that a solid-liquid-type transition occurs at low excitation frequencies in vertically vibrated granular layers. This transition precedes subharmonic bifurcations from flat surface to standing wave patterns, indicating that these waves are in fact associated with the fluidlike behavior of the layer. At higher frequencies we show that another kind of subharmonic waves can be distinguished. These waves do not involve any lateral transfer of grains within the layer, and correspond to excitations fur which the layer slightly bends alternately in time and space. These bending waves have very low amplitude, and we observe them in a vibrated two-dimensional layer of photoelastic particles.</t>
  </si>
  <si>
    <t>Melo, Francisco/M-3923-2014; Mujica, Nicolas/J-3646-2014</t>
  </si>
  <si>
    <t>Mujica, Nicolas/0000-0003-4724-6246; Melo, Francisco Esteban/0000-0001-6818-5476</t>
  </si>
  <si>
    <t>10.1103/PhysRevE.63.011303</t>
  </si>
  <si>
    <t>WOS:000166404900031</t>
  </si>
  <si>
    <t>Perez, P; Reyes, J</t>
  </si>
  <si>
    <t>Prediction of particulate air pollution using neural techniques</t>
  </si>
  <si>
    <t>NEURAL COMPUTING &amp; APPLICATIONS</t>
  </si>
  <si>
    <t>We have analysed the possibility of predicting hourly average concentrations of suspended atmospheric particulate matter with aerodynamic diameter less than 2.5 microns (PM2.5) several hours in advance using data obtained in downtown Santiago, Chile. By performing some standard tests used in the study of dynamical systems, we are able to extract some features of the time series of data. We use this information to estimate the amount of data on the past To be used as input to a neural network in order to predict future values of PM2.5 concentrations. We show that improvement of predictions is possible by using another neural network for noise reduction on the original series. The best results are obtained with a type of neural network which is equivalent to a linens regression. Up to sir hours in advance, predictions generated in this way have significantly smaller errors than predictions based on the persistence of the long term average of the data.</t>
  </si>
  <si>
    <t>Reyes, Jorge/N-2640-2014; Perez, Patricio/AAS-7390-2020</t>
  </si>
  <si>
    <t>0941-0643</t>
  </si>
  <si>
    <t>10.1007/s005210170008</t>
  </si>
  <si>
    <t>WOS:000169203900008</t>
  </si>
  <si>
    <t>Cubillos, MA; Lissi, EA; Abuin, EB</t>
  </si>
  <si>
    <t>Kinetics of lipid peroxidation in compartmentalized systems initiated by a water-soluble free radical source</t>
  </si>
  <si>
    <t>CHEMISTRY AND PHYSICS OF LIPIDS</t>
  </si>
  <si>
    <t>Kinetic rate Laws arising from theoretical expectations for the oxidation of lipids initiated by water-soluble free radicals in compartmentalized systems under different experimental conditions are deduced. In particular, the predictions for the kinetic reaction orders in: (a) intra-particle oxidizable compound concentration (at fixed number of particles and particle size), alpha; (b) number of particles or analytical lipid concentration (at fixed intra-particle concentration and particle size), beta and (c) initiator, gamma, are obtained. The reaction orders beta and gamma are determined by the fraction of initiator derived radicals captured by the particles (f) and the mean number of chain carrying radicals per particle ([n]) when the system reaches the steady state condition. Predicted orders in initiator range from 0 ([n] = 0.5) to 0.5 (f --&gt; I; [n] &gt; &gt; 1), while the order in number of particles ranges between 0.5 (f --&gt;, 1; [n] &gt; &gt; 1) and 1. These predictions are tested by measuring the kinetic law for the oxidation of SUV's egg yolk phosphatidylcholine vesicles initiated by the thermal decomposition of ABAP. The results indicate that, under the conditions employed, beta = 0.68 +/- 0.05 and gamma = 0.46 +/- 0.04. These values are close to those expected for a system in which [n] &gt; &gt; 1 and the efficiency of capture is relatively high. This last condition is confirmed by estimating the efficiency of capture from a comparison of induction times elicited by similar concentrations of Trolox and alpha-tocopherol. (C) 2000 Elsevier Science Ireland Ltd. All rights reserved.</t>
  </si>
  <si>
    <t>0009-3084</t>
  </si>
  <si>
    <t>1873-2941</t>
  </si>
  <si>
    <t>10.1016/S0009-3084(99)00115-2</t>
  </si>
  <si>
    <t>WOS:000084565300005</t>
  </si>
  <si>
    <t>The Chilean historical novel within the framework of the study of Chilean narrative prose. 1843-1879</t>
  </si>
  <si>
    <t>WOS:000072162100010</t>
  </si>
  <si>
    <t>Interactions of surfactants with isolated and organized polymers.</t>
  </si>
  <si>
    <t>APR 13</t>
  </si>
  <si>
    <t>COLL</t>
  </si>
  <si>
    <t>WOS:A1997WP18502489</t>
  </si>
  <si>
    <t>VILLAGRAN, M; SBRIZ, L; ALVAREZ, M</t>
  </si>
  <si>
    <t>MOSSBAUER AND X-RAY-FLUORESCENCE STUDY OF SEDIMENTS FROM SAMANA BAY, DOMINICAN-REPUBLIC</t>
  </si>
  <si>
    <t>JOURNAL OF RADIOANALYTICAL AND NUCLEAR CHEMISTRY-LETTERS</t>
  </si>
  <si>
    <t>The chemical state of iron in sediments collected from Samana Bay has been determined by Mossbauer spectroscopy. The Mossbauer spectra were composed of two paramagnetic doublets, which correspond to high-spin ferric and ferrous components. Based on the Mossbauer spectra, the possible origin of the different types of sediments are discussed. The mercury contamination calculated from X-ray fluorescence results for some sediments is shown in a comparative form.</t>
  </si>
  <si>
    <t>Alvarez, Moises/0000-0002-5925-1862</t>
  </si>
  <si>
    <t>0236-5731</t>
  </si>
  <si>
    <t>AUG 1</t>
  </si>
  <si>
    <t>10.1007/BF02162497</t>
  </si>
  <si>
    <t>WOS:A1995TA03900003</t>
  </si>
  <si>
    <t>ABUIN, EB; LISSI, EA</t>
  </si>
  <si>
    <t>QUENCHING RATE CONSTANTS IN AQUEOUS-SOLUTION - INFLUENCE OF THE HYDROPHOBIC EFFECT</t>
  </si>
  <si>
    <t>The rate of quenching of aromatic hydrocarbon fluorescence by olefins is extremely dependent upon the solvent, being particularly fast in aqueous solutions. The possibility that this solvent effect is partly due to solvophobic interactions and/or to stabilization of a charge transfer intermediate is discussed. From an analysis of results obtained in several polar solvents, as well as from the effect of temperature and the addition of solutes with ''salting-in'' and ''salting-out'' capacities, it is concluded that the data in aqueous solution are better interpreted in terms of the stabilization afforded to the intermediate stages of the process by a hydrophobic effect arising from the decrease in water-solute interfacial area along the reaction coordinate.</t>
  </si>
  <si>
    <t>1873-2666</t>
  </si>
  <si>
    <t>10.1016/1010-6030(93)85008-V</t>
  </si>
  <si>
    <t>WOS:A1993LE10400008</t>
  </si>
  <si>
    <t>MATUS, IJ; PEREZ, P</t>
  </si>
  <si>
    <t>GENERALIZED LEARNING RULE FOR HIGH-ORDER NEURAL NETWORKS</t>
  </si>
  <si>
    <t>We present a generalized learning rule valid for neurons having membrane potentials with a high-order dependence on the firing rates. The stability of the memorized states is investigated by studying the minima of an energy function. Our estimations of the capacity of memory are in qualitative agreement with results already known from the literature.</t>
  </si>
  <si>
    <t>1094-1622</t>
  </si>
  <si>
    <t>MAY 15</t>
  </si>
  <si>
    <t>10.1103/PhysRevA.43.5683</t>
  </si>
  <si>
    <t>WOS:A1991FN05300053</t>
  </si>
  <si>
    <t>BOUYSSIERES, L; FLORES, C; POBLETE, J; LLAMBIAS, FJG</t>
  </si>
  <si>
    <t>ABOUT THE RELATIVE HYDRODESULFURIZATION ACTIVITY OF CO-MO/GAMMA-AL2O3 AND NI-MO/GAMMA-AL2O3 CATALYSTS</t>
  </si>
  <si>
    <t>APPLIED CATALYSIS</t>
  </si>
  <si>
    <t>0166-9834</t>
  </si>
  <si>
    <t>JUN 16</t>
  </si>
  <si>
    <t>10.1016/S0166-9834(00)81297-X</t>
  </si>
  <si>
    <t>WOS:A1986C951400004</t>
  </si>
  <si>
    <t>ESPARZA, CH</t>
  </si>
  <si>
    <t>PARABOLIC-TRAJECTORY OF A PROJECTILE</t>
  </si>
  <si>
    <t>10.1119/1.2341586</t>
  </si>
  <si>
    <t>WOS:A1984TF16000014</t>
  </si>
  <si>
    <t>ENCINAS, MV; RUBIO, MA; LISSI, EA</t>
  </si>
  <si>
    <t>QUENCHING AND PHOTOBLEACHING OF EXCITED POLYCYCLIC AROMATIC-HYDROCARBONS BY CARBON-TETRACHLORIDE</t>
  </si>
  <si>
    <t>Bajo, Maria/ABF-6991-2020; Encinas, Maria/L-9686-2014</t>
  </si>
  <si>
    <t>10.1016/0047-2670(82)80016-6</t>
  </si>
  <si>
    <t>WOS:A1982NN51200005</t>
  </si>
  <si>
    <t>GAUTIER, JL; CABEZAS, C; BARBATO, S</t>
  </si>
  <si>
    <t>ELECTROCHEMICAL REDUCTION OF MNCO2O4 PREPARED AT HIGH AND LOW-TEMPERATURE</t>
  </si>
  <si>
    <t>10.1016/0013-4686(81)90005-0</t>
  </si>
  <si>
    <t>WOS:A1981MK87500003</t>
  </si>
  <si>
    <t>SELECTIVE PARA-TOLUENESULFONYLATION OF METHYL ALPHA-D-GALACTOPYRANOSIDE</t>
  </si>
  <si>
    <t>10.1016/S0008-6215(00)85664-5</t>
  </si>
  <si>
    <t>WOS:A1980JX58600013</t>
  </si>
  <si>
    <t>2,4-DIMETHYL-3-PENTANONE-SENSITIZED PHOTO-POLYMERIZATION OF VINYL MONOMERS</t>
  </si>
  <si>
    <t>JOURNAL OF POLYMER SCIENCE PART A-POLYMER CHEMISTRY</t>
  </si>
  <si>
    <t>0887-624X</t>
  </si>
  <si>
    <t>10.1002/pol.1979.170170608</t>
  </si>
  <si>
    <t>WOS:A1979GW49300008</t>
  </si>
  <si>
    <t>QUINTANILLA, V</t>
  </si>
  <si>
    <t>PHYTOGEOGRAPHICAL PROFILES OF THE MEDITERRANEAN CHILE</t>
  </si>
  <si>
    <t>WOS:A1979HW63700227</t>
  </si>
  <si>
    <t>Mitsi, C; Echeverría, J</t>
  </si>
  <si>
    <t>Mitsi, Christina; Echeverria, Javier</t>
  </si>
  <si>
    <t>Fermented beverages in prehispanic Chile: a comprehensive review of their phytochemistry, traditional medicinal uses, bioactivity, and social aspects</t>
  </si>
  <si>
    <t>FRONTIERS IN PHARMACOLOGY</t>
  </si>
  <si>
    <t>Background Archaeological, ethnohistorical, and ethnographic evidence supports the ubiquitous use of fermented beverages in prehispanic Chile. Made from a variety of plant raw materials, these beverages have been of special importance regarding many nutritional, medicinal, social, ritual, and religious aspects.Purpose The present review aims to provide a comprehensive review of the interdisciplinary information on traditional Chilean fermented beverages, as well as on the starting materials used for their elaboration.Materials and Methods Anthropological and ethnopharmacological data were collected through literature searches based on archaeological evidence, books from chroniclers and explorers, as well as modern ethnographic testimonies. Literature data on the chemistry and bioactivity of the prehispanic fermented beverages and the raw materials used were mainly retrieved from digital databases such as SciFinder (R), PubMed (R), and Google Scholar (R).Results and Discussion Thirty seven plant raw materials have been used for the elaboration of traditional fermented beverages in prehispanic Chile. Phytochemical and bioactivity data regarding these beverages are rather limited, but a wide spectrum of chemical compounds, health-promoting and disease-preventative effects is reported for the starting materials.Conclusion Despite the lack of scientific evidence on traditional prehispanic fermented beverages of Chile, the plant raw material exhibit promising phytochemical profiles and potential health-promoting and disease-preventative benefits. This review underscores the importance of integrating ethnopharmacological perspectives into modern research endeavors.</t>
  </si>
  <si>
    <t>Echeverría, Javier/AAK-3323-2020</t>
  </si>
  <si>
    <t>Mitsi, Christina/0000-0002-0767-0600</t>
  </si>
  <si>
    <t>1663-9812</t>
  </si>
  <si>
    <t>NOV 21</t>
  </si>
  <si>
    <t>10.3389/fphar.2024.1505873</t>
  </si>
  <si>
    <t>WOS:001370079700001</t>
  </si>
  <si>
    <t>Driven by Clients: A Variant of Clientelism and Its Consequences for Democracy</t>
  </si>
  <si>
    <t>LATIN AMERICAN RESEARCH REVIEW</t>
  </si>
  <si>
    <t>Clientelism is traditionally viewed as a mechanism through which patrons exert control over clients. Drawing on qualitative data from three municipalities in Santiago, Chile, and building on literature that emphasizes client agency, this article explores a variant of clientelism in which clients initiate and enforce clientelistic relationships. The findings suggest that these two forms of clientelism can differently impact a crucial aspect of democracy: horizontal accountability. Client-driven clientelism compels patrons to seek resources for distribution, rendering them susceptible to influence by those who can grant them access to these resources. When patrons are tasked with accountability roles and the resource providers are subject to their oversight (as in the relationship between municipal councilors and mayors), the providers can deter these accountability functions. In contrast, patrons with independent access to resources can better preserve their autonomy.</t>
  </si>
  <si>
    <t>1542-4278</t>
  </si>
  <si>
    <t>2024 NOV 20</t>
  </si>
  <si>
    <t>10.1017/lar.2024.63</t>
  </si>
  <si>
    <t>NOV 2024</t>
  </si>
  <si>
    <t>WOS:001360833400001</t>
  </si>
  <si>
    <t>Urrea, C; Benítez, D</t>
  </si>
  <si>
    <t>Urrea, Claudio; Benitez, David</t>
  </si>
  <si>
    <t>Optimizing IIoT Performance: Intelligent Selection of SDN Controllers through AHP Analysis</t>
  </si>
  <si>
    <t>INTERNATIONAL JOURNAL OF INTELLIGENT SYSTEMS</t>
  </si>
  <si>
    <t>This article deals with the use of software-defined networking (SDN) in the Industrial Internet of Things (IIoT). The use of SDN in IIoT can solve the limitations presented by traditional networks in order to guarantee quality of service (QoS) for new applications. The approach of this work centers on the selection of an SDN controller that satisfies the requirements for the networks of IIoT. Selection is based on the characteristics of the SDN controllers and employs the analytic hierarchy process (AHP). From the review conducted, and as a result of the work, the group of the current best SDN controllers for IIoT is identified, which is a part of the subsequent selection process. Another contribution of this study is that it defines the criteria for comparing these controllers and selecting the most suitable one for this type of application. The established criteria and the employed quantification method via AHP enrich the decision-making process, providing a replicable model for future selections. The objectives and criteria established can be useful for other SDN selection processes to be used in scenarios where delay, jitter, and packet loss are key parameters to consider. This nuanced approach, accommodating both theoretical frameworks and empirical observations, offers an advancement in the strategic deployment of SDN within IIoT environments.</t>
  </si>
  <si>
    <t>0884-8173</t>
  </si>
  <si>
    <t>1098-111X</t>
  </si>
  <si>
    <t>JUN 27</t>
  </si>
  <si>
    <t>10.1155/2024/7908506</t>
  </si>
  <si>
    <t>WOS:001263632800001</t>
  </si>
  <si>
    <t>Vilches, NSR; Pizarro, JO</t>
  </si>
  <si>
    <t>Vilches, Natalie Sofia Rojas; Pizarro, Javier Oyarce</t>
  </si>
  <si>
    <t>Feminization of society through the student movement: A dormant process</t>
  </si>
  <si>
    <t>PUNTO GENERO</t>
  </si>
  <si>
    <t>The feministization of social movements and the political sphere in Chile, because of the impact of Feminist May, marks the beginning of a new cycle for social movements. This article addresses the feminist transformation of Chilean society because of the May 2018 mobilization. This phenomenon originated by encouraging self-criticism within the university student movement, questioning its role as a catalyst of social struggles, accusing it of perpetuating and protecting gender violence in the field of student politics. This reflection subsequently spread to female professors, civil servants and, finally, to Chilean society. This article concludes that the feministization process experienced by the student movement spread to other social movements, as well as to institutionalized political forces.</t>
  </si>
  <si>
    <t>0719-0417</t>
  </si>
  <si>
    <t>10.5354/2735-7473.2024.75186</t>
  </si>
  <si>
    <t>WOS:001266117000012</t>
  </si>
  <si>
    <t>Arriagada-Tarifeño, D; Millaquipay, NB; Salazar, MC; Urrejola, JC; Wolf, NCN; Sánchez, IC; Chávez, S; Gómez, B</t>
  </si>
  <si>
    <t>Arriagada-Tarifeno, David; Belmar Millaquipay, Natalia; Cabezas Salazar, Maricel; Ceballos Urrejola, Javiera; No Wolf, Nicole Cede; Cristi Sanchez, Iver; Chavez, Sebastian; Gomez, Britam</t>
  </si>
  <si>
    <t>A Novel Instrumented Test as an Indicator of Sensorimotor Disturbances in the Lumbar Spine of Road Cyclists - Preliminary Results</t>
  </si>
  <si>
    <t>2024 IEEE INTERNATIONAL SYMPOSIUM ON MEDICAL MEASUREMENTS AND APPLICATIONS, MEMEA 2024</t>
  </si>
  <si>
    <t>IEEE International Symposium on Medical Measurements and Applications Proceedings-MeMeA</t>
  </si>
  <si>
    <t>IEEE International Symposium on Medical Measurements and Applications (MeMeA)</t>
  </si>
  <si>
    <t>JUN 26-28, 2024</t>
  </si>
  <si>
    <t>Eindhoven Univ Technol, Eindhoven, NETHERLANDS</t>
  </si>
  <si>
    <t>IEEE,IEEE Instrumentat &amp; Measurement Soc</t>
  </si>
  <si>
    <t>Eindhoven Univ Technol</t>
  </si>
  <si>
    <t>This study examines the lumbar spine sensorimotor responses in recreational road cyclists using the instrumented Flexion-Relaxation (iFR) test, combined with surface electromyography (sEMG) and kinematic analysis through lower-back accelerometry. It aimed to identify sensorimotor alterations in the lumbar spine pre- and post- prolonged cycling (1 hour) due to the maintained spinal flexion position and cyclic movement of the lower extremity that is transmitted to the pelvis. The study involved 10 male cyclists, with a workload maintained between at 50% between the first ventilatory threshold (VT1 - aerobic) and second ventilatory threshold (VT2 - anaerobic) and employing advanced signal processing for data analysis. The methodology included an automatic segmentation of the iFR test using tri-axial accelerometers, and a detailed examination of muscle function through sEMG, with the iFR test revealing specific adaptation patterns and variability among cyclists. Results highlighted significant variations in muscle activity in the iFR extension phase (p - Value &lt; 0.05) among all subjects and individual cases in which myoelectric silence is lost in the phase of maximum flexion after prolonged pedaling, indicating the iFR test's potential as a diagnostic tool for lumbar sensorimotor disturbances. This preliminary research underscores the need for further studies to explore sensorimotor adaptations in cycling, suggesting a broader application of the iFR test in sports science and rehabilitation.</t>
  </si>
  <si>
    <t>Arriagada, David/0000-0003-3540-6345; Chavez Orellana, Sebastian/0009-0009-9853-9963</t>
  </si>
  <si>
    <t>979-8-3503-0800-6; 979-8-3503-0799-3</t>
  </si>
  <si>
    <t>10.1109/MEMEA60663.2024.10596716</t>
  </si>
  <si>
    <t>WOS:001292762200010</t>
  </si>
  <si>
    <t>Bachelet, VC; Silva-Ayarza, I; Navarrete, MS</t>
  </si>
  <si>
    <t>Bachelet, Vivienne C.; Silva-Ayarza, Ignacio; Navarrete, Maria S.</t>
  </si>
  <si>
    <t>SARS-CoV-2 humoral immune response in patients with cardiovascular risk factors: The COmmunity Cohort Study</t>
  </si>
  <si>
    <t>Based on the recommendations of the Vaccine Advisory Committee and the National Immunization Program, Chile implemented an early vaccination process of the population with vaccines from different laboratories. The study of neutralizing antibody levels in different population subgroups contributes to the establishment of correlates of protection against SARS-CoV-2 infection. In 2022 and 2023 we set up a community cohort of 914 adults with cardiovascular risk factors. In this cohort we are measuring the humoral immune response to exposure to SARS-CoV-2 antigens, either by vaccines or infection, as well as the incidence of COVID-19 and other adverse events. This cohort, which we call The COmmunity Cohort, is providing us with valuable information on the levels of neutralizing antibodies in these individuals and their degree of protection against COVID-19.</t>
  </si>
  <si>
    <t>Bachelet, Vivienne/JAN-7158-2023; NAVARRETE, MARISOL/AAG-4222-2020; Silva Ayarza, Ignacio/KYQ-4699-2024</t>
  </si>
  <si>
    <t>Silva Ayarza, Ignacio/0000-0002-6996-3695; Bachelet, Vivienne C./0000-0002-5715-9755; Navarrete, Maria S/0000-0002-5411-4498</t>
  </si>
  <si>
    <t>e2787</t>
  </si>
  <si>
    <t>10.5867/medwave.2023.11.2787</t>
  </si>
  <si>
    <t>WOS:001144648300001</t>
  </si>
  <si>
    <t>Fediakova, E; Santoni, A; Lacoste, P</t>
  </si>
  <si>
    <t>Fediakova, Evguenia; Santoni, Alessandro; Lacoste, Pablo</t>
  </si>
  <si>
    <t>Cold War in Chilean agriculture: Allende's agrarian reform from the Soviet perspective (1970-1973)</t>
  </si>
  <si>
    <t>This paper addresses Salvador Allende's government Agrarian Reform, placing it within the context of the Cold War and focusing on how the Chilean left initiatives in agriculture were perceived by what was a natural ally for the Popular Unity's government: the Soviet Union (USSR). Based on archival documentation in which Soviet diplomats, analysts and intelligence agents analyze the process and the political debates that it generated, the work emphasizes the extremely critical diagnosis that they issued regarding the results of the Reform and its negative effects for the government's relations with the peasantry and the middle class. Such conclusions shed light on some of the main practical and ideological limitations that characterized, from the point of view of the USSR, the Chilean Revolution.</t>
  </si>
  <si>
    <t>10.53689/ea.v16i1.220</t>
  </si>
  <si>
    <t>WOS:001290259300002</t>
  </si>
  <si>
    <t>Figueroa-Rubio, P</t>
  </si>
  <si>
    <t>Figueroa-Rubio, Pamela</t>
  </si>
  <si>
    <t>The Contributions of Political Science to Processes of Institutional Political Change: The Case of Chile</t>
  </si>
  <si>
    <t>POLITICA Y SOCIEDAD</t>
  </si>
  <si>
    <t>This article examines the role of political scientists in the process of political change in Chile, considering the political reforms implemented between 2006 and 2020. Chile has stood out in comparative studies as a stable democracy, but since the 2010s the political system has been affected by a crisis of legitimacy and trust. The response to this crisis has been a path of legal reforms, and three attempts at constitutional change since 2016 to date. Throughout this process of political change, expert knowledge has been highly valued, and political scientists have been called upon to contribute their own knowledge and vision. This coincides with the consolidation of political science as a discipline since the 2000s. Thus, for the study of the contributions of political science to society, three indicators are considered: positioning, degree of influence and prestige, which will be applied to three cases: the design of the reform of the electoral system in 2006, the political reforms in 2014, and the constituent process and the innovation of the election of a parity constituent body in 2020.</t>
  </si>
  <si>
    <t>1130-8001</t>
  </si>
  <si>
    <t>1988-3129</t>
  </si>
  <si>
    <t>e87859</t>
  </si>
  <si>
    <t>10.5209/poso.87859</t>
  </si>
  <si>
    <t>WOS:001218441000002</t>
  </si>
  <si>
    <t>Montilla, FC</t>
  </si>
  <si>
    <t>Montilla, Franklim Colletti</t>
  </si>
  <si>
    <t>REFLECTIONS FOR THE STUDY OF INTERNATIONAL RELATIONS FROM LATIN AMERICA IN THE PERIOD (1930-1950)</t>
  </si>
  <si>
    <t>The study of International Relations is a process in which, with the passage of time, the state-centric vision has been overcome, adding new units of observation and thus enriching the academic discussion. The Canon-Countercanon debate is preceded by different debates within canonical theories and from which important contributions to the study of the discipline were born. The canonical debates injected new visions, questions and answers, which significantly enriched the discipline. Investigating the international relations of Latin America from Latin America is a reflective exercise that requires not only the management of canonical and non-canonical international theories but also the incorporation of historical studies and other social sciences. The period 1930-1960 is framed between the first and second debate of the theory of international relations and the period is divided with a World War whose beginning apparently confirms the realist thesis based on the power and prestige of nations but whose end in the Praxis feeds on the idealist thesis of an institutionalist peace. Faced with this problem, we propose to approach the studies of this era from the category of proto-neorealism analysis in which the power and prestige of nations in the basic unit of analysis is the State, but not the only one.</t>
  </si>
  <si>
    <t>WOS:001146602200004</t>
  </si>
  <si>
    <t>Díaz, A; Kaschel, H</t>
  </si>
  <si>
    <t>Diaz, Alvaro; Kaschel, Hector</t>
  </si>
  <si>
    <t>Scalable Electronic Health Record Management System Using a Dual-Channel Blockchain Hyperledger Fabric</t>
  </si>
  <si>
    <t>SYSTEMS</t>
  </si>
  <si>
    <t>Communication and information technologies have accelerated the implementation of electronic medical records, but at the same time, have put patient privacy, information security and health data at risk. An alternative to address the problem of security and privacy of medical data is the use of blockchain. Scalability has become one of the biggest challenges facing the development of blockchain-based electronic health records (EHRs). The purpose of this article is to implement and test a scalable blockchain-based EHR management system. For this reason, we present a scalable blockchain-based EHR management architecture. In this paper, we propose an EHR management model based on entities and user roles, adapt, and then implement with Hyperledger Fabric in a two-channel configuration. We develop a prototype in Fabric using a one-and two-channel configuration. We then designed and conducted an experiment to verify the performance of the proposed scheme in terms of scalability improvement. This scalable blockchain-based EHR management solution, such as the Hyperledger Fabric platform, offers a viable alternative to address scalability issues, as well as to protect patient's privacy and the security of their medical data.</t>
  </si>
  <si>
    <t>2079-8954</t>
  </si>
  <si>
    <t>10.3390/systems11070346</t>
  </si>
  <si>
    <t>WOS:001038834300001</t>
  </si>
  <si>
    <t>Kossack, C; Fuentes, N; Maisey, K</t>
  </si>
  <si>
    <t>Kossack, C.; Fuentes, N.; Maisey, K.</t>
  </si>
  <si>
    <t>In silico prediction of B and T cell epitopes of infectious salmon anemia virus proteins and molecular modeling of T cell epitopes to salmon major histocompatibility complex (MHC) class I</t>
  </si>
  <si>
    <t>Infectious salmon anemia (ISA) can be devastating in farmed Atlantic salmon (Salmo salar). The disease can evolve into epidemics if it is not contained and controlled. ISA epidemics were seen in Norway in the early 1990s and Chile in 2007-2009.Consequently, there is an urgent need to develop a vaccine to prevent or treat the infection. In this study, an immunoinformatic approach was employed to predict 32 lineal B-cell epitopes based on antigenicity and surface accessibility prediction for ISAV fusion (F), hemagglutinin-esterase (HE), and matrix (M) proteins. On the other hand, twelve conformational B-cell epitopes were also predicted.We further identified six antigenic cytotoxic T lymphocyte (CTL) epitopes and investigated the binding in-teractions with five salmon MHC-I proteins after docking the peptides to the binding groove of the MHC-I proteins. Our results showed that all the predicted epitopes could bind to salmon MHC-I with high negative Delta G values with medium to high binding affinities. Hence, the predicted epitopes have a high potential of being recognized by Atlantic salmon MHC-I to elicit a CD8+ T cell response in salmon. The predicted and analyzed B and T cell antigenic epitopes in this work might present an initial set of peptides for future vaccine development against ISAV.The ability to model and predict these interactions will ultimately lead to the ability to predict potential binding for MHCs and epitopes that were not studied previously. As current knowledge of salmon MHC speci-ficity is limited, studying and modeling interactions in the peptide/MHC complex is a key to resolving unknown epitope specificity.</t>
  </si>
  <si>
    <t>Fuentes, Natalia/KIG-8791-2024; Maisey, Kevin/AAP-2886-2021</t>
  </si>
  <si>
    <t>10.1016/j.fsi.2022.08.002</t>
  </si>
  <si>
    <t>WOS:000879254700006</t>
  </si>
  <si>
    <t>A Bibliometric Analysis of Research on Selenium in Drinking Water during the 1990-2021 Period: Treatment Options for Selenium Removal</t>
  </si>
  <si>
    <t>INTERNATIONAL JOURNAL OF ENVIRONMENTAL RESEARCH AND PUBLIC HEALTH</t>
  </si>
  <si>
    <t>A bibliometric analysis based on the Scopus database was carried out to summarize the global research related to selenium in drinking water from 1990 to 2021 and identify the quantitative characteristics of the research in this period. The results from the analysis revealed that the number of accumulated publications followed a quadratic growth, which confirmed the relevance this research topic is gaining during the last years. High research efforts have been invested to define safe selenium content in drinking water, since the insufficient or excessive intake of selenium and the corresponding effects on human health are only separated by a narrow margin. Some important research features of the four main technologies most frequently used to remove selenium from drinking water (coagulation, flocculation and precipitation followed by filtration; adsorption and ion exchange; membrane-based processes and biological treatments) were compiled in this work. Although the search of technological options to remove selenium from drinking water is less intensive than the search of solutions to reduce and eliminate the presence of other pollutants, adsorption was the alternative that has received the most attention according to the research trends during the studied period, followed by membrane technologies, while biological methods require further research efforts to promote their implementation.</t>
  </si>
  <si>
    <t>1660-4601</t>
  </si>
  <si>
    <t>10.3390/ijerph19105834</t>
  </si>
  <si>
    <t>WOS:000801776000001</t>
  </si>
  <si>
    <t>Pina, JC; Guzmán, CF; Yanez, SJ; García-Herrera, CM; Gonzalez, AAH; Medel, GAP; Flores, EIS</t>
  </si>
  <si>
    <t>Carlos Pina, Juan; Felipe Guzman, Carlos; Yanez, Sergio J.; Garcia-Herrera, Claudio M.; Herrera Gonzalez, Alvaro A.; Palma Medel, Gabriel A.; Saavedra Flores, Erick, I</t>
  </si>
  <si>
    <t>Experimental study on the short-term stress relaxation response of Chilean radiata pine</t>
  </si>
  <si>
    <t>WOOD SCIENCE AND TECHNOLOGY</t>
  </si>
  <si>
    <t>In recent years, there has been an increasing interest of engineers and architects in the use of timber in the construction sector. This worldwide trend can be mainly attributed to the reduced environmental impact of building with timber, its high strength-to-weight ratio and its renewable material nature. Nevertheless, in spite of the advantages of building with timber, one of its major disadvantages is its timedependent structural response. For instance, typical floors and beams made of timber may show decreasing stress levels under constant deformation over time. This phenomenon is known as stress relaxation and can also be affected heavily by environmental factors, such as temperature and moisture changes. This has inevitably led to discourage the use of timber in the construction industry. Due to the relevance of this subject, the present paper addresses the stress relaxation phenomenon in timber specimens subjected to three-point bending loads. In particular, radiata pine species is chosen for this investigation given its popularity as a building material in countries like Australia, Chile, Spain and New Zealand, among others. To investigate experimentally the influence of temperature and relative humidity on the stress relaxation at different deformation states, an environmental chamber was built. The stress relaxation is assessed indirectly by monitoring the relaxation of the load required to maintain the amount of deformation fixed in time inside the environmental test chamber. The experimental results show that within a period of 7 days, the percentage of load relaxation may reach a value of 35% approximately, for a fixed relative humidity of 60% and constant temperature of 27 degrees C. The present experimental results provide further insight into the time-dependent mechanisms of timber which are still not well-understood, and particularly of those structures made of radiata pine grown in Chile on which only limited experimental data has been reported to date.</t>
  </si>
  <si>
    <t>Alonso, Álvaro/AAO-5941-2020; García-Herrera, Claudio/ABE-8991-2020; Flores, Erick/I-7646-2012; Pina, Juan/AAC-3455-2021; Yanez, Sergio/G-5230-2019; Guzman, Carlos Felipe/D-7722-2013</t>
  </si>
  <si>
    <t>Guzman, Carlos Felipe/0000-0002-5537-3854; Yanez, Sergio/0000-0002-8856-0955; Pina, Juan Carlos/0000-0003-2556-3638</t>
  </si>
  <si>
    <t>0043-7719</t>
  </si>
  <si>
    <t>1432-5225</t>
  </si>
  <si>
    <t>10.1007/s00226-022-01380-3</t>
  </si>
  <si>
    <t>WOS:000783691700002</t>
  </si>
  <si>
    <t>Henríquez, EC</t>
  </si>
  <si>
    <t>Castro Henriquez, Eduardo</t>
  </si>
  <si>
    <t>Metabolic Stone assessment: Underused tool and how to implement it on daily practice</t>
  </si>
  <si>
    <t>ARCHIVOS ESPANOLES DE UROLOGIA</t>
  </si>
  <si>
    <t>Nephrolithiasis is a highly prevalent disease presenting itself mostly at a working age, which leads to a great economic burden on health system. Kidney Stone disease should be viewed as a systemic disorder, associated with or predictive of hypertension, insulin resistance, chronic kidney disease and cardiovascular damage. According to current guidelines and evidence, a full screening of risk factors for kidney stones and for cardiovascular damage should be recommended in all cases of kidney stone disease, yet it is rarely performed, and a real-world clinical practice is lacking. The aim of this narrative literature is to serve as guidance for a patient-tailored dietary suggestion after a clinical and biochemistry evaluation, with limited resources, and still offer a rational management of kidney stone patients. Meta-analysis, systematic review, experimental studies, case-control plus high-impact factor journals PubMed and EMBASE, on the topic were included. Search criteria included metabolic profile, metabolic work-up, kidney stone, urolithiasis between 2010 and 2020.</t>
  </si>
  <si>
    <t>0004-0614</t>
  </si>
  <si>
    <t>1576-8260</t>
  </si>
  <si>
    <t>10.37554/es-20210422-3447-14</t>
  </si>
  <si>
    <t>WOS:000714392600003</t>
  </si>
  <si>
    <t>Presentation Dossier Conflictivity and political violence in Latin America (20th-21st centuries)</t>
  </si>
  <si>
    <t>HISTORIA CARIBE</t>
  </si>
  <si>
    <t>0122-8803</t>
  </si>
  <si>
    <t>2322-6889</t>
  </si>
  <si>
    <t>10.15648/hc.39.2021.2950</t>
  </si>
  <si>
    <t>WOS:000756721200002</t>
  </si>
  <si>
    <t>Lacoste, P; Aguilera, GR</t>
  </si>
  <si>
    <t>Lacoste, Pablo; Rojas Aguilera, Gonzalo</t>
  </si>
  <si>
    <t>PATRIMONIAL VINEYARDS AND WINES OF CHILE THROUGH THE SATIRICAL MAGAZINE TOPAZE, 1931-1970</t>
  </si>
  <si>
    <t>REVISTA ESTUDIOS HEMISFERICOS Y POLARES</t>
  </si>
  <si>
    <t>The boom cycle of Chilean vineyards and heritage wines is examined through the satirical magazine Topaze (1931-1970). This political magazine was published in the period in which the patrimonial viticulture of Chile was in its high cycle, both due to the high consumption of the domestic market (50 liters per capita) and the extension of its vineyards (50 hectares), figures much higher than the current ones (14 liters and 15 thousand hectares respectively). It is detected that that apogee was related to the high popular valuation of wine as a drink of social integration, and not of distinction or status, within the framework of the boom in marketing methods that were not controlled by large companies or their brands. On the contrary, the wine was distributed and sold loose, in traditional returnable containers (chuicos). Topaze magazine made visible and valued the symbols of traditional wine drinks, such as wine and chicha, and their symbolic containers such as chuicos and cachos. The legal prohibition of the sale of loose wine, from the amendment to the wine law (1968), and the disappearance of communication media such as Topaze, sensitized to the cultural dimension of wine, contributed to the decline in the popular dimension of wine in Chile, the fall of the domestic market and the decline in heritage vineyards.</t>
  </si>
  <si>
    <t>0718-9230</t>
  </si>
  <si>
    <t>WOS:000719345900003</t>
  </si>
  <si>
    <t>Velásquez, E; Espinoza, S; Valenzuela, X; Garrido, L; Galotto, MJ; Guarda, A; de Dicastillo, CL</t>
  </si>
  <si>
    <t>Velasquez, Eliezer; Espinoza, Sebastian; Valenzuela, Ximena; Garrido, Luan; Galotto, Maria Jose; Guarda, Abel; Lopez de Dicastillo, Carol</t>
  </si>
  <si>
    <t>Effect of Organic Modifier Types on the Physical-Mechanical Properties and Overall Migration of Post-Consumer Polypropylene/Clay Nanocomposites for Food Packaging</t>
  </si>
  <si>
    <t>POLYMERS</t>
  </si>
  <si>
    <t>The deterioration of the physical-mechanical properties and loss of the chemical safety of plastics after consumption are topics of concern for food packaging applications. Incorporating nanoclays is an alternative to improve the performance of recycled plastics. However, properties and overall migration from polymer/clay nanocomposites to food require to be evaluated case-by-case. This work aimed to investigate the effect of organic modifier types of clays on the structural, thermal and mechanical properties and the overall migration of nanocomposites based on 50/50 virgin and recycled post-consumer polypropylene blend (VPP/RPP) and organoclays for food packaging applications. The clay with the most hydrophobic organic modifier caused higher thermal stability of the nanocomposites and greater intercalation of polypropylene between clay mineral layers but increased the overall migration to a fatty food simulant. This migration value was higher from the 50/50 VPP/RPP film than from VPP. Nonetheless, clays reduced the migration and even more when the clay had greater hydrophilicity because of lower interactions between the nanocomposite and the fatty simulant. Conversely, nanocomposites and VPP/RPP control films exhibited low migration values in the acid and non-acid food simulants. Regarding tensile parameters, elongation at break values of PP film significantly increased with RPP addition, but the incorporation of organoclays reduced its ductility to values closer to the VPP.</t>
  </si>
  <si>
    <t>Lopez-de-Dicastillo, Carol/C-6347-2019</t>
  </si>
  <si>
    <t>Lopez-de-Dicastillo, Carol/0000-0003-0067-9765; VELASQUEZ, ELIEZER/0000-0001-8858-8926</t>
  </si>
  <si>
    <t>2073-4360</t>
  </si>
  <si>
    <t>10.3390/polym13091502</t>
  </si>
  <si>
    <t>WOS:000650705600001</t>
  </si>
  <si>
    <t>Pichón, CG</t>
  </si>
  <si>
    <t>Alister, C; Cuadra, X; Julian-Vejar, D; Pantel, B; Ponce, C</t>
  </si>
  <si>
    <t>Godoy Pichon, Camilo</t>
  </si>
  <si>
    <t>Autonomy and articulation as organizational problems in the face of forestry expansion in the Province of Arauco, Chile</t>
  </si>
  <si>
    <t>CUESTIONAMIENTOS AL MODELO EXTRACTIVISTA NEOLIBERAL DESDE EL SUR: Capitalismo, Territorios y Resistencias</t>
  </si>
  <si>
    <t>978-956-6095-31-6</t>
  </si>
  <si>
    <t>10.26448/ae9789566095316.18</t>
  </si>
  <si>
    <t>WOS:000762354000029</t>
  </si>
  <si>
    <t>Is the Reactivity a Political Imperative? Historical Transformations of the Temporalities in Chilean New smaking</t>
  </si>
  <si>
    <t>In this essay, journalistic reactivity is considered as the practical and discursive capacity that journalists have to act quickly in response to the environment. This idea allows us to better understand the historical diversity of mediatization practices and the temporal displacement between the event and the news. A conceptual overview is then made on the journalistic temporalities in order to trace the idea of reactivity and its diachronic transformations in newsmaking. In order to question the political dimension of these transformations, a genealogical perspective is proposed that encompasses a multitude of hybrid media gestures, without following chronology, given that these articulate anachronisms, continuities and innovations.</t>
  </si>
  <si>
    <t>WOS:000729698700015</t>
  </si>
  <si>
    <t>EFRAIN BARQUERO: POET OF MEMORY AND SOLIDARITY</t>
  </si>
  <si>
    <t>WOS:000746905300015</t>
  </si>
  <si>
    <t>Barahona, CM; Aravena, CR</t>
  </si>
  <si>
    <t>Moyano Barahona, Cristina; Rivera Aravena, Carla</t>
  </si>
  <si>
    <t>Disputing the political. The Left and the Mass Policy Press in Chile, 1950-1989</t>
  </si>
  <si>
    <t>The following article analyzes the journalistic production of the left between 1950 and 1989, to give an account of the processes of transformation of political practices that affect public opinion. From 1950 until 1973, left-wing parties produced newspapers and magazines in an attempt to dispute the political domain using different journalistic strategies. From 1977, the political left regained different journalistic strategies that had been used prior to 1973, changing formats and contents in their publications, expressing their own tensions and reformulations to delineate the domain of the political, during a period where the re-legitimation of politics was key to defining Chile's future democracy.</t>
  </si>
  <si>
    <t>WOS:000583662500014</t>
  </si>
  <si>
    <t>Hrepic, FA</t>
  </si>
  <si>
    <t>Aracena Hrepic, Felipe</t>
  </si>
  <si>
    <t>The progressive leopardism and the neoextractivism: the cases of Argentina, Bolivia and Chile in the context of the commodities boom</t>
  </si>
  <si>
    <t>In the beginning, the self-proclaimed progressive governments in the Latin America of the 21st century declared their wish to modify the production model and jump off post-neoliberalism. This meant step away the extractivist primary commodity exports model and implement strategies for economic diversification. These measures would have as direct consequence decreasing socio-environmental conflicts in the territories. Shortly, the governments that took this ideological turn presented a paradox expressed not only continuing the primary commodity exports model, but deepening it. This led to a selective neo-extractivism, which as consequence brought high levels of environmental conflict in the territories. The aim of this article is to characterize the progressivism in Argentina, Bolivia and Chile, focusing on their extractive processes. The hypothesis proposes that during the progressive governments, socioenvironmental conflicts increased in the three cases. Methodologically, bibliographic discussion was chosen to characterize the progressivism as well as the design of a data analysis matrix based on those socioenvironmental conflicts related to mining, before and after the progressive governments of the three countries analyzed between the years 2001 and 2013.</t>
  </si>
  <si>
    <t>WOS:000629183500001</t>
  </si>
  <si>
    <t>NATIONALISM-COLONY</t>
  </si>
  <si>
    <t>WOS:000608865900038</t>
  </si>
  <si>
    <t>Chilean Transition to democracy. The historical time of the plebiscitary event between 1987-1988</t>
  </si>
  <si>
    <t>The main objective of this article is to recover the immediate historicity of the categories of consensus, pact and agreement during the years 1987-1989, placing special emphasis on three elements: a) the policies of failed alliances; b) the meaning constructed by some intellectuals of the opposition to the military dictatorship and c) the situated receptions of the transition processes from other latitudes, particularly that of Spain. With the above, it seeks to investigate the horizons of possibilities of the present-past and through there, rethink the complexities of a time of high uncertainty, forgotten in the present criticisms of the Transition carried out, which decontextualizes the meaning of the substantial categories that guided the imaginary of the process.</t>
  </si>
  <si>
    <t>WOS:000614864700012</t>
  </si>
  <si>
    <t>Moreno, AM</t>
  </si>
  <si>
    <t>Munoz Moreno, Armando</t>
  </si>
  <si>
    <t>State Communication: approach to an epistemological proposal.</t>
  </si>
  <si>
    <t>This article emphasizes the importance of State communication in terms of the common good of citizens in the context of a democratic and participatory society. However, the communication that the State has to carry out must be based on epistemic principles that allow giving rigour to the communicative processes in function to the demands that the Political Constitution demands to him to the Chilean State. This is a preliminary proposal for an epistemological approach for state communication, which examines certain theories and forms of communication advanced from personal communication to strategic and its ethical dimension.</t>
  </si>
  <si>
    <t>WOS:000608874800003</t>
  </si>
  <si>
    <t>Contreras, F; Chavez, H; Barbosa, K</t>
  </si>
  <si>
    <t>Contreras, Franco; Chavez, Hector; Barbosa, Karina</t>
  </si>
  <si>
    <t>Limitations on Primary Frequency Control Adequacy Constraints in the Economic Dispatch</t>
  </si>
  <si>
    <t>The integration of renewable energy has reduced the ability of power systems to maintain primary control adequacy, leading to formulations that represent such an adequacy in the economy dispatch. It can be seen that the various approaches rely on sufficient condition to guarantee adequacy, while sufficient and necessary condition are not yet proposed. It is not then clear if the sufficient conditions are far from being necessary, or if they represent a significant impact on the economic decision. This work explores different conditions to understand the impacts sufficient but not necessary condition of Frequency Control Adequacy Constraints on the Economic dispatch, by simulating both the dynamics of frequency control and the optimization problem behind economic dispatch. An illustrative case is presented.</t>
  </si>
  <si>
    <t>Barbosa, Karina/A-2236-2014</t>
  </si>
  <si>
    <t>WOS:000542919100147</t>
  </si>
  <si>
    <t>Guajardo, J; Chavez, H; Acevedo, M</t>
  </si>
  <si>
    <t>Guajardo, Javiera; Chavez, Hector; Acevedo, Manuel</t>
  </si>
  <si>
    <t>BESS for Energy Arbitrage and Ancillary Services: The Case of Chile</t>
  </si>
  <si>
    <t>The contribution of Battery Energy Storage System (BESS) to power system operation is currently widely accepted. Aspects such as fast response has an important impact on system adequacy. However, it is not clear if BESS arc economically sustainable, given the high investment costs and the various regulatory frameworks in different countries. This work presents a detailed analysis on the particular case of Chile to understand BESS economic opportunities. In particular, energy arbitrage and ancillary services are considered.</t>
  </si>
  <si>
    <t>10.1109/chilecon47746.2019.8986862</t>
  </si>
  <si>
    <t>WOS:000542919100006</t>
  </si>
  <si>
    <t>Mera-Adasme, R; Domínguez, M</t>
  </si>
  <si>
    <t>Mera-Adasme, Raul; Dominguez, Moises</t>
  </si>
  <si>
    <t>A computationally-derived model for the solvatochromism of p-phenolates with high predictive power</t>
  </si>
  <si>
    <t>We report that the positive, reverse or negative solvatochromism of p-phenolate-based dyes is highly correlated with the multireferential (MR) character of their ground-state wave function, with negative compounds presenting the highest degeneracy. CASSCF/NEVPT2 calculations show that the high MR character of the wave-function in negative dyes allows those systems to increase the dipole moment of the ground state by breaking the degeneracy as a response to the field of a polar solvent. The resulting stabilization of the ground-state with increasing solvent polarity leads to the observed negative solvatochromic behavior. A computational indicator based on our results has been successfully used for determining the direction of the solvatochromic shift of 24 dyes. Thus, our work sheds light on the physical-chemical basis for solvatochromism while providing experimental chemists with a practical tool for the design of novel negative, positive or reverse solvatochromic dyes.</t>
  </si>
  <si>
    <t>Domínguez, Moisés/P-2227-2019; Mendizabal, Fernando/M-3408-2014</t>
  </si>
  <si>
    <t>Dominguez, Moises/0000-0002-8444-3065</t>
  </si>
  <si>
    <t>JUL 14</t>
  </si>
  <si>
    <t>10.1039/c8cp02424c</t>
  </si>
  <si>
    <t>WOS:000437473300061</t>
  </si>
  <si>
    <t>Aguila, VB; Vasco, DA; Galvez, PP; Zapata, PA</t>
  </si>
  <si>
    <t>Aguila, Bastian, V; Vasco, Diego A.; Galvez, Paula P.; Zapata, Paula A.</t>
  </si>
  <si>
    <t>Effect of temperature and CuO-nanoparticle concentration on the thermal conductivity and viscosity of an organic phase-change material</t>
  </si>
  <si>
    <t>The main results of an experimental study of the effect of temperature and nanoparticle concentration on thermal conductivity and viscosity of a nanofluid are shown. The nanofluid was prepared with Octadecane, an alkane hydrocarbon with the chemical formula CH3(CF2)(16)CH3, as a base fluid and 75nm CuO spherical nanoparticles. Since the base fluid is a phase change material (PCM) to be used in thermal storage applications, the engineered nanofluid is referred to as Nano-PCM. Three Nano-PCMs were prepared by the two-step method (2.5% w/v, 5.0% wiv, and 10.0% wiv). In order to increase the stability of the Nano-PCM, the surface of the CuO nanoparticles were modified with Sodium oleate, and it was verified by IR analysis. The modified CuO nanoparticles were dispersed with an ultrasonic horn. The thermal conductivity was measured with a thermal properties analyzer in the temperature range of 30-40 degrees C. The viscosity was measured in the temperature range of 30-55 degrees C. The results for the Nano-PCM showed that thermal conductivity is almost constant in the analyzed temperature range, and the viscosity decreases non-linearly with temperature. With respect to the effect of nanoparticle concentration, both thermal conductivity and viscosity increased with nanoparticle concentration. Thermal conductivity increased up to 9% with respect to the base fluid, and viscosity increased up to 60%, in both cases with increasing concentration. Finally, the viscosity measurements for different deformation rates (30-80 RPM) showed that the addition of nanoparticles modifies the rheological behavior of the base fluid, from a Newtonian to a shear thinning (power-law) non-Newtonian behavior. (C) 2017 Elsevier Ltd. All rights reserved.</t>
  </si>
  <si>
    <t>Vasco, Diego/Y-2934-2019</t>
  </si>
  <si>
    <t>Vasco, Diego Andres/0000-0001-7456-4683; Zapata, Paula Andrea/0000-0003-3361-6226</t>
  </si>
  <si>
    <t>10.1016/j.ijheatmasstransfer.2017.12.106</t>
  </si>
  <si>
    <t>WOS:000424716500086</t>
  </si>
  <si>
    <t>Adasme, P; Soto, I; Seguel, F</t>
  </si>
  <si>
    <t>Younas, M; Awan, I; Ghinea, G; Cid, MC</t>
  </si>
  <si>
    <t>Adasme, Pablo; Soto, Ismael; Seguel, Fabian</t>
  </si>
  <si>
    <t>Finding Degree Constrained k-Cardinality Minimum Spanning Trees for Wireless Sensor Networks</t>
  </si>
  <si>
    <t>MOBILE WEB AND INTELLIGENT INFORMATION SYSTEMS (MOBIWIS 2018)</t>
  </si>
  <si>
    <t>15th International Conference on Mobile Web and Intelligent Information Systems (MobiWIS)</t>
  </si>
  <si>
    <t>AUG 06-08, 2018</t>
  </si>
  <si>
    <t>Barcelona, SPAIN</t>
  </si>
  <si>
    <t>In this paper, we consider the degree constrained k-cardinality minimum spanning tree network problem (k-DCMST). This problem arises as a combination of two classical optimization problems, namely the degree constrained and k-minimum spanning tree problems (Resp. DCMST and k-MST). Let G(V, E) be a connected undirected graph formed with vertex and edge sets V and E, respectively. The DCMST problem asks for a minimum spanning tree where each maximum vertex degree is limited to a certain constant d lower than the cardinality of V minus one whilst the k-MST asks for a minimum spanning sub-tree formed with k nodes chosen from set V. Consequently, the k-DCMST asks for a sub-tree formed with k vertices where each vertex has degree lower than or equal to d. This problem is mainly motivated from the domain of wireless sensor networks where connected backbone sub-tree topologies will be mandatorily required for future technologies in order to connect any network under the internet of things paradigm. Vertex degree constraints arise naturally in order to avoid overloaded nodes in the network. We propose two compact formulations for this problem. More precisely, a Miller-Tucker-Zemlin constrained version and a single flow based formulation that we further strengthen by using the Hand-shaking lemma and with valid inequalities adapted from the DCMST and dominating tree problems. Numerical results are given for complete and disk graph instances for different degree values. Our preliminary numerical results indicate that the flow based model allows one to obtain optimal solutions in less CPU time for most of the instances.</t>
  </si>
  <si>
    <t>Seguel, Fabian/0000-0001-6567-8988; Adasme, Pablo/0000-0003-2500-3294; Soto, Ismael/0000-0002-5501-5651</t>
  </si>
  <si>
    <t>978-3-319-97163-6; 978-3-319-97162-9</t>
  </si>
  <si>
    <t>10.1007/978-3-319-97163-6_5</t>
  </si>
  <si>
    <t>WOS:000492748500005</t>
  </si>
  <si>
    <t>Chacón, M; Noh, SH; Landerretche, J; Jara, JL</t>
  </si>
  <si>
    <t>Heldt, T</t>
  </si>
  <si>
    <t>Chacon, Max; Noh, Sun-Ho; Landerretche, Jean; Jara, Jose L.</t>
  </si>
  <si>
    <t>Comparing Models of Spontaneous Variations, Maneuvers and Indexes to Assess Dynamic Cerebral Autoregulation</t>
  </si>
  <si>
    <t>INTRACRANIAL PRESSURE &amp; NEUROMONITORING XVI</t>
  </si>
  <si>
    <t>Acta Neurochirurgica Supplementum</t>
  </si>
  <si>
    <t>16th International Conference on Intracranial Pressure and Neuromonitoring (ICP)</t>
  </si>
  <si>
    <t>JUN 28-JUL 02, 2016</t>
  </si>
  <si>
    <t>Cambridge, MA</t>
  </si>
  <si>
    <t>Objective: We analyzed the performance of linear and nonlinear models to assess dynamic cerebral autoregulation (dCA) from spontaneous variations in healthy subjects and compared it with the use of two known maneuvers to abruptly change arterial blood pressure (BP): thigh cuffs and sit-to-stand. Materials and methods: Cerebral blood flow velocity and BP were measured simultaneously at rest and while the maneuvers were performed in 20 healthy subjects. To analyze the spontaneous variations, we implemented two types of models using support vector machine (SVM): linear and nonlinear finite impulse response models. The classic autoregulation index (ARI) and the more recently proposed model-free ARI (mfARI) were used as measures of dCA. An ANOVA analysis was applied to compare the different methods and the coefficient of variation was calculated to evaluate their variability. Results: There are differences between indexes, but not between models and maneuvers. The mfARI index with the sit-to-stand maneuver shows the least variability. Conclusions: Support vector machine modeling of spontaneous variation with the mfARI index could be used for the assessment of dCA as an alternative to maneuvers to introduce large BP fluctuations.</t>
  </si>
  <si>
    <t>Jara, JL/J-7254-2015</t>
  </si>
  <si>
    <t>Jara, JL/0000-0002-3348-7017</t>
  </si>
  <si>
    <t>0065-1419</t>
  </si>
  <si>
    <t>2197-8395</t>
  </si>
  <si>
    <t>978-3-319-65798-1; 978-3-319-65797-4</t>
  </si>
  <si>
    <t>10.1007/978-3-319-65798-1_33</t>
  </si>
  <si>
    <t>WOS:000505806100033</t>
  </si>
  <si>
    <t>Olavarría-Gambi, M</t>
  </si>
  <si>
    <t>Public management and organizational reform in a historical perspective: the case of Chile's State reform and public management modernization of 1920s</t>
  </si>
  <si>
    <t>MANAGEMENT &amp; ORGANIZATIONAL HISTORY</t>
  </si>
  <si>
    <t>Applying the documental historical and hermeneutical methods as well as the policy process perspective, this article analyzes why and how the government machinery change. The analysis focuses on the modernization of public management and State reform, which occurred in Chile in the 1920s. It concludes that when dealing with changes in government organization and/or structure, management and organizational studies converge with analysis of policy change, particularly with the policy formulation process. Information on the issue comes from presidential addresses, bills sent to Congress, parliamentary discussions, press clippings, publications of interest groups and academic literature.</t>
  </si>
  <si>
    <t>1744-9359</t>
  </si>
  <si>
    <t>1744-9367</t>
  </si>
  <si>
    <t>10.1080/17449359.2018.1547646</t>
  </si>
  <si>
    <t>WOS:000456794200004</t>
  </si>
  <si>
    <t>Parada, SP; Salas, CB</t>
  </si>
  <si>
    <t>Peredo Parada, Santiago; Barrera Salas, Claudia</t>
  </si>
  <si>
    <t>Project-based learning as vehicular methology for the transition and scale-up of Agroecology</t>
  </si>
  <si>
    <t>The development of skills is required to respond to the challenges demanded by the current agri-food crisis for the training of professionals who will perform in complex and uncertain contexts. The objective of the present work is to establish the potential of Project-Based Learning (AbP) as a vehicular methology for Agroecology transition and scaling up processes. It are presented, in a schematic and summarized way, the central aspects that characterize the agroecological proposal on its sociopolitical dimension and then are describe the main characteristics of the application of the PBL in the undergraduate curricula and permanent (continuing) training of the Department of the Department of Agrarian Management of the Universidad de Santiago de Chile, under the academic responsibility of the Agroecology and Environment Group (GAMA) through the Continuing Education in Agroecology Program (PECA). Results show a potential of the AbP in aspects related to the transition from conventional passive education to active learning, the articulation of the specialty training (in the degree) with the complementary training programs (continuing education), the reduction of the gap produced between the theory and the agroecological praxis, an approach of the university world with the reality and the reconnection between the rural world and the urban world. Finally, it is concluded about the research component of AbP, the management of the teacher and the evaluation of the learning process as aspects that must be adapted for their adequacy and suitability in agro-ecological contexts.</t>
  </si>
  <si>
    <t>WOS:000480327100010</t>
  </si>
  <si>
    <t>Quezada, W</t>
  </si>
  <si>
    <t>Quezada, Wilfredo</t>
  </si>
  <si>
    <t>PHILOSOPHY OF MATHEMATICS AND THE COGNITIVE BASIS OF THE LARGE CARDINALS THEORY</t>
  </si>
  <si>
    <t>In this paper we examine in first place some philosophical implications of P. Maddy's mathematical naturalism as a philosophical account which allows us to overcome the drawbacks associated to both fictionalism and physicalistic realism in philosophy of mathematics. Besides that, the main virtue of that account seems to lie in the solution it provides to the applicability of mathematics problem when rejecting both the indispensability thesis and confirmative holism postulated by Quine. In second place, on the basis of difficulties intrinsic to Maddy's philosophical program, we explore a better motivated naturalistic option -the embodied cognition approach-and suggest that it allows to adequately explain why most of set-theory specialists use to postulate the existence of some large cardinals, in particular, non-constructible sets.</t>
  </si>
  <si>
    <t>WOS:000424545600020</t>
  </si>
  <si>
    <t>Torres, G; Barbosa, KA; Cubillos, F</t>
  </si>
  <si>
    <t>Torres, Gerald; Barbosa, Karina A.; Cubillos, Francisco</t>
  </si>
  <si>
    <t>Non-linear Control Design to Direct Rotary Dryer</t>
  </si>
  <si>
    <t>This paper presents a non-linear control approach to control a direct rotary dryer. The aim is to control the air temperature inside the dryer, in order to dry particles of biological origin, such as fish meal or soy meal. For this purpose a two-stage control technique will be proposed, the first part is a non-linear control based method and second an IMPC control. In order to control the output air temperature, the manipulated variable will be selected at the inlet air temperature. In order to show the efficient of the proposed control approach, simulations will be carried out considering disturbances in the model.</t>
  </si>
  <si>
    <t>Barbosa, Karina A./0000-0001-7183-2662; CUBILLOS, FRANCISCO/0000-0001-7863-4394</t>
  </si>
  <si>
    <t>WOS:000425925000109</t>
  </si>
  <si>
    <t>Urrea, C; Yau, A</t>
  </si>
  <si>
    <t>Kumar, NS; Sangaiah, AK; Arun, M; Anand, S</t>
  </si>
  <si>
    <t>Urrea, Claudio; Yau, Alex</t>
  </si>
  <si>
    <t>Design, Construction, and Programming of a Mobile Robot Controlled by Artificial Vision</t>
  </si>
  <si>
    <t>ADVANCED IMAGE PROCESSING TECHNIQUES AND APPLICATIONS</t>
  </si>
  <si>
    <t>Advances in Computational Intelligence and Robotics (ACIR) Book Series</t>
  </si>
  <si>
    <t>The design, construction and programming of a mobile robot controlled by means of artificial vision, capable of recognizing, grabbing and moving specific objects in a completely autonomous way is presented, together with the conceptual and theoretical-practical grounds for the work. A mechanically robust robot is built and a system is designed, allowing the mobility of two sensors jointly, i.e., artificial vision camera and distance sensor. This makes it possible to improve the range of artificial vision, over approximately 180 degrees, achieving precise positioning of the mobile robot. The artificial vision camera, CMUCam 2, provides the mobile robot with great autonomy thanks to its excellent interaction with its surrounding world. Having a mobile robot like this will allow interesting developments to be made in various areas of mobile robotics.</t>
  </si>
  <si>
    <t>978-1-5225-2054-2; 978-1-5225-2053-5</t>
  </si>
  <si>
    <t>10.4018/978-1-5225-2053-5.ch011</t>
  </si>
  <si>
    <t>10.4018/978-1-5225-2053-5</t>
  </si>
  <si>
    <t>WOS:000411376600013</t>
  </si>
  <si>
    <t>Zuñíga, MAF</t>
  </si>
  <si>
    <t>Figueroa Zuniga, Marcos A.</t>
  </si>
  <si>
    <t>Literary historiography Latin American colonial-contemporary (1973-1993)</t>
  </si>
  <si>
    <t>WOS:000392719900024</t>
  </si>
  <si>
    <t>de Dicastillo, CL; Bustos, F; Guarda, A; Galotto, MJ</t>
  </si>
  <si>
    <t>de Dicastillo, Carol Lopez; Bustos, Fernanda; Guarda, Abel; Jose Galotto, Maria</t>
  </si>
  <si>
    <t>Cross-linked methyl cellulose films with murta fruit extract for antioxidant and antimicrobial active food packaging</t>
  </si>
  <si>
    <t>The use of biopolymers as substitutes for non-degradable traditional plastics is an interesting alternative particularly for short-term applications, such as food packaging. Additionally, active packaging has attracted much attention as an innovative technology for food conservation. Thus, the functionality of biocomposite films based on methyl cellulose (MC) and murta fruit (MU) (Ugni molinae Turcz) extract was studied. Murta fruit is a native Chilean berry and good source of antioxidant and antimicrobial compounds. First, a MU extract with the highest antioxidant ability and polyphenolic content was selected, and active MC films were prepared by casting using glutaraldehyde (GA) to improve their water resistance. The effects of GA concentration and incorporation of MU extract on material properties and antimicrobial and antioxidant activities were examined. The addition of GA greatly decreased swelling index, improved mechanical properties and antioxidant and antimicrobial activities achieved highest potential when GA was added at lowest concentration. (C) 2016 Elsevier Ltd. All rights reserved.</t>
  </si>
  <si>
    <t>Lopez-de-Dicastillo, Carol/0000-0003-0067-9765</t>
  </si>
  <si>
    <t>10.1016/j.foodhyd.2016.03.020</t>
  </si>
  <si>
    <t>WOS:000377304700037</t>
  </si>
  <si>
    <t>Oyanedel, JC</t>
  </si>
  <si>
    <t>Oyanedel, Juan Carlos</t>
  </si>
  <si>
    <t>Confidence in Justice and Police in Latin America: Analysis of the Effects of Criminal Justice Reform (1995-2013)</t>
  </si>
  <si>
    <t>The study analyzes the effect of criminal justice reform in confidence in justice and police in Latin America, since 1995 to 2013. This research question is relevant given the legitimate problems inherited by military governments in the region. In order to answer this question, first, a brief framework about legal system in Latin America is presented. Then, criminal justice reforms are exposed, emphasizing in similarities and difference among the countries in this region. According to these characteristics, a conceptual cluster is proposed, which is include to test the influence of criminal justice reform in confidence in justice and police. After that, a conceptual framework about justice legitimate and procedural justice is presented, which allows to establish the major hypothesis of this study: criminal justice reform leads to higher rates of confidence in justice and police. Using data from Latinobarometer survey (1995-2013), in 18 countries from Latin America, results show that low and medium reach of the reforms are associated with higher rates of confidence, controlling the effect of some possible confounders. Finally, the article discusses the results and emphasizes the relevance of the moderation in the introduction of reforms in justice issues.</t>
  </si>
  <si>
    <t>Oyanedel, Juan/V-2833-2019</t>
  </si>
  <si>
    <t>WOS:000382350500005</t>
  </si>
  <si>
    <t>AMOROUS-RITUAL DIALOGUE WITH THE HILLS</t>
  </si>
  <si>
    <t>WOS:000369348900012</t>
  </si>
  <si>
    <t>Junqueira-Gonçalves, MP; Yáñez, L; Morales, C; Navarro, M; Contreras, RA; Zúñiga, GE</t>
  </si>
  <si>
    <t>Paula Junqueira-Goncalves, Maria; Yanez, Lina; Morales, Carolina; Navarro, Muriel; Contreras, Rodrigo A.; Zuniga, Gustavo E.</t>
  </si>
  <si>
    <t>Isolation and Characterization of Phenolic Compounds and Anthocyanins from Murta (Ugni molinae Turcz.) Fruits. Assessment of Antioxidant and Antibacterial Activity</t>
  </si>
  <si>
    <t>Berry fruit consumption has become important in the promotion of human health, mainly due to their phenolic compounds, which have been associated with protection against different pathologies, as well as antimicrobial and other biological activities. Consequently, there has been a growing interest in identifying natural antioxidants and antimicrobials from these plants. This study aimed to characterize the phenolic chemical composition and anthocyanin profile of murta (Ugni molinae Turcz.) fruit, and to evaluate the antioxidant and antimicrobial activity of its extracts (ethanolic and methanolic). LC/MS of the ethanolic extracts showed the presence of three major compounds: caffeic acid 3-glu, quercetin-3-glu and quercetin, while in the methanolic acid extract they were cyanidin-3-glucoside, pelargonidin-3-arabinose and delphinidin-3-glucoside. The antioxidant activity of ethanolic extracts (DPPH center dot and ORAC assays) was higher than that of methanol acid extracts or purified anthocynins. Furthermore, the methanol acid extract showed an inhibitory activity against the bacteria E. coli and S. typhi similar to that of standard antibiotics. The results suggest that the antioxidant activity of the ethanolic extract is regulated by the high content of phenolic compounds and the fruit's characteristic color is due to the content of pelargonidin-3-arabinose and delphinidin-3-glucoside. The obtained results demonstrated the appreciable antioxidant and antibacterial activities, providing opportunities to explore murta extracts as biopreservatives.</t>
  </si>
  <si>
    <t>Zuñiga, Gustavo/P-8306-2015; Zapater, Carolina/MBH-1744-2025; Contreras, Rodrigo/I-1871-2013</t>
  </si>
  <si>
    <t>Zuniga, Gustavo/0000-0002-8286-9468; Contreras, Rodrigo/0000-0001-9970-3125</t>
  </si>
  <si>
    <t>10.3390/molecules20045698</t>
  </si>
  <si>
    <t>WOS:000354480700027</t>
  </si>
  <si>
    <t>Brower, J</t>
  </si>
  <si>
    <t>Brower B, Jorge</t>
  </si>
  <si>
    <t>Criticism as a determination of sense. Thayer, Willy. Technologies of Criticism. Between Walter Benjamin and Gilles Deleuze</t>
  </si>
  <si>
    <t>WOS:000367962600013</t>
  </si>
  <si>
    <t>Jaña, ML</t>
  </si>
  <si>
    <t>Llorca Jana, Manuel</t>
  </si>
  <si>
    <t>Staying Afloat: Risk and Uncertainty in Spanish Atlantic World Trade, 1760-1820</t>
  </si>
  <si>
    <t>10.1017/S0022216X14000777</t>
  </si>
  <si>
    <t>WOS:000340208700006</t>
  </si>
  <si>
    <t>To be less inside the temple and more in the street: Transformation of evangelical space in Chile, 1990-2012</t>
  </si>
  <si>
    <t>During the last ten years, the Chilean evangelical world has suffered a significant change in its religious space. The temple, as built as a structure, is no longer the main place for prayers and religious development activities, leading to the emergence of other forms of belief's expression, which are not necessarily ecclesiastical. On the one hand, evangelicals and Pentecostals who do not feel represented in the strict and limited world of the church, left it to practice their religion in a different way: participating in interfaith discussion groups, NGOs in social assistance or in centers of political studies. On the other hand, it has decreased the influence of formal religion, emerging extra space for different kind of expressions and ecclesiastical forms of Christianity without religion. The concept of temple has changed the meaning, becoming anywhere a place of worship communication directly between the believer and God. This diversity of evangelical religious spaces has important implications for the relations between Christians and society, political world and university, as well as the evolution of the evangelical and Pentecostal identity.</t>
  </si>
  <si>
    <t>WOS:000209574600004</t>
  </si>
  <si>
    <t>Winkler Müler, MI; Letelier Soto, A</t>
  </si>
  <si>
    <t>Winkler Mueler, Mara Ines; Letelier Soto, Antonio</t>
  </si>
  <si>
    <t>One same deontology for different sciences? Review of national and international guidelines in ethics of scientific research</t>
  </si>
  <si>
    <t>ACTA BIOETHICA</t>
  </si>
  <si>
    <t>A review of legal Chilean norms and international ethical codes about research involving human beings was carried out, through a mix methodology of content analysis, with the purpose of identifying the presence of words associated to psychology, as an intermediate science between biomedicine and social sciences. Finding ethical issues present in both types of norms was looked out to delimit the differences between those associated to biomedical sciences and those to psychology. Results show a scarce presence of norms linked to the particularities of psychology and a limited and poor use of concepts, demonstrating that bioethics, mainly based on biomedical developments, does not respond adequately to the needs for conflict resolution in the research context of psychology.</t>
  </si>
  <si>
    <t>1726-569X</t>
  </si>
  <si>
    <t>10.4067/S1726-569X2014000100009</t>
  </si>
  <si>
    <t>WOS:000344765000009</t>
  </si>
  <si>
    <t>Rezende, MC; Ponce, I; Oñate, R; Almodovar, I; Aliaga, C</t>
  </si>
  <si>
    <t>Caroli Rezende, Marcos; Ponce, Ingrid; Onate, Ruben; Almodovar, Iriux; Aliaga, Carolina</t>
  </si>
  <si>
    <t>Change of mechanism with a change of substituents for a Zincke reaction</t>
  </si>
  <si>
    <t>TETRAHEDRON LETTERS</t>
  </si>
  <si>
    <t>The reaction between N-(2,4-dinitrophenyl)-4-(4-pyridyl)pyridinium chloride and 4-aminothiophenol led to an unexpected displacement of the 2,4-dinitrophenyl group, in contrast with the normal Zincke product formed with other nucleophilic 4-substituted anilines. Evidence for a SET process was obtained from EPR spectra of the reaction mixture. (C) 2014 Elsevier Ltd. All rights reserved.</t>
  </si>
  <si>
    <t>Caroli, Marcos/H-3570-2019; Ponce, Ingrid/L-9679-2014; Aliaga, Carolina/G-6024-2019</t>
  </si>
  <si>
    <t>Aliaga, Carolina/0000-0002-1352-3164; Almodovar, Iriux/0000-0002-0692-0196; Rezende, Marcos/0000-0003-2040-9009; Ponce Hormazabal, Ingrid/0000-0002-3896-9576</t>
  </si>
  <si>
    <t>0040-4039</t>
  </si>
  <si>
    <t>MAY 7</t>
  </si>
  <si>
    <t>10.1016/j.tetlet.2014.03.136</t>
  </si>
  <si>
    <t>WOS:000336115000022</t>
  </si>
  <si>
    <t>Angulo, J; Ortega, R; Martínez, MM; Molina, M; Torres, A</t>
  </si>
  <si>
    <t>Biala, J; Prange, R; Raviv, M</t>
  </si>
  <si>
    <t>Angulo, J.; Ortega, R.; Martinez, M. M.; Molina, M.; Torres, A.</t>
  </si>
  <si>
    <t>Evaluation of Solid and Liquid Soil Organic Amendments for Agronomic Use in Chile</t>
  </si>
  <si>
    <t>I INTERNATIONAL SYMPOSIUM ON ORGANIC MATTER MANAGEMENT AND COMPOST USE IN HORTICULTURE</t>
  </si>
  <si>
    <t>Acta Horticulturae</t>
  </si>
  <si>
    <t>1st International Symposium on Organic Matter Management and Compost Use in Horticulture</t>
  </si>
  <si>
    <t>APR 07, 2011</t>
  </si>
  <si>
    <t>Adelaide, AUSTRALIA</t>
  </si>
  <si>
    <t>Int Soc Hort Sci</t>
  </si>
  <si>
    <t>Given the importance of organic soil amendments and the increase in the use of compost and compost tea in Chilean agriculture, the objective of this study was to measure the quality of amendments commonly used in northern central Chile. A total of five samples of solid (compost and humus) and seven samples of liquid (compost and humus tea) soil amendments were evaluated. Analysis of toxicity, human pathogens, microbiological indicators, and physical-chemical composition were assessed and compared to the Chilean compost quality standard. The presence of soil beneficial microorganisms and biochemical parameters associated with dehydrogenase activity (UDH), urease (UU), acid and alkaline phosphatase (UPac, UPalk), and beta-glucosidase (UBG) were also evaluated. Beneficial microorganisms were present in 90% of all analyzed samples, and high enzymatic activity was detected in solid samples (UBG: 103-347 [mu g p-nitrophenol/h*g], UPac: 761-1470 [mu g p-nitrophenol/h*g], UPalk: 811-2615 [mu g p-nitrophenol/h*g], UU: 151-729 [mu g NH4/h*g], UDH: 122-378 [mu g TFP/24 h*g]). This indicates the potential for active mineralization processes that can contribute to nutrient availability in soils. None of the solid samples met the regulatory limit for organic matter content, indicating deficient compost production processes. One in five of all samples exceeded the threshold for fecal coliforms (&lt;1000 NMP/g or ml). It is indispensable to have adequate control processes in place to ensure food safety along with agronomical benefits when these products are utilized in agriculture.</t>
  </si>
  <si>
    <t>MARTINEZ, MIGUEL/J-8900-2017</t>
  </si>
  <si>
    <t>0567-7572</t>
  </si>
  <si>
    <t>978-94-62610-04-0</t>
  </si>
  <si>
    <t>WOS:000343858400008</t>
  </si>
  <si>
    <t>Reyes, A; Pérez, N; Mahn, A</t>
  </si>
  <si>
    <t>Reyes, A.; Perez, N.; Mahn, A.</t>
  </si>
  <si>
    <t>Determination of Specific Heat and Thermal Conductivity of Loco (Concholepas concholepas)</t>
  </si>
  <si>
    <t>The specific heat and the thermal conductivity of loco slices, a South American mollusk very similar to abalone, were determined at different temperatures and moisture contents. The specific heat values showed a direct proportional increment with moisture content, and to a lesser extent with temperature. A linear model, in terms of temperature and moisture content, was fitted to the experimental data. A good determination coefficient was obtained (94.4%), and then this model could be used for predicting specific heat of loco and other seafood. Thermal conductivities at different moisture contents determined in this work were compared with those predicted by models reported in literature. Significant deviations were observed, showing that the existing models are not suitable for loco. A new correlation is proposed based on our experimental data, which gives a better fit.</t>
  </si>
  <si>
    <t>Perez, Nicolas/LCE-1603-2024</t>
  </si>
  <si>
    <t>10.1007/s11947-011-0698-0</t>
  </si>
  <si>
    <t>WOS:000320695700026</t>
  </si>
  <si>
    <t>Tapia, F; Espíndola, D; Hamm, E; Melo, F</t>
  </si>
  <si>
    <t>Tapia, Franco; Espindola, David; Hamm, Eugenio; Melo, Francisco</t>
  </si>
  <si>
    <t>Effect of packing fraction on shear band formation in a granular material forced by a penetrometer</t>
  </si>
  <si>
    <t>Granular ensembles subjected to confinement forces can reach metastable states that often break down via formation of shear bands for sufficiently high deviatoric stress. In this article we investigate the flow induced in a granular ensemble that is perturbed by a vertically moving finger in a quasiplanar geometry. The flow exhibits spiral-like shear bands and evolves discontinuously in time, in concert with an oscillating penetration force. We characterize the nature of this nucleation-relaxation type process for loose to dense packing fractions. The nucleation dynamics is reasonably well described by a simple Mohr-Coulomb failure criterium in which the friction coefficient is a function of packing fraction. We contrast our findings with the recent work of Gravish et al. [Phys. Rev. Lett. 105, 128301 (2010)]. DOI: 10.1103/PhysRevE.87.014201</t>
  </si>
  <si>
    <t>Melo, Francisco/M-3923-2014; Espindola, DAVID/M-9318-2019; Hamm, Eugenio/A-7927-2013; Tapia, Franco/JFJ-2655-2023</t>
  </si>
  <si>
    <t>Tapia Uribe, Franco/0000-0001-9150-3700; Melo, Francisco Esteban/0000-0001-6818-5476; Espindola, David/0000-0001-6675-9560</t>
  </si>
  <si>
    <t>2470-0045</t>
  </si>
  <si>
    <t>2470-0053</t>
  </si>
  <si>
    <t>JAN 14</t>
  </si>
  <si>
    <t>10.1103/PhysRevE.87.014201</t>
  </si>
  <si>
    <t>WOS:000314152300016</t>
  </si>
  <si>
    <t>Díaz, HA; Córdova, FM</t>
  </si>
  <si>
    <t>Shi, Y; Xi, Y; Wolcott, P; Tian, Y; Li, J; Berg, D; Chen, Z; HerreraViedma, E; Kou, G; Lee, H; Peng, Y; Yu, L</t>
  </si>
  <si>
    <t>Diaz, Hernan A.; Cordova, Felisa M.</t>
  </si>
  <si>
    <t>Harmonic fractals in the brain: transient tuning and synchronic coordination in the quasi-chaotic background of ongoing neural EEG activity</t>
  </si>
  <si>
    <t>FIRST INTERNATIONAL CONFERENCE ON INFORMATION TECHNOLOGY AND QUANTITATIVE MANAGEMENT</t>
  </si>
  <si>
    <t>1st International Conference on Information Technology and Quantitative Management (ITQM)</t>
  </si>
  <si>
    <t>MAY 16-18, 2013</t>
  </si>
  <si>
    <t>Suzhou, PEOPLES R CHINA</t>
  </si>
  <si>
    <t>Int Acad Informat Technol &amp; Quantitat Management,Chinese Acad Sci Res Ctr Fictitious Econ &amp; Data Sci,Univ Chinese Acad Sci, Sch Management,China Singapore Suzhou Ind Pk,China Data Technol (Suzhou) Co Ltd,Xian Jiaotong Liverpool Univ,Chinese Acad Sci, Inst Policy &amp; Management,Univ Nebraska Omaha,Chinese Soc Management Modernizat,Natl Nat Sci Fdn China,China Financial Futures Exchange,Yihaodian Com,Wintek Corp,Footdisc Inc,Emerald</t>
  </si>
  <si>
    <t>Despite the long-time that EEG has been used in neurophysiological characterization of the brain functioning and the diverse methods that has been used to enhance its predictive power, frequency resolution and time dependent description of EEG features, it remain at the level of gross depictions. By mean of collapsing time, through doing a power spectrum analysis, the focus is put on amplitude differences among wide EEG (delta, theta, alpha, beta and gamma) frequency bands or, without any further consideration of the mid- or long-term time course evolution, of the ever changing neural processes of the brain. To try to solve this, we took an exploratory approach that consider both weaknesses of the problem by taking into account, simultaneously, the synchrony of the time course of the EEG signal and the harmonic tuning among single narrow short-time frequency bands along the whole spectrum from 0,5 to 60 Hz. To characterize the neural phenomena in these terms we cleaned and selectively filtered and transformed the EEG signal into music, and used the so-transformed EEG recording to find harmonic fractal elements in it during the execution of a number of exploratory basal and experimental tests in humans. We sustained our search on the fact that EEG signal can be described as a particular type of quasi-predictable noise, also called pink or fractal noise. We looked for detection of specific and transient synchronized and wide tuned elements of EEG brain activity characterized by high self-similarity or high values of statistical autocorrelation expressed in regular shaped associated plots. We found and characterized harmonic fractals coining from EEG of 5 subjects during the execution of three exploratory experimental conditions: basal resting state with eyes open and closed; a cognitive challenge consisting in the execution of an abbreviated version of the Raven visual intelligence test; and during four minutes playing an action video game. Results showed the presence of characteristic harmonic fractals in all the conditions tested and revealed intra and inter-individual differences that can eventually be used to characterize particular brain activity states related to specific sensory, or cognitive, processes or may be indicating individual differences in the way to process information, in particular situations, developmental stage, illness or neuropsychological disorders. (C) 2013 The Authors, Published by Elsevier B.V.</t>
  </si>
  <si>
    <t>10.1016/j.procs.2013.05.052</t>
  </si>
  <si>
    <t>WOS:000339094400052</t>
  </si>
  <si>
    <t>Dingemans, A; Ross, C</t>
  </si>
  <si>
    <t>Dingemans, Alfonso; Ross, Cesar</t>
  </si>
  <si>
    <t>Free trade agreements in Latin America since 1990: an evaluation of export diversification</t>
  </si>
  <si>
    <t>CEPAL REVIEW</t>
  </si>
  <si>
    <t>This article explores the previously uncontested claim that the free trade agreements (FTAS) signed by Latin American countries -the cornerstone of their international economic integration strategies since 1990- have led to export diversification in terms of variety of goods and number of trading partners. Using data from the United Nations Commodity Trade Statistics Database (COMTRADE), we show that the bulk of export growth in the region has been in the intensive rather than the extensive margin. Concentration indices support the finding that the expansion of exports into new products and new trading partners has been limited. Latin America's bid to diversify its exports using FTAS (based on a static concept of comparative advantages) instead of more comprehensive strategies has had a negligible impact. Governments should therefore adopt a more dynamic approach to comparative advantages and introduce more active policies. Finally, we pose some open questions for future research.</t>
  </si>
  <si>
    <t>Dingemans, Alfonso/IXW-6542-2023</t>
  </si>
  <si>
    <t>0251-2920</t>
  </si>
  <si>
    <t>1684-0348</t>
  </si>
  <si>
    <t>WOS:000317538700002</t>
  </si>
  <si>
    <t>Lay-Son, Luis</t>
  </si>
  <si>
    <t>Ginevra de Benci's portrait: had the lady a myopathic face?</t>
  </si>
  <si>
    <t>NEUROLOGICAL SCIENCES</t>
  </si>
  <si>
    <t>The portrait of Ginevra de Benci was painted by Leonardo da Vinci around 1474. This painting is less famous and less known than Mona Lisa but it is extremely captivating and interesting due to its own characteristics. The overall picture gives to the viewer the impression of being in front of an enigmatic, hermetic and introspective woman. However, some details of her facial expression, especially the gaze direction, the upper eyelids' heaviness, the flat mouth and the absence of any defined emotion, give her the appearance of a patient with a muscular disease.</t>
  </si>
  <si>
    <t>1590-1874</t>
  </si>
  <si>
    <t>10.1007/s10072-011-0820-0</t>
  </si>
  <si>
    <t>WOS:000304241700035</t>
  </si>
  <si>
    <t>García, V; Rivera, J; Contreras, A; Ganga, MA; Martínez, C</t>
  </si>
  <si>
    <t>Garcia, Veronica; Rivera, Jose; Contreras, Angela; Angelica Ganga, Maria; Martinez, Claudio</t>
  </si>
  <si>
    <t>DEVELOPMENT AND CHARACTERIZATION OF HYBRIDS FROM NATIVE WINE YEASTS</t>
  </si>
  <si>
    <t>BRAZILIAN JOURNAL OF MICROBIOLOGY</t>
  </si>
  <si>
    <t>For commercial purposes, the winemaking industry is constantly searching for new yeast strains. Historically, this has been achieved by collecting wild strains and selecting the best for industrial use through an enological evaluation. Furthermore, the increasing consumer demands have forced the industry to incorporate new strategies such as genetic engineering to obtain improved strains. In response to the lack of public acceptance of this methodology, alternative strategies based on breeding have gained acceptance in recent years. Through the use of conjugation of individual spores without the support of genetic engineering methods we generated intraspecific hybrids from wild strains with outstanding enological characteristics and interdelta fingerprinting was used to confirm the hybrid condition. A detailed enological characterization of the hybrids in synthetic and natural must indicates that physiological parameters such as sporulation, residual sugar, ethanol yield and total nitrogen uptake are within the levels determined for the parental strains, however, other parameters such as growth rate, lag phase and ethanol production show statistical differences with some parental or commercial strains. These findings allow us to propose these hybrids as new wine-making strains.</t>
  </si>
  <si>
    <t>García, Verónica/AAM-1175-2021; Martinez, Claudio/MGS-9961-2025; Contreras, Angela/AAD-7854-2019; Ganga, Maria/S-8176-2019</t>
  </si>
  <si>
    <t>garcia, veronica/0000-0002-5312-925X; Martinez, Claudio/0000-0001-8564-9287</t>
  </si>
  <si>
    <t>1517-8382</t>
  </si>
  <si>
    <t>1678-4405</t>
  </si>
  <si>
    <t>10.1590/S1517-83822012000200008</t>
  </si>
  <si>
    <t>WOS:000307438100008</t>
  </si>
  <si>
    <t>Letelier, MF; Svensson, P; Siginer, DA; Stockle, JS</t>
  </si>
  <si>
    <t>Letelier, Mario F.; Svensson, Pierre; Siginer, Dennis A.; Stockle, Juan S.</t>
  </si>
  <si>
    <t>ANALYSIS OF PLUG ZONES IN STEADY FLOW IN UNDULATING CHANNELS</t>
  </si>
  <si>
    <t>Undulating channels are important in several industrial applications related to heat transfer and also as a modeling resource for complex flow through pores or fibers. In this paper, flow of a Bingham plastic in an undulating channel is studied. An analytical model is developed which allows to determine the regions in the flow where solid (plug) or quasi-solid behavior appears. The parameters considered are the dimensionless yield stress, the channel amplitude and the Reynolds number. A variety of cases are presented, in which the characteristics of the flows are described. The main results are presented by means of the streamlines, isobars, constant shear stress lines, isovelocities, and velocity profiles. Good consistency if found among all variables analyzed.</t>
  </si>
  <si>
    <t>WOS:000324959400027</t>
  </si>
  <si>
    <t>Alburquerque , G</t>
  </si>
  <si>
    <t>Alburquerque F., German</t>
  </si>
  <si>
    <t>Third World and Third Worldism in Brazil: towards its constitution as hegemonic sensibility in the Brazilian cultural field - 1958-1990</t>
  </si>
  <si>
    <t>The article examines how the concept of third-world and third world ideology are introduced and developed in Brazil. It demonstrates that the almost all of the social sciences and humanities are influenced by this sensibility of the third world, occupying a site of growing importance in the Brazilian intellectual field between the decades of the 1960s and 1980s. Finally, the work establishes the stages of this process, the most relevant authors and the more elaborate and original ideas.</t>
  </si>
  <si>
    <t>WOS:000307746500001</t>
  </si>
  <si>
    <t>Cortés-Arriagada, D; Cárdenas-Jirón, GI</t>
  </si>
  <si>
    <t>Cortes-Arriagada, Diego; Cardenas-Jiron, Gloria I.</t>
  </si>
  <si>
    <t>A through-space charge transfer mechanism for explaining the oxidation of 2-chlorophenol on a tetrasulphonated nickel(III) phthalocyanine</t>
  </si>
  <si>
    <t>COMPUTATIONAL AND THEORETICAL CHEMISTRY</t>
  </si>
  <si>
    <t>In this work a mechanism is proposed to explain the oxidation of 2-chlorophenol (2-CP) mediated by a tetrasulphonated nickel(III) phthalocyanine (NiTSPc) in the gas phase with the density functional and wavefunction theories. Two hybrid density functionals (B3LYP, MPWB1K) in their unrestricted and restricted open form, and the unrestricted semiempirical Hartree-Fock PM3 method (UHF PM3) were applied. Using a supermolecule scheme (2-CP center dot center dot center dot Ni(III)TSPc) and a reaction coordinate (r(Ni center dot center dot center dot O)) denoted by the distance between Ni and O (2-CP), for the r(Ni center dot center dot center dot O) = 3.6-5.4 angstrom range we found that both functionals in their unrestricted and restricted open form showed a charge transfer (CT) of about 0.8-0.9 electrons from 2-CP towards NiTSPc, as obtained by the spin density and the Mulliken electronic population change. Similar results were obtained for UHF PM3 (one electron CT). Thus, our results showed that the oxidation of 2-chlorophenol follows a through-space mechanism. Calculations of the interaction energy carried out for the 2-CP center dot center dot center dot Ni(III)TSPc supermolecule showed a trend towards the formation of a potential well for the r(Ni center dot center dot center dot O) = 3.8-5.0 angstrom region which was more apparent for the unrestricted methods (UB3LYP, UMPWB1K, UHF PM3). The energy minimum was obtained in the range 4.2-4.6 angstrom. However, in contrast with the PM3 results, we found that the density functionals used do not predict negative values for the interaction energy, confirming that in this case they fail to describe this kind of non-covalent interactions. (C) 2010 Elsevier B.V. All rights reserved.</t>
  </si>
  <si>
    <t>Cortés-Arriagada, Diego/J-5940-2019; Cardenas-Jiron, Gloria/H-9508-2012</t>
  </si>
  <si>
    <t>Cortes-Arriagada, Diego/0000-0002-6709-1723; Cardenas-Jiron, Gloria/0000-0003-4305-8088</t>
  </si>
  <si>
    <t>2210-271X</t>
  </si>
  <si>
    <t>1872-7999</t>
  </si>
  <si>
    <t>10.1016/j.comptc.2010.10.015</t>
  </si>
  <si>
    <t>WOS:000289649100027</t>
  </si>
  <si>
    <t>García-Río, L; Raposo-Barreiro, ML; Rodríquez-Dafonte, P</t>
  </si>
  <si>
    <t>Garcia-Rio, Luis; Luz Raposo-Barreiro, Maria; Rodriquez-Dafonte, Pedro</t>
  </si>
  <si>
    <t>Catalysis of the ethanolysis of N-methyl-N-nitroso-p-toluenesulfonamide by alkali metal ions</t>
  </si>
  <si>
    <t>ARKIVOC</t>
  </si>
  <si>
    <t>The goal of this study was to report on the catalytic effects by alkali-metal ions in the ethanolysis of N-methyl-N-nitroso-p-toluenesulfonamide (MNTS). We confirmed that the nucleophilic attack at the sulfur center was the only reaction pathway. The reactions of MNTS with metal ethoxides (MOEt) were discussed on basis of a kinetic scheme considering simultaneous reaction of free ethoxide and ion-paired ethoxide with the substrate. The trend for ion-paired ethoxide reactivity was clear and showed an increase on increasing the size of the ion (Cs+&gt;K+&gt;Na+&gt;Li+). For evaluate the free ethoxide reactivity we performed additional experiments in the presence of the complexing agents 18-crown-6 ether (18-C-6) and 2,5,8,11,14-pentaoxapentadecane (glyme). The results obtained were discussed in terms of the interaction of the metal ions with the ground state and the transition state.</t>
  </si>
  <si>
    <t>Garcia-Rio, Luis/L-5882-2014; Rodriguez-Dafonte, Pedro/I-6241-2016</t>
  </si>
  <si>
    <t>Rodriguez-Dafonte, Pedro/0000-0001-6508-0388</t>
  </si>
  <si>
    <t>1551-7004</t>
  </si>
  <si>
    <t>1551-7012</t>
  </si>
  <si>
    <t>10.3998/ark.5550190.0012.723</t>
  </si>
  <si>
    <t>WOS:000294801700023</t>
  </si>
  <si>
    <t>Matiacevich, S; Silva, P; Enrione, J; Osorio, F</t>
  </si>
  <si>
    <t>Saravacos, G; Taoukis, P; Krokida, M; Karathanos, V; Lazarides, H; Stoforos, N; Tzia, C; Yanniotis, S</t>
  </si>
  <si>
    <t>Matiacevich, Silvia; Silva, Patricia; Enrione, Javier; Osorio, Fernando</t>
  </si>
  <si>
    <t>Quality assessment of blueberries by computer vision</t>
  </si>
  <si>
    <t>11TH INTERNATIONAL CONGRESS ON ENGINEERING AND FOOD (ICEF11)</t>
  </si>
  <si>
    <t>Procedia Food Science</t>
  </si>
  <si>
    <t>11th International Congress on Engineering and Food (ICEF)</t>
  </si>
  <si>
    <t>MAY 22-26, 2011</t>
  </si>
  <si>
    <t>Athens, GREECE</t>
  </si>
  <si>
    <t>Blueberry's main quality indicators associated to consumer acceptability are related to the fruit appearance and texture. To date, appearance quality assessment is determined subjectively using visual observation. Computer vision analysis is an useful tool to evaluate fruit optical properties. The objective of this work was to study quality indicators for different blueberry cultivars hand-harvested in Chile during storage using computer vision. Five cultivars were analyzed: Briggitte, Duke, Elliot, Centurion and Star; 50 individual fruit from these cultivars were stored at 4 degrees C and 15 degrees C during 21 days at 90% of relative humidity. Quality indicators: colour, presence of epicuticular wax (EW), size, dehydratation and microbial growth were determined through image analysis obtained by computer vision. Different values of each quality attribute were obtained between cultivars. Dehydratation values (measured as sample size changes during storage) at 15 degrees C were 2.7 and 39.6% for Briggitte and Centurion, respectively. EW presence for all was lower of 33% of the surface, which is the minimum for export, except to cv. Briggitte (75%), which was associated to low dehydratation. Colour measured with CIEL*a*b* scale showed changes from blue to red for all cultivars at both temperatures during storage. Fungal presence increased at higher temperatures, which was represented by an increased lightness. The implication of this work is that computer vision analysis is useful to objective quality evaluation of fruits such as colour, dehydratation signs and fungal growth - most important attributes for consumers- and epicuticular wax presence, which is important to protect against deteriorative changes during storage, allowing heterogeneous materials analysis and their possible application in on-line packing control. (c) 2011 Published by Elsevier B.V. Selection and/or peer-review under responsibility of 11th International Congress on Engineering and Food (ICEF 11) Executive Committee.</t>
  </si>
  <si>
    <t>osorio, fernando/0000-0001-7206-0924; Enrione, Javier/0000-0002-3916-6775</t>
  </si>
  <si>
    <t>2211-601X</t>
  </si>
  <si>
    <t>10.1016/j.profoo.2011.09.065</t>
  </si>
  <si>
    <t>WOS:000314355500065</t>
  </si>
  <si>
    <t>dos Santos, DN</t>
  </si>
  <si>
    <t>Nascimento dos Santos, Daiana</t>
  </si>
  <si>
    <t>Imaginary and representations in the African and Latin American oral tradition</t>
  </si>
  <si>
    <t>Santos, Daiana/B-9700-2017</t>
  </si>
  <si>
    <t>10.4067/S0717-68482011000100010</t>
  </si>
  <si>
    <t>WOS:000294508100010</t>
  </si>
  <si>
    <t>Contreras, ML; Avila, D; Alvarez, J; Rozas, R</t>
  </si>
  <si>
    <t>Leonor Contreras, M.; Avila, Diego; Alvarez, Jose; Rozas, Roberto</t>
  </si>
  <si>
    <t>Exploring the structural and electronic properties of nitrogen-containing exohydrogenated carbon nanotubes: a quantum chemistry study</t>
  </si>
  <si>
    <t>STRUCTURAL CHEMISTRY</t>
  </si>
  <si>
    <t>Saturated nanotubes consisting of 2-10 and 20 layers of cyclic units of six-membered rings, each one having a pyrimidine-like framework (i.e., -C-C-C-N-C-N-), were studied by quantum chemistry methods using Density Functional Theory (DFT) at the B3LYP/6-31G* level of theory. Four different nanotube (NT) configurations were theoretically studied in this work. They were formed by covalently arranging each layer over the other, with uniform relative rotations of 0A degrees, 60A degrees, 120A degrees, and 180A degrees with respect to each of the layers. Different structures can be created by modulating the relative rotation as layers are added to the main nanostructure. NTs with a relative rotation of 60A degrees showed both greater stabilities and highest potential for catalytic activity. All of them showed band gaps of around 0.2 eV. Charges and other properties can be controlled by appropriate layer arrangement. The studied families of NTs have a very small diameter and could find potential applications in chemistry, physics, and medicine.</t>
  </si>
  <si>
    <t>1040-0400</t>
  </si>
  <si>
    <t>1572-9001</t>
  </si>
  <si>
    <t>10.1007/s11224-010-9587-9</t>
  </si>
  <si>
    <t>WOS:000277377500013</t>
  </si>
  <si>
    <t>Vergara, Lautaro</t>
  </si>
  <si>
    <t>Model for Dissipative Highly Nonlinear Waves in Dry Granular Systems</t>
  </si>
  <si>
    <t>A model is presented for the characterization of dissipative effects on highly nonlinear waves in one-dimensional dry granular media. The model includes three terms: Hertzian, viscoelastic, and a term proportional to the square of the relative velocity of particles. The model outcomes are confronted with different experiments where the granular system is subject to several constraints for different materials. Excellent qualitative and quantitative agreement between theory and experiments is found.</t>
  </si>
  <si>
    <t>MAR 19</t>
  </si>
  <si>
    <t>10.1103/PhysRevLett.104.118001</t>
  </si>
  <si>
    <t>WOS:000275802600043</t>
  </si>
  <si>
    <t>Griffiths, S; Rescaglio, A; Melo, F</t>
  </si>
  <si>
    <t>Griffiths, S.; Rescaglio, A.; Melo, F.</t>
  </si>
  <si>
    <t>Ultrasound propagation in wet and airless non-consolidated granular materials</t>
  </si>
  <si>
    <t>International Congress on Ultrasonics</t>
  </si>
  <si>
    <t>JAN 11-17, 2009</t>
  </si>
  <si>
    <t>Univ Santiago Chile, Santiago, CHILE</t>
  </si>
  <si>
    <t>Univ Santiago Chile</t>
  </si>
  <si>
    <t>This paper deals with an experimental description of the acoustic behaviour of non-consolidated granular materials submitted to static force. The aim of this work is to investigate the effect of a small amount of an interstitial fluid on the acoustic propagation. Measurements of the velocity and of the transmission of the coherent wave are performed for different values of the applied force. It is shown that the behaviour of the speed of the ultrasonic coherent wave according to pressure have a slope close to the one of the Hertz-Mindlin's model in the case of a dry medium. When a small amount of a low viscosity fluid is added in a mono-disperse granular medium, the speed of the ultrasonic wave increases according to the power 1/6 to the force applied following the Hertz-Mindlin law (v similar to P-1/6). Moreover, measurements of the velocity and of the transmission of the ultrasonic wave are strongly dependent on the nature of the interstitial fluid. In order to quantify its effect on the propagation, measurements are performed using various fluids having different characteristics. In a first step, silicon oils of different viscosities (from 50 x 10(-3) to 10 Pa s) are used, showing that with increasing viscosity, the wave velocity no longer varies according to the power law 1/6. The transmission coefficient also increases with the viscosity, showing a better propagation of the wave through the medium. Then, measurements are done in the vacuum allowing a comparison with ultrasonic propagation in presence of an interstitial fluid. This experiment shows a strong increase of the transmission coefficient while velocity remains the same as in the dry case. The study of scattered waves in vacuum shows also a significant increase in amplitude and duration of these typical waves. Then, different saturating inert gases are added to the medium showing that the propagation of the scattered wave is not influenced by their different characteristics. (C) 2009 Elsevier B. V. All rights reserved.</t>
  </si>
  <si>
    <t>10.1016/j.ultras.2009.09.034</t>
  </si>
  <si>
    <t>WOS:000271779500009</t>
  </si>
  <si>
    <t>MULETEER AND TERRESTRIAL TRANSPORTATION IN SOUTH CONE (MENDOZA, 1780-1800)</t>
  </si>
  <si>
    <t>REVISTA DE INDIAS</t>
  </si>
  <si>
    <t>This paper explores the muleteer as an economic actor in terrestrial transportation in South Cone, specially in the route across the Andes in order to connect Atlantic and Pacific markets. Since Mendoza's customs records, this study has processed 120.000 freight-carrying mules to know the origin and destiny places, main routes, volume and kind of charge. The muleteer promoted an intensive activity in terms of transportation, trade and wine industry. As a result, he leaded the rise of a regional proto-bourgeoisie.</t>
  </si>
  <si>
    <t>0034-8341</t>
  </si>
  <si>
    <t>10.3989/revindias.2008.002</t>
  </si>
  <si>
    <t>WOS:000262957400002</t>
  </si>
  <si>
    <t>Leiva-Lobos, E; Antillanca, H; Ponce, H</t>
  </si>
  <si>
    <t>Leiva-Lobos, Edmundo; Antillanca, Hector; Ponce, Hector</t>
  </si>
  <si>
    <t>A systemic framework to help in the design of artifacts for dialogue</t>
  </si>
  <si>
    <t>In this paper we present a conceptual framework, based on a systemic approach, which informs the design of artifacts to support dialogue among people. The concept of dialogue is highlighted as a communicative practice which facilitates the creation, examination and circulation of meaning. We argue that current technology to support communication is insufficient to facilitate dialogue, since it only allows the management of messages which are simple and difficult to relate. The proposed conceptual framework introduces several notions, among them, platform, rules, movements, moments, and breakdowns in a dialogue. From this ontology, a taxonomy is shown, where tangible artefacts are distinguished, as electronic mail and symbolic artefacts, as problem-solving methodologies. Two cases of artefacts for dialogue are analyzed: a dialogical meeting record and an electronic forum. The paper closes reflecting on the scope of this proposal for the design of artifacts for dialogue.</t>
  </si>
  <si>
    <t>Ponce, Hector/H-9545-2019</t>
  </si>
  <si>
    <t>Ponce, Hector R./0000-0002-7984-3945</t>
  </si>
  <si>
    <t>2448-5799</t>
  </si>
  <si>
    <t>WOS:000259422000001</t>
  </si>
  <si>
    <t>Mallol, J</t>
  </si>
  <si>
    <t>Mallol, J.</t>
  </si>
  <si>
    <t>Asthma in Latin America: where the asthma causative/protective hypotheses fail</t>
  </si>
  <si>
    <t>10.1016/S0301-0546(08)72540-0</t>
  </si>
  <si>
    <t>WOS:000257888600007</t>
  </si>
  <si>
    <t>Villablanca, M; Nadal, J</t>
  </si>
  <si>
    <t>Villablanca, Miguel; Nadal, Jorge</t>
  </si>
  <si>
    <t>Current Distortion Reduction in 6-Pulse Parallel-Connected AC/DC Rectifiers</t>
  </si>
  <si>
    <t>2008 IEEE POWER &amp; ENERGY SOCIETY GENERAL MEETING, VOLS 1-11</t>
  </si>
  <si>
    <t>IEEE Power and Energy Society General Meeting-PESGM</t>
  </si>
  <si>
    <t>General Meeting of the IEEE-Power-and-Energy-Society</t>
  </si>
  <si>
    <t>JUL 20-24, 2008</t>
  </si>
  <si>
    <t>Pittsburgh, PA</t>
  </si>
  <si>
    <t>IEEE Power &amp; Energy Soc</t>
  </si>
  <si>
    <t>978-1-4244-1905-0</t>
  </si>
  <si>
    <t>WOS:000264403801178</t>
  </si>
  <si>
    <t>Pino, E; Aspée, A; López-Alarcón, C; Lissi, E</t>
  </si>
  <si>
    <t>Pino, E.; Aspee, A.; Lopez-Alarcon, C.; Lissi, E.</t>
  </si>
  <si>
    <t>Reactivity of hydroxynaphthalenes towards peroxyl radicals</t>
  </si>
  <si>
    <t>JOURNAL OF PHYSICAL ORGANIC CHEMISTRY</t>
  </si>
  <si>
    <t>In the present work we report data bearing on the reaction of mono- and dihydroxynaphthalenes towards 2,2'-azo-bis(2-amidinopropane) dihydrochloride (AA.PH) derived peroxyl radicals. A comparison of the bleaching rates allows establishing their relative reactivity towards peroxyl radicals: 1,2-dihydroxynaphthalene (1,2-DHN) &gt;&gt; 2,3-dihydroxynaphthalene (2,3-DHN) &gt; 1,3-dihydroxynaphthalene (1,3-DHN) &gt; 2,7-dihydroxynaphthalene (2,7-DHN) &gt; 1-hydroxynaphthalene (1-N) &gt;= 2-hydroxynaphthalene (2-N). Bleaching rates measured under conditions of quantitative trapping of peroxyl radicals allow an estimation of the number of molecules consumed per each radical introduced into the system. The results obtained imply a chain consumption of 1,2-DHN and 2,3-DHN. In fact, a fast autoxidation of 1,2-DHN is observed even in absence of AAPH. The high reactivity of this compound suggests a fast hydrogen abstraction, due to its low O-H bond dissociation energy (BDE), and/or a very fast electron transfer from the deprotonated form. Oxygen radical absorbance capacity (ORAC) indexes of the naphthalene derivatives were evaluated from their effect upon the peroxyl radical promoted bleaching of c-phycocyanin (c-Pc). ORAC values are strongly influenced by the secondary reactions of the additive and do not correlate with the reactivity of the compound or the number of the naphthalene derivative molecules bleached per each radical. c-Pc bleaching rate in presence of an excess of hydroxyl-naphthalene derivative was taken as a measure of the damaging capacity of the corresponding naphthoxyl radicals. The results indicate that this damaging capacity is inversely proportional to the reactivity of the parent compound. In fact, addition of 2-naphthol, the less reactive of the tested compounds, increases the rate of c-Pc bleaching promoted by peroxyl radicals. Copyright (c) 2006 John Wiley &amp; Sons, Ltd.</t>
  </si>
  <si>
    <t>Lopez, Camilo/0000-0002-0174-8972; Pino, Eduardo Francisco/0000-0002-7851-3952</t>
  </si>
  <si>
    <t>0894-3230</t>
  </si>
  <si>
    <t>10.1002/poc.1038</t>
  </si>
  <si>
    <t>WOS:000244915200008</t>
  </si>
  <si>
    <t>Lizama, C; Prado, H</t>
  </si>
  <si>
    <t>Lizama, Carlos; Prado, Humberto</t>
  </si>
  <si>
    <t>Singular perturbation for Volterra equations of convolution type</t>
  </si>
  <si>
    <t>APPLIED MATHEMATICS AND COMPUTATION</t>
  </si>
  <si>
    <t>Under the assumption that A is the generator of a twice integrated cosine family and K is a scalar valued kernel, we solve the singular perturbation problem epsilon(2)u(epsilon) (t) + u(epsilon)'(t) = Au-epsilon(t) + (K * Au-epsilon) (t) + f epsilon, (t); (t &gt;= 0) (epsilon &gt; 0) (E-epsilon) when epsilon -&gt; 0(+), for the integrodifferential equation w'(t) = Aw(t) + (K * Aw) (t) + f (t); (t &gt;= 0), on a Banach space. If the kernel K verifies some regularity conditions, then we show that problem (E-epsilon) has a unique solution u(epsilon)(t) for each small is an element of &gt; 0. Moreover u(epsilon)(t) converges as epsilon -&gt; 0(+), to the unique solution u(t) of equation (E). (c) 2006 Elsevier Inc. All rights reserved.</t>
  </si>
  <si>
    <t>0096-3003</t>
  </si>
  <si>
    <t>10.1016/j.amc.2006.03.016</t>
  </si>
  <si>
    <t>WOS:000242385400085</t>
  </si>
  <si>
    <t>Delayed scattering of solitary waves from interfaces in a granular container</t>
  </si>
  <si>
    <t>In granular media, the characterization of the behavior of solitary waves around interfaces is of importance in order to look for more applications of these systems. We study the behavior of solitary waves at both interfaces of a symmetric granular container, a class of systems that has received recent attention because it possesses the feature of energy trapping. Hertzian contact is assumed. We have found that the scattering process is elastic at one interface, while at the other interface it is observed that the transmitted solitary wave has stopped its movement during a time that gets longer when the ratio between masses at the interfaces increases. The origin of this effect can be traced back to the phenomenon of gaps opening, recently observed experimentally.</t>
  </si>
  <si>
    <t>10.1103/PhysRevE.73.066623</t>
  </si>
  <si>
    <t>WOS:000238694200124</t>
  </si>
  <si>
    <t>Carpio, RVD; Morales, JL; Barro, M; Ricardo, A; Spencer, E</t>
  </si>
  <si>
    <t>Carpio, Rodrigo Vasquez-Del; Morales, Jaime L.; Barro, Mario; Ricardo, Alba; Spencer, Eugenio</t>
  </si>
  <si>
    <t>Bioinformatic prediction of polymerase elements in the rotavirus VP1 protein</t>
  </si>
  <si>
    <t>Rotaviruses are the major cause of acute gastroenteritis in infants world-wide. The genome consists of eleven double stranded RNA segments. The major segment encodes the structural protein VP1, the viral RNA-dependent RNA polymerase (RdRp), which is a minor component of the viral inner core. This study is a detailed bioinformatic assessment of the VP1 sequence. Using various methods we have identified canonical motifs within the VP1 sequence which correspond to motifs previously identified within RdRps of other positive strand. double-strand RNA viruses. The study also predicts an overall structural conservation in the middle region that may correspond to the palm subdomain and part of the fingers and thumb subdomains, which comprise the polymerase core of the protein. Based on this analysis, we suggest that the rotavirus replicase has the minimal elements to function as an RNA-dependent RNA polymerase. VP1. besides having common RdRp features, also contains large unique regions that might be responsible for characteristic features observed in the Reoviridae family.</t>
  </si>
  <si>
    <t>BARRO HERNÁNDEZ, MARIO/GWU-9543-2022</t>
  </si>
  <si>
    <t>Ricardo Paez, Alba Esther/0000-0002-3859-3871; Spencer, Eugenio/0000-0001-6109-140X</t>
  </si>
  <si>
    <t>0717-6287</t>
  </si>
  <si>
    <t>WOS:000248288400008</t>
  </si>
  <si>
    <t>Mendoza, L; Araya-Maturana, R; Cardona, W; Delgado-Castro, T; García, C; Lagos, C; Cotoras, M</t>
  </si>
  <si>
    <t>In vitro sensitivity of Botrytis cinerea to anthraquinone and anthrahydroquinone derivatives</t>
  </si>
  <si>
    <t>JOURNAL OF AGRICULTURAL AND FOOD CHEMISTRY</t>
  </si>
  <si>
    <t>The effect on mycelial growth of the fungus Botrytis cinerea of a set of structurally related tricyclic hydroquinones [9,10-dihydroxy-4,4-dimethyl-2,3,5,8-tetrahydroantracen-1(4H)-one and 9,10-dihydroxy-4,4-dimethyl-5,8-dihydroanthracen-1(4H)-one derivatives] and tricyclic quinones [4,4-dimethylanthracen-1,9,10(4H)-trione derivatives] was studied. In general, the anthraquinones presented higher activity than the anthrahydroquinones. Anthraquinone and anthrahydroquinone derivatives with methyl groups on the A ring showed higher antifungal activity than the unsubstituted ones, 4,4,6,7-tetramethyl-(4H)-anthracene-1,9,10-trione being the most active compound of this set. The presence of a polar group such as hydroxymethyl reduced the activity. The effect of two anthrahydroquinones and two anthraquinones on the conidia germination of the fungus was also determined. Anthrahydroquinones did not affect the germination. The most active compound was 4,4-dimethylanthracene-1,9,10(4H)trione, with 100% inhibition of germination at 7 h of incubation. These results again suggest that the structure of the anthraquinones is important in exerting an antifungal effect on B. cinerea. Furthermore, possible mechanisms of action of compound 4,4-dimethylanthracene-1,9,10(4H)-trione were studied. This compound did not produce lipoperoxidation of membrane and did not induce the formation of oxygen reactive species, but it was able to permeabilize the plasmatic membrane of 8. cinerea, increasing the phosphorus concentration in the intracellular medium.</t>
  </si>
  <si>
    <t>Araya-Maturana, Ramiro/N-8747-2015</t>
  </si>
  <si>
    <t>Cardona-Villada, Wilson/0000-0003-2160-2791; Araya-Maturana, Ramiro/0000-0002-5082-9146</t>
  </si>
  <si>
    <t>0021-8561</t>
  </si>
  <si>
    <t>10.1021/jf0511749</t>
  </si>
  <si>
    <t>WOS:000234259700035</t>
  </si>
  <si>
    <t>Sánchez, G; Donoso, P; Macho, P; Domenech, R</t>
  </si>
  <si>
    <t>Effect of tachycardia and exercise on myocardial sarcoplasmic reticulum and calcium dynamics</t>
  </si>
  <si>
    <t>JOURNAL OF MOLECULAR AND CELLULAR CARDIOLOGY</t>
  </si>
  <si>
    <t>8th Annual Scientific Sessions of the Latin American Section of the International-Society-for-Heart-Research</t>
  </si>
  <si>
    <t>AUG 01-03, 2004</t>
  </si>
  <si>
    <t>Iguassu Falls, ARGENTINA</t>
  </si>
  <si>
    <t>Int Soc Heart Res</t>
  </si>
  <si>
    <t>0022-2828</t>
  </si>
  <si>
    <t>1095-8584</t>
  </si>
  <si>
    <t>WOS:000222965000042</t>
  </si>
  <si>
    <t>Eugenín, J; Ampuero, E; Infante, CD; Silva, E; Llona, I</t>
  </si>
  <si>
    <t>pH sensitivity of spinal cord rhythm in fetal mice in vitro</t>
  </si>
  <si>
    <t>Advances in Experimental Medicine and Biology</t>
  </si>
  <si>
    <t>Silva-Moreno, Evelyn/B-9545-2012</t>
  </si>
  <si>
    <t>2214-8019</t>
  </si>
  <si>
    <t>WOS:000188998400067</t>
  </si>
  <si>
    <t>Ordoñez, S; Rojas, P; San Martín, A; Serafini, D; Bustos, O</t>
  </si>
  <si>
    <t>Stoichiometric quantification of the amorphous precursor in the Mg-Ni system</t>
  </si>
  <si>
    <t>Mg is considered one of the prospective materials for the storage of hydrogen as hydride, but unfortunately the activation of Mg requires more effort than other hydride-forming metals and the kinetics of hydriding and dehydriding is rather slow. However, alloying Mg with metals such as Ni introduces positive changes in the kinetics of hydrogen absorption. In the Mg-Ni system, the best hydrogen absorber is the intermetallic compound Mg2Ni that can be easily activated. The production of a high purity, single phase Mg2Ni, by means of mechanical alloying (MA) is possible. Previous results indicated the existence of an amorphous-like phase, or precursor, after 12 hours of milling time. This phase partially transforms to the intermetallic compound by heating at 433 K. In the present work, the amount of Mg combined to form the precursor was quantified using a quantitative X-ray diffraction method: the internal standard method using a constant amount of Mo. The quantity of Ni combined was calculated using the magnetisation curves. Results confirmed that the precursor had a stoichiometry close to Mg2Ni intermetallic compound.</t>
  </si>
  <si>
    <t>Rojas, Paula/AFS-1987-2022</t>
  </si>
  <si>
    <t>Serafini, Daniel/0000-0002-1764-5900; Rojas, Paula/0000-0002-2529-993X</t>
  </si>
  <si>
    <t>10.4028/www.scientific.net/MSF.416-418.138</t>
  </si>
  <si>
    <t>WOS:000182605200023</t>
  </si>
  <si>
    <t>Martín García, A</t>
  </si>
  <si>
    <t>Territorial origins and attitudes towards death in the Havanna naval squadron (1780-1783)</t>
  </si>
  <si>
    <t>The testimonial documents of the squadron commanded by Don Jose Solano, which between 1780 and 1783 took part in the war against Great Britain, make it evident that regions such as Andalusia and most of all Galicia protagonized the integration of the embarked military contingents. The same source sheds light on religious aspects of the 18th century navy, in which devotions such as the cult to the dead souls or certain advocations of the Virgin Mary related to sea life also played an important role.</t>
  </si>
  <si>
    <t>Martin Garcia, Alfredo/0000-0001-6906-0210</t>
  </si>
  <si>
    <t>WOS:000180541400009</t>
  </si>
  <si>
    <t>Modak, B; Arrieta, A; Torres, R; Urzua, A</t>
  </si>
  <si>
    <t>Antibacterial activity of flavonoids from the resinous exudates of Heliotropium sinuatum:: Efeect of the structural type</t>
  </si>
  <si>
    <t>From the resinous exudates of Heliotropium sinuatum have been isolated and characterized eight flavonoids. In this paper we show the bacteride activity of resin and previously isolated flavonoids. Kinetics of bacterial growth gave the generation time of bacterial population. This method let it knew a quantitative approach of the antibacterial capacity of resins and flavonoids. A discussion of the effect of flavonoids class and type of substituents is developed.</t>
  </si>
  <si>
    <t>WOS:000175074200004</t>
  </si>
  <si>
    <t>Monien, B; Feldmann, R</t>
  </si>
  <si>
    <t>An automatic scheduler for parallel machines</t>
  </si>
  <si>
    <t>EURO-PAR 2002 PARALLEL PROCESSING, PROCEEDINGS</t>
  </si>
  <si>
    <t>8th International Euro-Par Conference on Parallel Processing</t>
  </si>
  <si>
    <t>AUG 27-30, 2002</t>
  </si>
  <si>
    <t>PADERBORN, GERMANY</t>
  </si>
  <si>
    <t>This paper presents a static scheduler to carry out the best assignment of a Directed Acyclic Graph (DAG) representing an application program. Some characteristics of the DAG, a decision model, and the evaluation parameters for choosing the best solution provided by the selected scheduling algorithms are defined. The selection of the scheduling algorithms is based on five decision levels. At each level, a subset of scheduling algorithms is selected. When the scheduler was tested with a series of DAGs having different characteristics, the scheduler's decision was right 100% of the time in those cases in which the number of available processors is known.</t>
  </si>
  <si>
    <t>Inostroza-Ponta, Mario/G-7548-2012; Solar, Mauricio/AAE-9673-2020</t>
  </si>
  <si>
    <t>3-540-44049-6</t>
  </si>
  <si>
    <t>WOS:000189438700027</t>
  </si>
  <si>
    <t>Labarca, R; Plaza, S</t>
  </si>
  <si>
    <t>Bifurcation of discontinuous maps of the interval and palindromic numbers</t>
  </si>
  <si>
    <t>BOLETIN DE LA SOCIEDAD MATEMATICA MEXICANA</t>
  </si>
  <si>
    <t>We study the bifurcation produced by a rotation of a not expansive discontinuous map (a Lorenz map) of the interval. We show the special pattern of bifurcation which occurs in this case.</t>
  </si>
  <si>
    <t>Plata, Sergio/AAA-6144-2019</t>
  </si>
  <si>
    <t>1405-213X</t>
  </si>
  <si>
    <t>WOS:000169096500009</t>
  </si>
  <si>
    <t>Costamagna, J; Lillo, LE; Matsuhiro, B; Villagrán, M</t>
  </si>
  <si>
    <t>poly-D-galactosamine as ligand in the formation of Cu(II) and Ni(II) complexes.</t>
  </si>
  <si>
    <t>Meeting of the Chilean-Chemical-Society</t>
  </si>
  <si>
    <t>JUN 14-16, 2000</t>
  </si>
  <si>
    <t>CHILE</t>
  </si>
  <si>
    <t>Chilean Chem Soc</t>
  </si>
  <si>
    <t>The reaction of alpha-1 --&gt; 4-poly-D-galactosamine with o-salicylaldehyde afforded in good yield the Schiff base which was used as ligand in the formation of complexes with Cu(ll) and Ni(ll). The complexes were characterized by FT-IR and electronic spectroscopies and, by cyclic voltammetry. The Cu(ll) complex presented a ligand:metal ratio of 2:1 and its electrochemical behaviour was similar to that of the complex with the Schiff base of the corresponding monomeric aminosugar. The Ni(ll) complex showed a ligand:metal ratio of 3.3:1.0 No change in the this value was found when the Schiff base of the partially degraded polysaccharide was used as ligand.</t>
  </si>
  <si>
    <t>WOS:000089763300007</t>
  </si>
  <si>
    <t>Moreira, V</t>
  </si>
  <si>
    <t>Phenomenology of psychopathology ano ideology: A cross-cultural discussion</t>
  </si>
  <si>
    <t>INTERNATIONAL JOURNAL OF PSYCHOLOGY</t>
  </si>
  <si>
    <t>0020-7594</t>
  </si>
  <si>
    <t>JUN-AUG</t>
  </si>
  <si>
    <t>WOS:000088388804321</t>
  </si>
  <si>
    <t>Montes, S; Valero, E; Schmidt, YR</t>
  </si>
  <si>
    <t>Study of the flotation mechanisms of quartz in the presence of alkylammonium salts. I. Effect of pH value.</t>
  </si>
  <si>
    <t>The adsorption mechanisms of long chain alkylammonium chlorides on high purity quartz using streaming potential and adsorption isotherm techniques were studied. The presence of the alkylamines is important in the solid-liquid interface at pH near 7. In fact, it can explain the high microflotability of quartz according to the change in the sign of the zeta potential (PCR). The isotherms show the well known high electrostatic affinity that exists between alkylammonium ion and quartz, with formation of several layers at concentration below the critical micelle concentration. The Frumkin-Fowler isotherm can explain both the relative position of the experimental adsorption curves when the chain length of the hydrocarbon collector increases at constant pH, and the inverse relationship between the equilibrium collector concentration and the value of pH, for the same chain length of hydrocarbon collector.</t>
  </si>
  <si>
    <t>WOS:000086415500005</t>
  </si>
  <si>
    <t>Rojas, J; Suárez, R</t>
  </si>
  <si>
    <t>IEEE; IEEE; IEEE</t>
  </si>
  <si>
    <t>Fuzzy control of an induction motor drive</t>
  </si>
  <si>
    <t>VII IEEE INTERNATIONAL POWER ELECTRONICS CONGRESS, TECHNICAL PROCEEDINGS: CIEP 2000</t>
  </si>
  <si>
    <t>7th IEEE International Power Electronics Congress (CIEP 2000)</t>
  </si>
  <si>
    <t>OCT 15-19, 2000</t>
  </si>
  <si>
    <t>ACAPULCO, MEXICO</t>
  </si>
  <si>
    <t>Electr Dept,Natl Ctr Res &amp; Technol Dev,IEEE, Sect Moreles Power Electr Chapter,IEEE, Power Electr Soc,Natl Council Technol Educ Syst,Electromag SA CV,Enfil Mexico SA CV,Radio Surtidora SA CV</t>
  </si>
  <si>
    <t>This paper describes the application of fuzzy control on an induction inverter-motor assembly so as to obtain variable speed and torque as well as a good dynamic response, For this purpose, the variables that after processing are fed to the control system as well as the control system's output signals that feed the inverter are established. Then a comparative analysis is carried out in which the system's behavior under fuzzy and hysteresis control is simulated. Finally the results obtained from In experimental prototype that includes a PC in which fuzzy logic control software is installed are presented.</t>
  </si>
  <si>
    <t>0-7803-6489-9</t>
  </si>
  <si>
    <t>WOS:000166794500009</t>
  </si>
  <si>
    <t>Osorio Tejeda, N</t>
  </si>
  <si>
    <t>Antonio Cornejo Polar: Contribution to a Latin American criticism of our literature</t>
  </si>
  <si>
    <t>WOS:000083455600005</t>
  </si>
  <si>
    <t>Kinetics of the reaction between 2,2'-azinobis(3-ethylbenzothiazoline-6-sulfonic acid) (ABTS) derived radical cations and phenols</t>
  </si>
  <si>
    <t>The reaction between the radical cation derived from 2,2'-azinobis(5-ethylbenzothiazoline-6-sulfonic acid) (ABTS) and phenols follows a kinetic law given by d[ABTS(+/.)]/dt=k[ABTS(+/.)](2)[PhOH]/[ABTS] with stoichiometric coefficients between one and two. The rate constant is almost unrelated to the structure of the phenol, while the number of ABTS radicals scavenged by each phenol molecule increases with para-substitution. These results are explained in terms of a fast, reversible electron transfer ABTS(+/.)+PhOh reversible arrow ABTS+PhO .+H+ followed by the self-combination of the phenoxy radicals and/or their reaction with another ABTS derived radical cation. The relative rate of these processes determine the value of the stoichiometric coefficient. (C) 1997 John Wiley &amp; Sons. Inc.</t>
  </si>
  <si>
    <t>WOS:A1997WH95000009</t>
  </si>
  <si>
    <t>VERSOS-POR-ANGELITO, POETRY AND ITS FUNCTION AT THE WAKE OF A PEASANT CHILD IN CHILE</t>
  </si>
  <si>
    <t>JOURNAL OF FOLKLORE RESEARCH</t>
  </si>
  <si>
    <t>0737-7037</t>
  </si>
  <si>
    <t>WOS:A1990FV31300002</t>
  </si>
  <si>
    <t>ENCINAS, MV; MAJMUD, C; GARRIDO, J; LISSI, EA</t>
  </si>
  <si>
    <t>METHYL-METHACRYLATE POLYMERIZATION PHOTOINITIATED BY PYRENE IN THE PRESENCE OF TRIETHYLAMINE</t>
  </si>
  <si>
    <t>MACROMOLECULES</t>
  </si>
  <si>
    <t>0024-9297</t>
  </si>
  <si>
    <t>10.1021/ma00192a009</t>
  </si>
  <si>
    <t>WOS:A1989T340200009</t>
  </si>
  <si>
    <t>WEYER, J</t>
  </si>
  <si>
    <t>REGULAR SOLUTIONS OF WAVE-EQUATIONS CONTAINING NONLINEARITIES OF THE TYPE L-PHI-L</t>
  </si>
  <si>
    <t>10.1017/S0308210500015845</t>
  </si>
  <si>
    <t>WOS:A1983RL62400010</t>
  </si>
  <si>
    <t>Hermosilla-Ordenes, E</t>
  </si>
  <si>
    <t>Hermosilla-Ordenes, Estefania</t>
  </si>
  <si>
    <t>WOMEN AND ANIMALS IN AMPARO DÁVILA: THE DOMESTIC BESTIARY OF FEMALE OPPRESSION</t>
  </si>
  <si>
    <t>This paper analyzes the role and meaning that animals have in the stories of the Mexican writer Amparo D &amp; aacute;vila, particularly in those narrations starring female characters, in which a relationship marked by repression, oppression and violence that both share as creatures subjected to the male order. On the basis of this link, it is suggested that, in the same way that in the Gothic the ghost was a key to represent the conflicts of women within the home, the figure of the animal in the horror stories of Amparo D &amp; aacute;vila, acts as an expression of the terrible oppressions that women experience in their lives.</t>
  </si>
  <si>
    <t>WOS:001416817200003</t>
  </si>
  <si>
    <t>People, people's emergency and democracy: disputed categories</t>
  </si>
  <si>
    <t>This article offers a reflection on the political scope of the social outbreaks, based on the possible relationships that can be established between social outbreaks, understood as processes of popular emergency, people and democracy. Can social outbreaks be considered processes of popular emergency? If so, can they be thought as processes of democratic deepening, understanding democracy as a regime of people sovereignty? The proposed reflection has as reference and motivation the cycle of mobilizations of Chile October 2019. For this reason, it mainly reviews texts about this process, which are complemented with sources that allow a more adequate focus on the links between people, emergency and democracy. The essay purpose is to show that the political scopes of emergency processes constitute a disputed issue, subject to conflict of interpretations. An attempt is made to show this struggle based on the controversial nature of the concepts people, emergency and democracy, and the links that can be established between them.</t>
  </si>
  <si>
    <t>10.7203/KAM.24.93854</t>
  </si>
  <si>
    <t>WOS:001411162000013</t>
  </si>
  <si>
    <t>Cancino-Jaque, E; Meneses-Diaz, J; Vargas-Hernández, Y; Gaete-Garretón, L</t>
  </si>
  <si>
    <t>Cancino-Jaque, Eduardo; Meneses-Diaz, Josue; Vargas-Hernandez, Y.; Gaete-Garreton, L.</t>
  </si>
  <si>
    <t>On the dynamics of a big drop in acoustic levitation</t>
  </si>
  <si>
    <t>ULTRASONICS SONOCHEMISTRY</t>
  </si>
  <si>
    <t>The acoustic levitation of a drop is a complex process that needs a high-intensity non-linear acoustic field; the sound pressure level has to be sufficient to raise the drop but not too large to avoid its atomization, limiting the maximum size of a levitated drop. In this paper, we present an experimental study of big drops levitation with a volume up to (166 +/- 2)[mu l] and with an effective diameter (6.82 +/- 0.03)[mm], figures one magnitude order larger than the maximum drop volume reported in the literature. Our acoustic levitator produces an acoustic field with a different shape than the field produced by a typical levitator. Our measurements and simulations of the acoustic field and drop dynamics suggest that the levitation of big drops is possible because the distribution of radiation pressure over the drop surface in our system differs from that in a typical acoustic levitator; its maximum value appears on the top surface of the drop and not in its equator. In addition, we determined the upper and lower limits of sound pressure necessary for the levitation of drops of various sizes that allow our system.</t>
  </si>
  <si>
    <t>; Cancino, Eduardo/C-8669-2015</t>
  </si>
  <si>
    <t>Gaete-Garreton, Luis/0000-0002-2234-8783; Cancino, Eduardo/0000-0002-6920-2335</t>
  </si>
  <si>
    <t>1350-4177</t>
  </si>
  <si>
    <t>1873-2828</t>
  </si>
  <si>
    <t>10.1016/j.ultsonch.2023.106705</t>
  </si>
  <si>
    <t>WOS:001127694900001</t>
  </si>
  <si>
    <t>Miranda, P; Parra, D</t>
  </si>
  <si>
    <t>Miranda, Pablo; Parra, Daniel</t>
  </si>
  <si>
    <t>Continuum limit for a discrete Hodge-Dirac operator on square lattices</t>
  </si>
  <si>
    <t>LETTERS IN MATHEMATICAL PHYSICS</t>
  </si>
  <si>
    <t>We study the continuum limit for Dirac-Hodge operators defined on the n dimensional square lattice hZ(n) as h goes to 0. This result extends to a first order discrete differential operator the known convergence of discrete Schrodinger operators to their continuous counterpart. To be able to define such a discrete analog, we start by defining an alter-native framework for a higher-dimensional discrete differential calculus. We believe that this framework, that generalize the standard one defined on simplicial complexes, could be of independent interest. We then express our operator as a differential oper-ator acting on discrete forms to finally be able to show the limit to the continuous Dirac-Hodge operator.</t>
  </si>
  <si>
    <t>Parra, Daniel/ITV-0134-2023; Miranda, Pablo/KIH-3542-2024</t>
  </si>
  <si>
    <t>Miranda, Pablo/0000-0003-0370-9288; Parra, Daniel/0000-0001-6488-531X</t>
  </si>
  <si>
    <t>0377-9017</t>
  </si>
  <si>
    <t>1573-0530</t>
  </si>
  <si>
    <t>10.1007/s11005-023-01669-9</t>
  </si>
  <si>
    <t>WOS:000970985000001</t>
  </si>
  <si>
    <t>Montecino, AA</t>
  </si>
  <si>
    <t>Alvear Montecino, Alejandra</t>
  </si>
  <si>
    <t>Food and Heritage. Approaches from Food to the Construction of Chilean Identities</t>
  </si>
  <si>
    <t>RIVAR-REVISTA IBEROAMERICANA DE VITICULTURA AGROINDUSTRIA Y RURALIDAD</t>
  </si>
  <si>
    <t>Food plays a fundamental role in the construction of identities, both of the subjects and of the collectives and communities. Thus, in this article, I intend to give a first approximation of how the look from the socio-anthropologies of food allows us to reflect on the construction of Chilean identities. As a hypothesis, I propose that from the notions of contemporary food and its manifestation through food heritage, it is possible to account for what is considered proper for the case of Chile. This allows us to give the light to the subjects that are considered part of the Chilean identities. To this end, research was carried out through archives, secondary sources, and previous research, to trace a route that allows us to begin to understand the links between food, heritage, and Chilean identities.</t>
  </si>
  <si>
    <t>0719-4994</t>
  </si>
  <si>
    <t>10.35588/rivar.v10i28.5443</t>
  </si>
  <si>
    <t>WOS:001034824700001</t>
  </si>
  <si>
    <t>Dragnic, P</t>
  </si>
  <si>
    <t>Dragnic, Paola</t>
  </si>
  <si>
    <t>COUNTER-AGENDA. THE DISPUTE OVER THE MEDIA AND POLITICAL AGENDA</t>
  </si>
  <si>
    <t>PERSPECTIVAS DE LA COMUNICACION</t>
  </si>
  <si>
    <t>0718-4867</t>
  </si>
  <si>
    <t>10.56754/0718-4867.2023.3375</t>
  </si>
  <si>
    <t>WOS:001053183800002</t>
  </si>
  <si>
    <t>Villegas, FC</t>
  </si>
  <si>
    <t>Villegas, Felicia Cares</t>
  </si>
  <si>
    <t>Writing and print: two philosophical concepts to think about the creative process</t>
  </si>
  <si>
    <t>ARTETERAPIA-PAPELES DE ARTETERAPIA Y EDUCACION ARTISTICA PARA LA INCLUSION SOCIAL</t>
  </si>
  <si>
    <t>On the essay A note on the magic board, Freud tried to make a comparison between a childish toy and the functioning of the psychic apparatus. However, it was not only a metaphor for a clinic concept. What we can see in that image is a subversive kind of thinking to create new knowledge. Through the concepts of the philosopher Jacques Derrida: 'print' (as a movement that keep, hold and is modified at the same time) and 'writing' (as inscription, a mark to sign the appearance of a human gesture that is signified in that very moment when it is produced), I try to show how the father of the psychoanalysis left a revolutionary way to think something we consider established and how it could be changed into something new. In the end of this text, I introduce a therapeutic perspective of the artistic language as a device. The thoughts of Derrida and Freud, let us observe the creative process as a force that bounce an established world.</t>
  </si>
  <si>
    <t>1886-6190</t>
  </si>
  <si>
    <t>1988-8309</t>
  </si>
  <si>
    <t>10.5209/arte.83548</t>
  </si>
  <si>
    <t>WOS:000996373900015</t>
  </si>
  <si>
    <t>Avant-garde and revolution in Pablo de Rokha</t>
  </si>
  <si>
    <t>10.4067/s0071-17132022000200245</t>
  </si>
  <si>
    <t>WOS:000959872000015</t>
  </si>
  <si>
    <t>The 1680 Pirate Attack on La Serena: soft power, ethno-diplomacy and cultural and agri-food heritage</t>
  </si>
  <si>
    <t>This article offers a study of Captain Sharp's attack on La Serena in 1680 using as reference four pirate chroniclers: Dick, 1684; Anonymous, 1685; Ringrose, 1685 and Sharp, 1699. Without the means to counter such pirate aggression with military resources or hard power, the local community focused its defence on soft power resources. A remarkable defence of the city was thus identified, through the activation of the cultural heritage of the indigenous Changos (with rafts made from sea lion skins) and the Diaguita (with their networks of irrigation canals). These elements were coordinated with the strategy of the Spanish-Creole authorities (ethno-diplomacy), and on the basis of these three lines of defence, a strategy was developed that succeeded in expelling the pirates from the city.</t>
  </si>
  <si>
    <t>WOS:000923290800003</t>
  </si>
  <si>
    <t>Ramírez, CS</t>
  </si>
  <si>
    <t>Sanchez Ramirez, Celso</t>
  </si>
  <si>
    <t>Do athletes know the morphology of their longitudinal plantar arch?</t>
  </si>
  <si>
    <t>EUROPEAN JOURNAL OF HUMAN MOVEMENT</t>
  </si>
  <si>
    <t>The foot corresponds to the body segment that allows the exchange of forces between the support surface and the athlete's body; its morphology and function influence the quality of movement and body alignment. Moreover, the foot morphology can be modified according to the different adaptations that different sports cause, such as running, sport combat and team sports. This work aimed to define the knowledge that a sample of athletes has about their Medial Longitudinal Foot Arch (MLA). A sample of 119 athletes, separated into three groups (runners, combat athletes, and team players), were given a self-perception questionnaire of their MLA. Their responses were contrasted with the Arch Index (AI), which is a reliable objective measurement of the MLA. Just 18.5% of the sample were able to identify their MLA, as 67.2% stated they did not know, and 14.3% erred in their self-diagnosis. Combat athletes had the highest percentage who correctly identified their MLA (25%). Association was found between the knowledge demonstrated by athletes and the sport they practiced (X-2 = 9.926, df = 4, p = 0.04). The ignorance about MLA by the athletes studied is presented as a problem of which consequences are unknown; this opens future research focused on the study of injuries caused by misalignment of the foot and the need to prescribe sports shoes as orthoses.</t>
  </si>
  <si>
    <t>2386-4095</t>
  </si>
  <si>
    <t>JUN 30</t>
  </si>
  <si>
    <t>10.21134/eurjhm.2022.48.7</t>
  </si>
  <si>
    <t>WOS:000822496700011</t>
  </si>
  <si>
    <t>ARTICLES AND COLUMNS</t>
  </si>
  <si>
    <t>WOS:000817165400027</t>
  </si>
  <si>
    <t>Kahn, LA</t>
  </si>
  <si>
    <t>Kahn, Luis Aranguiz</t>
  </si>
  <si>
    <t>The Transnational Awakening of the Christian Zionist ?Sleeping Giant??: Actors of the Evangelical Public Support to the State of Israel from the Chilean Case</t>
  </si>
  <si>
    <t>The public support of evangelical Christians for the State of Israel is a phenomenon that has transcended the United States and has reached Latin America. Therefore, this article seeks to present the main actors and actions of Christian Zionists in Chile. The article addresses the phenomenon within the broad framework of international studies, examining its transnational dimension in relation to the American case since it is a reference for Chilean actors. In addition, Chilean Zionist Christianity is analyzed in the context of post-dictatorship and its repercussions on evangelicals' search for political participation in the democratic era.</t>
  </si>
  <si>
    <t>e77697</t>
  </si>
  <si>
    <t>10.5209/poso.77697</t>
  </si>
  <si>
    <t>WOS:000904054900004</t>
  </si>
  <si>
    <t>Kaempffer, MJD</t>
  </si>
  <si>
    <t>Delpiano Kaempffer, Maria Jose</t>
  </si>
  <si>
    <t>Between the aesthetics of picturesque and the documentary uses: the images of popular types and customs in Chile and Peru's 19th century visual culture</t>
  </si>
  <si>
    <t>Images of popular types and customs were set up as fundamental repertoires in the structure of nation imaginaries in Latin America, hence the importance of its study in order to understand nineteenth-century visual culture in territories such as Chile and Peru. These representations were mainly developed from manual media, in which are discussed matters of taste, associated to an aesthetic of the picturesque; this shows the tensions and convergences of various functions and demands of the model image. However, during the second half of the nineteenth century, this tradition will confront the emergence of the photographic medium. The repercussions and transformations which this implied will be discuss in the present article, considering both the documentary and the informative component that photography would have boost into a repertoire which was mostly constituted, though not exclusively, by an aesthetic of the picturesque. In this way, this paper proposes a historiographic reading that analyses the setting-up of this tradition through particular cases refer to the Chilean and Peruvian context, to think afterwards its reformulation following the incursion of the technical device.</t>
  </si>
  <si>
    <t>0716-4254</t>
  </si>
  <si>
    <t>10.32735/S0718-2201202100052892</t>
  </si>
  <si>
    <t>WOS:000692518600013</t>
  </si>
  <si>
    <t>Input-Output Admissibility Analysis of Continuous Descriptor System with Time-Varying Delay</t>
  </si>
  <si>
    <t>2021 AMERICAN CONTROL CONFERENCE (ACC)</t>
  </si>
  <si>
    <t>Proceedings of the American Control Conference</t>
  </si>
  <si>
    <t>American Control Conference (ACC)</t>
  </si>
  <si>
    <t>MAY 25-28, 2021</t>
  </si>
  <si>
    <t>Amer Automat Control Council,Mitsubishi Elect Res Lab,Halliburton,MathWorks,Wiley,GE Global Res,Soc Ind Appl Math,dSPACE,Tangibles That Teach,Elsevier,GM</t>
  </si>
  <si>
    <t>This paper deals with the input-output admissibility analysis of the continuous descriptor system with a time-varying delay. A two-term approximation transformation-model has been used to convert the original system into two interconnected subsystems. Based on the scaled small gain theorem and a new Lyapunov-Krasovskii functional, a delay-dependent sufficient condition has been presented to ensure that the time-varying delay descriptor system is input-output stable, regular, and impulse free. The derived conditions are given in a set of linear matrix inequalities. Finally, an example has been used to test the merit and validity of the proposed method.</t>
  </si>
  <si>
    <t>El Aiss, Hicham/AAD-6510-2022; Rodriguez ledesma, Carlos Mario/IUP-4591-2023; Barbosa, Karina/A-2236-2014</t>
  </si>
  <si>
    <t>0743-1619</t>
  </si>
  <si>
    <t>2378-5861</t>
  </si>
  <si>
    <t>978-1-6654-4197-1</t>
  </si>
  <si>
    <t>WOS:000702263302092</t>
  </si>
  <si>
    <t>Urrea, C; Kern, J; Alvarado, J</t>
  </si>
  <si>
    <t>Urrea, Claudio; Kern, John; Alvarado, Johanna</t>
  </si>
  <si>
    <t>Design and Evaluation of a New Fuzzy Control Algorithm Applied to a Manipulator Robot</t>
  </si>
  <si>
    <t>In this article, we propose a new scheme for a fuzzy logic controller, which includes acceleration as one of its linguistic variables, as opposed to other techniques and approaches that have been developed and reported in the literature. This method is used for controlling the tracking of the trajectory followed by the joints of a 2-DoF manipulator robot. To this end, a complete simulation environment is developed through the MatLab/Simulink(R) software. The dynamic model of the manipulator robot includes a vector that consists of the estimate of the friction forces present in the joints. Then, a controller based on fuzzy logic is designed and implemented for each joint. Finally, the performance of the developed system is assessed and then compared to the performance of a classic PID controller. The incorporation of the fuzzy variable acceleration significantly improved the system's response.</t>
  </si>
  <si>
    <t>Urrea, Claudio/0000-0001-7197-8928; , Johanna Alvarado Neira/0009-0007-9436-4719</t>
  </si>
  <si>
    <t>10.3390/app10217482</t>
  </si>
  <si>
    <t>WOS:000589140200001</t>
  </si>
  <si>
    <t>Jiménez, R</t>
  </si>
  <si>
    <t>Jimenez, Rodolfo</t>
  </si>
  <si>
    <t>Study of the validity of the constructive system LAD-MA for the self-help housing of incremental housing</t>
  </si>
  <si>
    <t>INFORMES DE LA CONSTRUCCION</t>
  </si>
  <si>
    <t>Since the mid-1980s and until the early '90s of the twentieth century, various NGOs working on the housing problem for the most vulnerable segments of society in Chile explored different alternatives to offer practical solutions in a context of political dictatorship and a State with low response capacity. Among the NGOs of the time, Taller Norte Technical Assistance Center stands out. This article is part of an investigation that retrieves the technological experience of the LAD-MA construction system design, created to be used in mutual self-help programs. The study analyzes the effect that the economic and political social context of the time had over the system design, seeking to establish the validity of the construction system in the current social economic and political conditions.</t>
  </si>
  <si>
    <t>0020-0883</t>
  </si>
  <si>
    <t>1988-3234</t>
  </si>
  <si>
    <t>OCT-DEC</t>
  </si>
  <si>
    <t>e367</t>
  </si>
  <si>
    <t>10.3989/ic.73728</t>
  </si>
  <si>
    <t>WOS:000610835000009</t>
  </si>
  <si>
    <t>Pizarro, J; Segura, R; Tapia, D; Navarro, F; Fuenzalida, F; Aguirre, MJ</t>
  </si>
  <si>
    <t>Pizarro, Jaime; Segura, Rodrigo; Tapia, Diego; Navarro, Freddy; Fuenzalida, Francesca; Jesus Aguirre, Maria</t>
  </si>
  <si>
    <t>Inexpensive and green electrochemical sensor for the determination of Cd(II) and Pb(II) by square wave anodic stripping voltammetry in bivalve mollusks</t>
  </si>
  <si>
    <t>FOOD CHEMISTRY</t>
  </si>
  <si>
    <t>An inexpensive and environmental friendly electrochemical sensor based on a glassy carbon electrode (GC) modified with graphene quantum dots (GQDs) and Nafion (NF) has been developed for the determination of Cd(II) and Pb(II) in bivalve mollusks using square wave anodic stripping voltammetry (SWASV). GQDs were characterized by UV-Vis spectroscopy, fluorescence and transmission electronic microscopy (TEM). The modified electrode was evaluated by cyclic voltammetry, scanning electronic microscopy (SEM) and electrochemical impedance spectroscopy (EIS). A linearity of 20-200 mu g L-1 was found, with a limit of detection (LOD) of 11.30 mu g L-1 for Cd(II) and 8.49 mu g L-1 for Pb(II). The proposed methodology was validated with a certified reference material TMDA-64.2. The reproducibility of GC/GQDs-NF for both species had an RSD of less than 10%. The results were compared with ICP-OES. The method was applied in the determination of Cd(II) and Pb(II) in bivalve mollusks samples with excellent results.</t>
  </si>
  <si>
    <t>Tapia, Diego/KIG-4786-2024; Navarro, Freddy/KIA-4345-2024; Segura, Rodrigo/J-6696-2016; Aguirre, Maria/A-3935-2013</t>
  </si>
  <si>
    <t>Segura, Rodrigo/0000-0001-5747-2357; Navarro, Freddy/0000-0003-0056-5266</t>
  </si>
  <si>
    <t>0308-8146</t>
  </si>
  <si>
    <t>1873-7072</t>
  </si>
  <si>
    <t>AUG 15</t>
  </si>
  <si>
    <t>10.1016/j.foodchem.2020.126682</t>
  </si>
  <si>
    <t>WOS:000526394400015</t>
  </si>
  <si>
    <t>Pino, E; Calderón, C; Herrera, F; Cifuentes, G; Arteaga, G</t>
  </si>
  <si>
    <t>Pino, Eduardo; Calderon, Cristian; Herrera, Francisco; Cifuentes, Gerardo; Arteaga, Gisselle</t>
  </si>
  <si>
    <t>Photocatalytic Degradation of Aqueous Rhodamine 6G Using Supported TiO2 Catalysts. A Model for the Removal of Organic Contaminants From Aqueous Samples</t>
  </si>
  <si>
    <t>FRONTIERS IN CHEMISTRY</t>
  </si>
  <si>
    <t>As a model for the removal of complex organic contaminants from industrial water effluents, the heterogeneous photocatalytic degradation of Rhodamin 6G was studied using TiO2-derived catalysts, incorporated in water as suspension as well as supported in raschig rings. UV and Visible light were tested for the photo-degradation process. TiO2 catalysts were synthesized following acid synthesis methodology and compared against commercial TiO2 catalyst samples (Degussa P25 and Anatase). The bandgap (E-g) of the TiO2 catalysts was determined, were values of 2.97 and 2.98 eV were obtained for the material obtained using acid and basic conditions, respectively, and 3.02 eV for Degussa P25 and 3.18 eV for anatase commercial TiO2 samples. Raschig rings-supported TiO2 catalysts display a good photocatalytic performance when compared to equivalent amounts of TiO2 in aqueous suspension, even though a large surface area of TiO2 material is lost upon support. This is particularly evident by taking into account that the characteristics (XRD, RD, Eg) and observed photodegradative performance of the synthesized catalysts are in good agreement with the commercial TiO2 samples, and that the RH6G photodegradation differences observed with the light sources considered are minimal in the presence of TiO2 catalysts. The presence of additives induce changes in the kinetics and efficiency of the TiO2-catalyzed photodegradation of Rh6G, particularly when white light is used in the process, pointing toward a complex phenomenon, however the stability of the supported photocatalytic systems is acceptable in the presence of the studied additives. In line with this, the magnitude of the chemical oxygen demand, indicates that, besides the different complex photophysical processes taking place, the endproducts of the considered photocatalytic systems appears to be similar.</t>
  </si>
  <si>
    <t>Cifuentes, Gerardo/AAS-2148-2021; Calderon, cristian/GQA-7422-2022</t>
  </si>
  <si>
    <t>Herrera, Francisco/0000-0001-7783-2970; Cifuentes, Gerardo/0000-0002-9543-1625; Pino, Eduardo Francisco/0000-0002-7851-3952</t>
  </si>
  <si>
    <t>2296-2646</t>
  </si>
  <si>
    <t>MAY 5</t>
  </si>
  <si>
    <t>10.3389/fchem.2020.00365</t>
  </si>
  <si>
    <t>WOS:000536331700001</t>
  </si>
  <si>
    <t>Policy Failure Revisited: Conceptual Implications From the Chilean Case of Transantiago</t>
  </si>
  <si>
    <t>ADMINISTRATION &amp; SOCIETY</t>
  </si>
  <si>
    <t>The article analyzes the ability of policy failure frameworks to characterize and explain the reform of Santiago's public transport system. It focuses on the following questions: When a policy may be deemed a failure, what sources led to the failure, and what lesson may be drawn from the case? It suggests that these three questions must be addressed simultaneously to integrally understand a policy failure. The case proposes areas of further investigation to elaborate a conceptual framework for a better understanding of why a particular policy may fail. Information comes from 53 interviews, official documents, academic bibliography, and the media.</t>
  </si>
  <si>
    <t>0095-3997</t>
  </si>
  <si>
    <t>1552-3039</t>
  </si>
  <si>
    <t>10.1177/0095399718786878</t>
  </si>
  <si>
    <t>WOS:000526458600003</t>
  </si>
  <si>
    <t>Rojas, A; Velásquez, E; Garrido, L; Galotto, MJ; de Dicastillo, CL</t>
  </si>
  <si>
    <t>Rojas, Adrian; Velasquez, Eliezer; Garrido, Luan; Jose Galotto, Maria; Lopez de Dicastillo, Carol</t>
  </si>
  <si>
    <t>Design of active electrospun mats with single and core-shell structures to achieve different curcumin release kinetics</t>
  </si>
  <si>
    <t>In this work, core-shell electrospun mats based on poly (lactic acid) (PLA) and polyvinyl alcohol (PVA) were developed as novel curcumin release materials. The effect of the incorporation of cellulose nanocrystals (CNN) in the PLA shell structure on structural, thermal and curcumin release were studied. A phenomenological mass transfer model was used to correlate the experimental release kinetic data as well as the structural and thermal characterization of the electrospun mats. Curcumin distribution coefficients (K-P/SA) values for core-shell electrospun PLA/PVA mats were higher than K-P/SA values of uniaxial active PLA. Modelling analysis evidenced PLA/PVA coaxial structures slowed down the effective diffusion coefficients of curcumin, and this value notoriously decreased by the incorporation of CNC in the PLA shell matrix due to the tortuous path created through the PLA matrix.</t>
  </si>
  <si>
    <t>Rojas, Adrián/AAR-9441-2021; Lopez-de-Dicastillo, Carol/C-6347-2019</t>
  </si>
  <si>
    <t>Lopez-de-Dicastillo, Carol/0000-0003-0067-9765; Rojas, Adrian/0000-0001-9253-1295; VELASQUEZ, ELIEZER/0000-0001-8858-8926</t>
  </si>
  <si>
    <t>10.1016/j.jfoodeng.2019.109900</t>
  </si>
  <si>
    <t>WOS:000516885600015</t>
  </si>
  <si>
    <t>Quintero, J; Román, D; Salazar, JL; Mahn, A</t>
  </si>
  <si>
    <t>Quintero, Julian; Roman, Daniela; Salazar, Jose Luis; Mahn, Andrea</t>
  </si>
  <si>
    <t>Economic assessment of a small-scale plant for production of sulforaphane-rich broccoli flour in Chile</t>
  </si>
  <si>
    <t>BIOFUELS BIOPRODUCTS &amp; BIOREFINING-BIOFPR</t>
  </si>
  <si>
    <t>Broccoli offers several health benefits due to its high content of bioactive compounds, especially sulforaphane - a promising anticancer compound. In Chile, the broccoli crop is expanding rapidly, creating opportunities to industrialize this vegetable and exploit its functional properties. Various processes have been studied with the aim of maximizing the sulforaphane content in processed broccoli using different dehydration methods. These have shown large differences in terms of recovery and cost. This work shows an economic feasibility study of a small-scale plant for the production of sulforaphane-rich broccoli flour considering three drying alternatives: tray drying (TD), pulsed fluidized-bed drying, and freeze-drying (FD). Freeze drying resulted in the highest sulforaphane content in the broccoli flour; however, this process entails the highest production cost. Tray drying showed the lowest production cost and a comparatively high sulforaphane content in the final product. Pulsed fluidized bed drying (PFBD) resulted in the highest sulforaphane loss. Although the three drying technologies resulted in positive net present values (NPV), the internal rate of return (IRR) was the lowest for freeze drying as a result of the high investment - over 20% higher than the investment required by the other alternatives. The NPV was practically independent of the drying technology when the sulforaphane content was considered in the estimation of the selling price. (c) 2020 Society of Chemical Industry and John Wiley &amp; Sons, Ltd</t>
  </si>
  <si>
    <t>Quintero, Julian/KHY-7891-2024; Salazar, Jose/KHC-7260-2024; Quintero, Julian/I-6335-2016</t>
  </si>
  <si>
    <t>Mahn, Andrea/0000-0001-6082-0279; SALAZAR, JOSE LUIS/0000-0002-9922-9424; Quintero, Julian/0000-0003-1224-5649</t>
  </si>
  <si>
    <t>1932-104X</t>
  </si>
  <si>
    <t>1932-1031</t>
  </si>
  <si>
    <t>10.1002/bbb.2097</t>
  </si>
  <si>
    <t>MAR 2020</t>
  </si>
  <si>
    <t>WOS:000520568600001</t>
  </si>
  <si>
    <t>INTELLECTUAL INTEGRATION</t>
  </si>
  <si>
    <t>WOS:000608865900033</t>
  </si>
  <si>
    <t>Fuentes, C; Riquelme, E; Chavez, H</t>
  </si>
  <si>
    <t>Fuentes, Carlos; Riquelme, Estaben; Chavez, Hector</t>
  </si>
  <si>
    <t>Towards Distribution Feeders Frequency Response via Solid State Transformers</t>
  </si>
  <si>
    <t>Although Solid State Transformers have shown to be improve energy quality in distribution systems, its massive integration is a risk for the frequency stability as they prevent the loads from providing inertia and frequency respond to the system. Synthetic or virtual inertia strategies have been proposed to solve this problems in the case of wind and solar converters, but they are not directly applicable to solid state transformers. This paper propose a simple control strategy based on loads dynamic, SST and power system dynamics to provide the solid state transformer with frequency response. Study cases are presented using an ERCOT power system model and a Serbian distribution feeder model to show numerical results.</t>
  </si>
  <si>
    <t>10.1109/TDLA47668.2020.9326220</t>
  </si>
  <si>
    <t>WOS:000666965600057</t>
  </si>
  <si>
    <t>Reyes, A; Henríquez-Vargas, L; Vásquez, J; Pailahueque, N; Aguilar, G</t>
  </si>
  <si>
    <t>Reyes, A.; Henriquez-Vargas, L.; Vasquez, J.; Pailahueque, N.; Aguilar, G.</t>
  </si>
  <si>
    <t>Analysis of a laboratory scale thermal energy accumulator using two-phases heterogeneous paraffin wax-water mixtures</t>
  </si>
  <si>
    <t>To reduce the cost of materials in a thermal energy accumulator, the use of water as a substitute for a mass fraction of paraffin wax was considered in the present study which evaluates the thermal behavior of a combined sensible and latent heat storage system that used a beverage can containing paraffin wax and water in different proportions for experiences of thermal energy accumulation and discharge. Unlike other applications that consider the forming of emulsions, there will be two phases within the containers. In a second stage, energy discharge experiences were realized within a 12 cans laboratory scale energy accumulator to analyze its thermal behavior. Replacing 25% of paraffin wax decreases the accumulated energy by only 12%, retaining similar energy discharge times relative to a 100% paraffin wax configuration. Shorter energy loading times and higher heat removal were observed for configurations with a higher water content. No major differences in energy discharge efficiency were found for the same wax/water content, using air velocities of 1.3 m/s and 2.6 m/s. However, in the first 60 min differences up to 25% in the heat removal were observed. Heat transfer coefficients between 18.0 W/m2K and 26.8 W/m2K were determined experimentally. (C) 2019 Elsevier Ltd. All rights reserved.</t>
  </si>
  <si>
    <t>10.1016/j.renene.2019.06.007</t>
  </si>
  <si>
    <t>WOS:000494885700006</t>
  </si>
  <si>
    <t>Toro Ibacache, Lenissett</t>
  </si>
  <si>
    <t>Bilateral Japan-Chile relations (1990-1997): Against uncertainty, the strategic alliance</t>
  </si>
  <si>
    <t>This paper aims to understand and explain the factors that prompted an economic powerhouse like Japan to propose a strategic alliance with Chile in 1994. The hypothesis is that Chilean financial stability in the 1990s and an opportunity for the Japanese to access the MERCOSUR economies were the factors that drove this alliance. However, the impact of the Asian financial crisis in 1997, which led Japan to be replaced by China as the primary market for Latin American exports in Asia, prevented this idea from materializing as it was originally meant to. In response, a series of high-level official visits took place between the countries, which highlighted the gap between Chile's foreign policy agenda and the interests of the country's business sector.</t>
  </si>
  <si>
    <t>Toro-Ibacache, Lenissett/JFA-2255-2023</t>
  </si>
  <si>
    <t>10.4067/S0719-09482020000100055</t>
  </si>
  <si>
    <t>WOS:000550992500003</t>
  </si>
  <si>
    <t>Riquelme, MZ; González, JC; Mardones, MR; Lira, FO</t>
  </si>
  <si>
    <t>Zamorano Riquelme, Marcela; Carreno Gonzalez, Javiera; Regina Mardones, Maria; Osorio Lira, Fernando</t>
  </si>
  <si>
    <t>Behavior Consumer in Chile after the implementation of the law of critical nutrient seals in the labeling of Foods.</t>
  </si>
  <si>
    <t>Obesity and overweight in Chile, affect 27.6% and 12.3% of the population respectively, according to the National Health Survey (2016). These rating have been increasing in recent years, so several interventions have been used to try to control them. One of them is the implementation, starting June 2016 of Law 20,606, on food nutritional composition and its advertising, by Decree 13/15. This regulation seeks through a seal of critical nutrients HIGH IN, to be alert at the buying time, and so avoid choosing food with stamps and be able the acquisition of food with fewer imprints or free of them. Almost, three years after of its implementation, it is necessary to evaluate its effectiveness and acceptance or rejection by consumers. The methodology included the application of a survey with closed and structured questions, previously validated, to a sample of stratified population and its subsequent statistical analysis. It was concluded that the critical nutrient seals are recognized and understood in a greater percentage (93.39%) by women less than 17 years of age. Regarding the buying habits, it was concluded that the labeling does not substantially modify the consumption habits in the analyzed groups, showing women the greater availability to make a change in his purchase.</t>
  </si>
  <si>
    <t>WOS:000608874800012</t>
  </si>
  <si>
    <t>Llorca-Jaña, M; Navarrete-Montalvo, J; Araya-Valenzuela, R</t>
  </si>
  <si>
    <t>Llorca-Jana, Manuel; Navarrete-Montalvo, Juan; Araya-Valenzuela, Roberto</t>
  </si>
  <si>
    <t>Inequality in Chile before the first globalization: an approach derived from agricultural market income, 1830s-1850s</t>
  </si>
  <si>
    <t>HISTORIA AGRARIA</t>
  </si>
  <si>
    <t>This article assesses agricultural market income inequality by examining three untapped comprehensive agricultural censuses of all of Chile, undertaken in 1834, 1838 and 1852. Since there had been no Chilean income inequality measurements prior to 1860, this is a novel contribution. Given Chile's great dependence on the agricultural sector during the pre-industrial period of the 1830s to 1850s, measures of agricultural market income inequality can safely be taken as a proxy for total income inequality. This study found that agricultural market income inequality was extremely high during the first decades after Chilean independence. Gini coefficients for agricultural market income among landowners were 0.75, 0.75 and 0.79 for 1834, 1838 and 1852 respectively, while the figures for the entire rural Chilean population, including the landless, were 0.79,0.87, and 0.89. Around 85% of the population did not own any land and for an unskilled labourer to rent a plot of 1,500 hectares in 1834 cost 3.3 years of wages, and annual wages of 11.3 in 1838. In a conclusion that is at odds with previous historiographical findings, our data suggest that inequality in Chile was very high and had begun to increase decades before the first globalization.</t>
  </si>
  <si>
    <t>1139-1472</t>
  </si>
  <si>
    <t>2340-3659</t>
  </si>
  <si>
    <t>10.26882/histagrar.074e04l</t>
  </si>
  <si>
    <t>WOS:000426332400007</t>
  </si>
  <si>
    <t>Municipalization as Debureaucratization: Municipal Reform Movement in Nineteenth Century Chile</t>
  </si>
  <si>
    <t>LEX LOCALIS-JOURNAL OF LOCAL SELF-GOVERNMENT</t>
  </si>
  <si>
    <t>This article the efforts made by certain political actors to change Chilean municipal institutionality between 1854 and 1891. It shows that the initial design guaranteed central government control over the municipalities. This led political actors that are against an active role of the state, to seek to modify its design by giving municipalities greater autonomy. This study shows two issues that are relevant to the theoretical debate. First, bureaucratization generate conflicts, and even antibureaucratic reactions. Secondly, municipalization is not always a univocal concept, but rather that its content depends on the administrative characteristics and traditions of each territory.</t>
  </si>
  <si>
    <t>1581-5374</t>
  </si>
  <si>
    <t>1855-363X</t>
  </si>
  <si>
    <t>10.4335/16.1.129-146(2018)</t>
  </si>
  <si>
    <t>WOS:000425586900006</t>
  </si>
  <si>
    <t>Carrasco, F</t>
  </si>
  <si>
    <t>Carrasco, Francisco</t>
  </si>
  <si>
    <t>Art and disease: the infectious disease as inspiration or ruin</t>
  </si>
  <si>
    <t>WOS:000452408600022</t>
  </si>
  <si>
    <t>Teixeira, JR</t>
  </si>
  <si>
    <t>Estenssoro, F; Vasquez, JP</t>
  </si>
  <si>
    <t>Rodrigues Teixeira, Juliane</t>
  </si>
  <si>
    <t>THE ENVIRONMENTAL DIMENSION IN BRAZILIAN POLITICS: Internal aspects and the country's role in global governance during the governments of Fernando Henrique Cardoso and Luiz Inacio Lula da Silva (1995-2010)</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</si>
  <si>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</si>
  <si>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</si>
  <si>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WOS:000668284400009</t>
  </si>
  <si>
    <t>Escudero, D; Staforelli, S; Lemus, L</t>
  </si>
  <si>
    <t>Escudero, Dayra; Staforelli, Sebastian; Lemus, Luis</t>
  </si>
  <si>
    <t>Study of the Interaction of Ruthenium (II) helicates with DNA</t>
  </si>
  <si>
    <t>JOURNAL OF BIOLOGICAL INORGANIC CHEMISTRY</t>
  </si>
  <si>
    <t>18th International Conference on Biological Inorganic Chemistry (ICBIC)</t>
  </si>
  <si>
    <t>JUL 31-AUG 04, 2017</t>
  </si>
  <si>
    <t>Florianopolis, BRAZIL</t>
  </si>
  <si>
    <t>CNPq,CAPES,FAPESC,Journal Inorgan Chem,ACS, Div Inorgan Chem,Soc Biol Inorgan Chem,Journal Biol Inorgan Chem,UFSC,Springer,Metallomics,RSC Advances,Dalton Transact,Bruker,Pharmaceuticals</t>
  </si>
  <si>
    <t>0949-8257</t>
  </si>
  <si>
    <t>1432-1327</t>
  </si>
  <si>
    <t>S138</t>
  </si>
  <si>
    <t>WOS:000419606600107</t>
  </si>
  <si>
    <t>de Dicastillo, CL; Bruna, J; Torres, A; Alvarado, N; Guarda, A; Galotto, MJ</t>
  </si>
  <si>
    <t>Lopez de Dicastillo, Carol; Bruna, Julio; Torres, Alejandra; Alvarado, Nancy; Guarda, Abel; Jose Galotto, Maria</t>
  </si>
  <si>
    <t>A traditional aboriginal condiment as an antioxidant agent in the development of biodegradable active packaging</t>
  </si>
  <si>
    <t>JOURNAL OF APPLIED POLYMER SCIENCE</t>
  </si>
  <si>
    <t>In this study, antioxidant food-packaging materials were developed by the incorporation of merken, an aboriginal Chilean spice, into a biodegradable polymer matrix, poly(lactic acid). Antioxidant activity assays and the phenolic content of merken showed interesting results compared to other condiments, such as oregano and parsley. Active materials with merken at 3 and 5 wt % were successfully obtained by extrusion. Chromatographic analysis revealed the chemical composition of merken, and its active material was based on interesting flavonoids and organic acids, such as catechin, myricetin, and gallic and ellagic acids. Scanning electron micrographs showed that the merken particles accumulated in aggregates; this resulted in an increase in the permeability values and a reduction in the crystallinity and mechanical properties of the polymer matrix. Nevertheless, these materials presented interesting antioxidant activities as radical scavengers on aqueous food simulants. The kinetics of release was dependent on the type of food and the nominal content of merken in the films. (C) 2017 Wiley Periodicals, Inc.</t>
  </si>
  <si>
    <t>Torres, Alejandra/LPQ-5664-2024; bruna, julio/AAM-6867-2021; Lopez-de-Dicastillo, Carol/C-6347-2019</t>
  </si>
  <si>
    <t>Lopez-de-Dicastillo, Carol/0000-0003-0067-9765; Alvarado, Nancy/0000-0001-9698-1621; Bruna, Julio E./0000-0001-9656-6022</t>
  </si>
  <si>
    <t>0021-8995</t>
  </si>
  <si>
    <t>1097-4628</t>
  </si>
  <si>
    <t>10.1002/app.44692</t>
  </si>
  <si>
    <t>WOS:000392612800005</t>
  </si>
  <si>
    <t>Silva, NMO; Cordero, CV</t>
  </si>
  <si>
    <t>Ortega Silva, Nicolas Matias; Valencia Cordero, Claudio</t>
  </si>
  <si>
    <t>Towards Physical Layer Security systems design using Game Theory approaches</t>
  </si>
  <si>
    <t>With the huge develop of low consumption wireless devices both for industry and human wellness and comfort, such as Wireless Body Area Network for health active care and Wireless Sensors Networks for industry environments, new challenges are proposed for the both industry and scientific community. Security is one of this matters. Given the specific characteristics of the low consumptions modern devices, particular security mechanisms must be developed. Here we model a Physical Layer Security mechanism with Cooperative Jamming using Game Theory, in order to go deep into the study on how security of wireless low consumption devices can be improved. Main results shows that certainty on how Secrecy Capacity will behave on its lower and upper bounds is improved by the use of the mixed strategies suggested by the Second Order Cone Programming problem.</t>
  </si>
  <si>
    <t>WOS:000425925000086</t>
  </si>
  <si>
    <t>Riquelme, N; Matiacevich, S</t>
  </si>
  <si>
    <t>Riquelme, Natalia; Matiacevich, Silvia</t>
  </si>
  <si>
    <t>Characterization and evaluation of some properties of oleoresin from Capsicum annuum var. cacho de cabra</t>
  </si>
  <si>
    <t>CYTA-JOURNAL OF FOOD</t>
  </si>
  <si>
    <t>Oleoresin of Capsicum sp. is considered a food additive due to its color and pungency, and its active compound, capsaicin, is characterized by antimicrobial and antioxidant properties. However, Chilean variety of Capsicum sp. has not been characterized yet. The purpose of this study was to characterize the oleoresin of Capsicum annuum var. Cacho de cabra (OCc). Solvent extraction of OCc was carried out with hexane and physical properties of the OCc obtained were determined. Antimicrobial and antioxidant properties of OCc were compared with its active compound, capsaicin. Results showed that OCc has good optical properties compared with other commercial oleoresins and better antimicrobial properties than pure capsaicin. Due to the good optical properties obtained for OCc, this oleoresin could have a higher commercial value to be used as a coloring and flavor of various products, giving an added value to this variety of pepper. RESUMENLa oleorresina de Capsicum sp. es considerada un aditivo alimentario debido a su color y pungencia, y su compuesto activo capsaicina se caracteriza por poseer propiedades antimicrobianas y antioxidantes. Sin embargo, la oleorresina de la variedad chilena de Capsicum sp. no ha sido caracterizada. El objetivo de este estudio fue caracterizar la oleorresina de Capsicum annuum var. Cacho de cabra (OCc). Se realizo la extraccion por solvente de OCc con hexano y se determinaron las propiedades fisicas de la OCc obtenida. Las propiedades antimicrobianas y antioxidantes de la OCc fueron comparadas con su compuesto activo capsaicina. Los resultados mostraron que la OCc presenta buenas propiedades opticas en comparacion con otras oleorresinas comerciales y mejores propiedades antimicrobianas que la capsaicina pura. Debido a las buenas propiedades opticas obtenidas para la OCc, esta podria ser de interes comercial para ser usada como colorante y saborizante de diversos productos, otorgandole un valor a esta variedad de aji.</t>
  </si>
  <si>
    <t>Riquelme Hinojosa, Natalia Andrea/0000-0003-3490-1045</t>
  </si>
  <si>
    <t>1947-6337</t>
  </si>
  <si>
    <t>1947-6345</t>
  </si>
  <si>
    <t>10.1080/19476337.2016.1256913</t>
  </si>
  <si>
    <t>WOS:000402612300003</t>
  </si>
  <si>
    <t>Segura, R; Díaz, K; Pizarro, J; Placencio, A; Tapia, D; Fajardo, A</t>
  </si>
  <si>
    <t>Segura, Rodrigo; Diaz, Karina; Pizarro, Jaime; Placencio, Alan; Tapia, Diego; Fajardo, Angelo</t>
  </si>
  <si>
    <t>ANODIC STRIPPING VOLTAMMETRIC DETERMINATION OF LEAD USING A CHEMICALLY MODIFIED ELECTRODE BASED ON AZA CROWN ETHER</t>
  </si>
  <si>
    <t>A glassy carbon electrode was modified by drop-coating technique using 1,4,10,13-Tetraoxa-7,16-diazaciclooctadecano (diaza-18-crown-6 or DA18C6) and Nafion (NF) for the determination of Pb (II) by square wave anodic stripping voltammetric (SWASV). The new electrode exhibits an increase in due to major pre-concentration of aza crown ether and ionic exchange of NF with metal cations. Optimal conditions were: 3 mmol L-1,DA18C6, 3 wt % NE, 10 mmol L-1 HCI as supporting electrolyte, a frequency of 15 Hz , an accumulation time of 300 s and an accumulation potential of -0.80 V. The detection limit was 0.09 mu g L-1 and linear range was 10-50 mu g L-1 Interference from metal ions such us Fe (II), Pb (II), Cd (II) and Cu (II) was also studied. The method is sensitive, selective and simple with a relative standard deviation of 11%.</t>
  </si>
  <si>
    <t>Tapia, Diego/KIG-4786-2024; Segura, Rodrigo/J-6696-2016</t>
  </si>
  <si>
    <t>Pizarro, Jaime/0000-0002-0122-1847</t>
  </si>
  <si>
    <t>10.4067/s0717-97072017000403726</t>
  </si>
  <si>
    <t>WOS:000431863100011</t>
  </si>
  <si>
    <t>Toro-Ascuy, D; Cortez-San Martín, M</t>
  </si>
  <si>
    <t>Perez, DR</t>
  </si>
  <si>
    <t>Toro-Ascuy, Daniela; Cortez-San Martin, Marcelo</t>
  </si>
  <si>
    <t>Rescue of Infectious Salmon Anemia Virus (ISAV) from Cloned cDNA</t>
  </si>
  <si>
    <t>REVERSE GENETICS OF RNA VIRUSES: METHODS AND PROTOCOLS</t>
  </si>
  <si>
    <t>Methods in Molecular Biology</t>
  </si>
  <si>
    <t>The piscine Orthomyxovirus called Infectious Salmon Anemia Virus (ISAV) is one of the most important emerging pathogens affecting the salmon industry worldwide. The first reverse genetics system for ISAV, which allows the generation of recombinant ISA virus (rISAV), is an important tool for the characterization and study of this fish virus. The plasmid-based reverse genetics system for ISAV includes the use of a novel fish promoter, the Atlantic salmon internal transcribed spacer region 1 (ITS-1). The salmon, viral and mammalian genetic elements included in pSS-URG vectors allow the expression of the eight viral RNA segments. In addition to four cytomegalovirus (CMV)-based vectors that express the four proteins of the ISAV ribonucleoprotein complex, the eight pSS-URG vectors allowed the generation of infectious rISAV in salmon cells.</t>
  </si>
  <si>
    <t>Toro-Ascuy, Daniela/JDC-8224-2023</t>
  </si>
  <si>
    <t>Toro-Ascuy, Daniela/0000-0002-2563-9711</t>
  </si>
  <si>
    <t>1064-3745</t>
  </si>
  <si>
    <t>1940-6029</t>
  </si>
  <si>
    <t>978-1-4939-6964-7; 978-1-4939-6962-3</t>
  </si>
  <si>
    <t>10.1007/978-1-4939-6964-7_15</t>
  </si>
  <si>
    <t>10.1007/978-1-4939-6964-7</t>
  </si>
  <si>
    <t>WOS:000428870100016</t>
  </si>
  <si>
    <t>Speech recognition faced with a language variety: Andalusian dento-alveolar affricate</t>
  </si>
  <si>
    <t>The quality of voice recognition within the field of speech technologies depends on the type of system used and the application to which it is destined. One of the problems that it can present is its degree of robustness with dialectal variants of a language. In this study, an analysis is done of the recognition rate of Andalusian aspiration before the voiceless dentoalveolar plosive by using Google Voice Search and untrained Windows 7, on the one hand, and Windows 7 after a number of training sessions with a speaker, on the other hand. Initially, Google Voice Search has greater robustness than Windows 7, which Windows 7 compensates as the number of training sessions increase. In general, it can be observed that recognition robustness is affected by factors such as the number of possible lexical candidates and the context of the entries.</t>
  </si>
  <si>
    <t>10.7764/onomazein.34.17</t>
  </si>
  <si>
    <t>WOS:000393208600018</t>
  </si>
  <si>
    <t>Bustos, G; Valdés, C; Martinez, JL; Laurido, C</t>
  </si>
  <si>
    <t>Bustos, Gonzalo; Valdes, Carlos; Martinez, Jose L.; Laurido, Claudio</t>
  </si>
  <si>
    <t>Digitalization of a Pressure-Transducer Based Plethysmograph through a PowerLab Equipment for Recording Rat Paw Volume</t>
  </si>
  <si>
    <t>PAKISTAN VETERINARY JOURNAL</t>
  </si>
  <si>
    <t>We presented a plethysmograph built from an old pressure transducer associated with a mercury column. The paw under study was immersed into a mercury vessel for making the measurements. The resultant upward force exerted by the paw was equal to the weight of the fluid that the paw displaced. Since the force exerted equals to the product of the pressure times the area, and the area of the pressure sensor was constant, then the force was directly proportional to the pressure. The accuracy of the measured volume was dependent on the precision of the sensor. In this case, the sensitivity was 50 to 300 mu V per Volt, per 10 mm of mercury. This plethysmograph was tested by immersing objects with different volumes and shapes. Results showed a very good linearity. The values recorded were coupled to a PowerLab model 4/30, allowed us to digitalize the values obtained. (C) 2016 PVJ. All rights reserved</t>
  </si>
  <si>
    <t>Martinez, Jose/AAA-1725-2020; Valdés, Carlos/F-8616-2016</t>
  </si>
  <si>
    <t>Martinez, Jose/0000-0002-0177-4847; Bustos Quevedo, Gonzalo Salvador/0000-0001-6956-6609</t>
  </si>
  <si>
    <t>0253-8318</t>
  </si>
  <si>
    <t>2074-7764</t>
  </si>
  <si>
    <t>WOS:000380062400022</t>
  </si>
  <si>
    <t>Castro, M; Chavez, H</t>
  </si>
  <si>
    <t>Castro, Marco; Chavez, Hector</t>
  </si>
  <si>
    <t>Representation of load dynamics in the dispatch of primary reserves</t>
  </si>
  <si>
    <t>The incorporation of renewable energies in electrical systems has led to replace the conventional generation of energy, causing serious problems in the stability and security of the electrical system. This happens as these energies provide limited inertia and speed governor response to the electrical system; consequently, the frequency response has been affected. In addition, the load frequency dynamics tend to moderate these deviations. This study validates a dispatch model of primary reserves for Chile which ensures, through a ramp-constrained, that the frequency deviation after the disturbance has occurred is above a preset value. In addition, the criteria for incorporating the dynamic load to the primary reserve dispatch are established.</t>
  </si>
  <si>
    <t>WOS:000390556300081</t>
  </si>
  <si>
    <t>Chávez, J; Montaño, R; Barrera, R</t>
  </si>
  <si>
    <t>Chavez, Jorge; Montano, Rosa; Barrera, Rosa</t>
  </si>
  <si>
    <t>Structure and content of messages in an online environment: An approach from participation</t>
  </si>
  <si>
    <t>COMPUTERS IN HUMAN BEHAVIOR</t>
  </si>
  <si>
    <t>This study examines the participation of 24 university professors in the training process that uses on-line environment, which has a duration of 36 h in classroom and 30 h online. The main aim of the course is to provide theoretical and methodological elements that allow teachers to investigate and innovate in their educational practice. With this purpose, the messages were analysed regarding their nature, information level, depth level, and the relation between each of the indicators. The data corpus corresponds to ten discussion forums which were part of a training program in research and innovation in university teaching. The methodology used for the analysis considered the combination of quantitative indicators of participation with an analysis of message content. The results show that the messages are organized mainly around the content or learning task, which in turn tend to concentrate on levels with less complexity and depth. The data also indicate that there is a relation between message length, information level, and depth level achieved by the contributions of the participants when they collaborate in an online environment. (C) 2015 Elsevier Ltd. All rights reserved.</t>
  </si>
  <si>
    <t>0747-5632</t>
  </si>
  <si>
    <t>1873-7692</t>
  </si>
  <si>
    <t>10.1016/j.chb.2015.08.046</t>
  </si>
  <si>
    <t>WOS:000364890100060</t>
  </si>
  <si>
    <t>Carvacho, HB; Pérez, C; Zúñiga, G; Mahn, A</t>
  </si>
  <si>
    <t>Barrientos Carvacho, Herna; Perez, Carmen; Zuniga, Gustavo; Mahn, Andrea</t>
  </si>
  <si>
    <t>Effect of methyl jasmonate, sodium selenate and chitosan as exogenous elicitors on the phenolic compounds profile of broccoli sprouts</t>
  </si>
  <si>
    <t>BACKGROUND: Broccoli sprouts are a good source of secondary metabolites, exhibiting biological activity, such as polyphenols, whose concentration is affected by the exposure to exogenous elicitors. The aim of this work was to investigate the effect of sodium selenate, chitosan and methyl jasmonate, applied directly to the seeds or through irrigation, on the content and profile of phenolic compounds in broccoli sprouts. The effect on antioxidant activity was also investigated. RESULTS: Methyl jasmonate and chitosan decreased antioxidant capacity. Methyl jasmonate significantly decreased total polyphenols content in comparison with control sprouts, while chitosan significantly increased it. Sodium selenate had no statistical effect on antioxidant capacity and total polyphenols concentration. The polyphenols profile in sprouts was composed by quercetin, morine, genisteine, luteoline and sinapic acid. Elicitor type and concentration affected the synthesis of these compounds. Chitosan stimulated the synthesis of quercetin, sinapic acid and morine, whereas methyl jasmonate stimulated the synthesis of luteoline. Sodium selenate had no effect on polyphenols synthesis. CONCLUSION: The exposure of broccoli to the elicitors produced changes in the phenolic compounds profile of broccoli sprouts. Besides, the stimulation of phenolic compounds synthesis was elicitor-specific, thus opening the possibility of managing culture conditions to increase the content of a specific phenolic compound. (C) 2014 Society of Chemical Industry</t>
  </si>
  <si>
    <t>Zuniga, Gustavo/0000-0002-8286-9468; perez, carmen/0000-0003-3333-6881</t>
  </si>
  <si>
    <t>10.1002/jsfa.6596</t>
  </si>
  <si>
    <t>WOS:000339712900026</t>
  </si>
  <si>
    <t>González, A; Contreras, RA; Moenne, A</t>
  </si>
  <si>
    <t>Gonzalez, Alberto; Contreras, Rodrigo A.; Moenne, Alejandra</t>
  </si>
  <si>
    <t>Oligo-Carrageenans Enhance Growth and Contents of Cellulose, Essential Oils and Polyphenolic Compounds in Eucalyptus globulus Trees</t>
  </si>
  <si>
    <t>Eucalyptus globulus (Myrtaceae) originated in Australia and has been introduced in countries with temperate weather in order to obtain wood for cellulose extraction and building purposes. In this work, we analyzed the potential stimulation of growth in height and trunk diameter as well as the content of holo-cellulose, alpha-cellulose (long cellulose chains), essential oils and polyphenolic compounds (PPCs) in E. globulus trees treated with oligo-carrageenans (OCs) kappa, lambda and iota, at 1 mg mL(-1), once a week, four times in total and then cultivated for three additional years without further treatment. Eucalyptus treated with OCs kappa, lambda and iota showed an increase in height, mainly with OCs kappa and iota by 58% and 47%, respectively, and in trunk diameter by 44% and 40%, respectively. In addition, OCs induced an increase in the contents of holo-cellulose and alpha-cellulose, mainly OCs kappa and iota which increased lholo-cellulose by 8% and 5%, respectively, and alpha-cellulose by 16 and 13%, respectively. Moreover, OCs increased the content of essential oils, mainly OCs kappa and iota by 67% and 39%, respectively. Furthermore, OCs decreased the concentration of total phenolic compounds but differentially changed the concentration of several PPCs such as genistein, rutin, ellagic acid, morin, luteolin and quercetin with potential antimicrobial activities. Thus, marine algae OCs kappa, lambda and iota stimulate growth of E. globulus trees by enhancing height and trunk diameter as well as the content of alpha-cellulose, total essential oils, and some PPCs with potential antimicrobial activities.</t>
  </si>
  <si>
    <t>González, Alberto/IYJ-8593-2023; Contreras, Rodrigo/I-1871-2013</t>
  </si>
  <si>
    <t>Contreras, Rodrigo/0000-0001-9970-3125; Gonzalez Figueroa, Alberto/0000-0002-5777-9022</t>
  </si>
  <si>
    <t>10.3390/molecules18088740</t>
  </si>
  <si>
    <t>WOS:000330304100003</t>
  </si>
  <si>
    <t>Tello, M; Vergara, F; Spencer, E</t>
  </si>
  <si>
    <t>Tello, Mario; Vergara, Francisco; Spencer, Eugenio</t>
  </si>
  <si>
    <t>Genomic adaptation of the ISA virus to Salmo salar codon usage</t>
  </si>
  <si>
    <t>Background: The ISA virus (ISAV) is an Orthomyxovirus whose genome encodes for at least 10 proteins. Low protein identity and lack of genetic tools have hampered the study of the molecular mechanism behind its virulence. It has been shown that viral codon usage controls several processes such as translational efficiency, folding, tuning of protein expression, antigenicity and virulence. Despite this, the possible role that adaptation to host codon usage plays in virulence and viral evolution has not been studied in ISAV. Methods: Intergenomic adaptation between viral and host genomes was calculated using the codon adaptation index score with EMBOSS software and the Kazusa database. Classification of host genes according to GeneOnthology was performed using Blast2go. A non parametric test was applied to determine the presence of significant correlations among CAI, mortality and time. Results: Using the codon adaptation index (CAI) score, we found that the encoding genes for nucleoprotein, matrix protein M1 and antagonist of Interferon I signaling (NS1) are the ISAV genes that are more adapted to host codon usage, in agreement with their requirement for production of viral particles and inactivation of antiviral responses. Comparison to host genes showed that ISAV shares CAI values with less than 0.45% of Salmo salar genes. GeneOntology classification of host genes showed that ISAV genes share CAI values with genes from less than 3% of the host biological process, far from the 14% shown by Influenza A viruses and closer to the 5% shown by Influenza B and C. As well, we identified a positive correlation (p&lt;0.05) between CAI values of a virus and the duration of the outbreak disease in given salmon farms, as well as a weak relationship between codon adaptation values of PB1 and the mortality rates of a set of ISA viruses. Conclusions: Our analysis shows that ISAV is the least adapted viral Salmo salar pathogen and Orthomyxovirus family member less adapted to host codon usage, avoiding the general behavior of host genes. This is probably due to its recent emergence among farmed Salmon populations.</t>
  </si>
  <si>
    <t>Tello, Mario/N-4198-2019</t>
  </si>
  <si>
    <t>Tello, Mario/0000-0003-4573-6460; Spencer, Eugenio/0000-0001-6109-140X</t>
  </si>
  <si>
    <t>JUL 5</t>
  </si>
  <si>
    <t>10.1186/1743-422X-10-223</t>
  </si>
  <si>
    <t>WOS:000321438800001</t>
  </si>
  <si>
    <t>Rodriguez, F; Sepulveda, HM; Bruna, J; Guarda, A; Galotto, MJ</t>
  </si>
  <si>
    <t>Rodriguez, Francisco; Mauricio Sepulveda, Hugo; Bruna, Julio; Guarda, Abel; Jose Galotto, Maria</t>
  </si>
  <si>
    <t>Development of Cellulose Eco-nanocomposites with Antimicrobial Properties Oriented for Food Packaging</t>
  </si>
  <si>
    <t>PACKAGING TECHNOLOGY AND SCIENCE</t>
  </si>
  <si>
    <t>Nanocomposites based on cellulose acetate, a commercial organoclay (Cloisite30B), triethyl citrate and variable content of antimicrobial agents (thymol and cinnamaldehyde), were obtained using a solution casting technique. The properties of the nanocomposites were evaluated using X-ray diffraction, differential scanning calorimetry, thermogravimetric analysis, mechanical (modulus of elasticity, tensile strength and elongation at break), scanning electronic microscopy, global migration and microbiological testing. A reduction of glass transition (Tg), melting temperature (Tm) and melting enthalpy (Hm) was also observed when the content of thymol and cinnamaldehyde was increased in the cellulose acetate nanocomposites. In contrast, thermal stability, mechanical performance and morphology of material did not show important differences when the content was modified. Results of global migration were dependent of the kind of simulant used. Finally, the antimicrobial activity was dependent of the essential oil used and its content inside the nanocomposite. An important effect of organoclay on the antimicrobial activity was also observed. Copyright (c) 2012 John Wiley &amp; Sons, Ltd.</t>
  </si>
  <si>
    <t>0894-3214</t>
  </si>
  <si>
    <t>1099-1522</t>
  </si>
  <si>
    <t>APR-MAY</t>
  </si>
  <si>
    <t>10.1002/pts.1980</t>
  </si>
  <si>
    <t>WOS:000317987300003</t>
  </si>
  <si>
    <t>Cotoras, M; Castro, P; Vivanco, H; Melo, R; Mendoza, L</t>
  </si>
  <si>
    <t>Cotoras, Milena; Castro, Paulo; Vivanco, Herman; Melo, Ricardo; Mendoza, Leonora</t>
  </si>
  <si>
    <t>Farnesol induces apoptosis-like phenotype in the phytopathogenic fungus Botrytis cinerea</t>
  </si>
  <si>
    <t>MYCOLOGIA</t>
  </si>
  <si>
    <t>This study demonstrates that the isoprenoid farnesol produces a toxic effect on the phytopathogenic fungus Botrytis cinerea in solid and liquid media. In solid media farnesol retarded 72 h the beginning of mycelial growth. Also, it was demonstrated that the toxic effect is due to farnesol triggers apoptosis in B. cinerea because ROS accumulation, DNA fragmentation and phosphatidylserine externalization were detected in farnesol-treated mycelium. Therefore, compounds that increase the intracellular farnesol or induce apoptosis could have a potential application as fungicide against B. cinerea.</t>
  </si>
  <si>
    <t>0027-5514</t>
  </si>
  <si>
    <t>1557-2536</t>
  </si>
  <si>
    <t>10.3852/12-012</t>
  </si>
  <si>
    <t>WOS:000314387000002</t>
  </si>
  <si>
    <t>Urban Chile: The city in literature and cinema</t>
  </si>
  <si>
    <t>El-Shenawee, Magda/0000-0001-7678-8883</t>
  </si>
  <si>
    <t>10.4067/S0717-68482013000100011</t>
  </si>
  <si>
    <t>WOS:000322936900011</t>
  </si>
  <si>
    <t>Coloniality: Observations on the Construction of Discourses</t>
  </si>
  <si>
    <t>The colonial relationship generated a stratified sphere of the imaginaries. Thus arose illustrated, popular (rural and urban), indigenous and, then, media literary systems. The order of discourse was Western, but cultures that inherited colonization processes generated flows that put into tension the internal relations between the cultures involved. Contemporary discourses show, on the one hand, a flow that leads the popular to the illustrated system. Furthermore, they show a plurality of junctions that leads us to propose a perspective on amplitude, rhizomatic, close to the creolization conceived by Edouard Glissant.</t>
  </si>
  <si>
    <t>WOS:000329767300006</t>
  </si>
  <si>
    <t>Espíndola, D; Galaz, B; Melo, F</t>
  </si>
  <si>
    <t>Espindola, David; Galaz, Belfor; Melo, Francisco</t>
  </si>
  <si>
    <t>Ultrasound Induces Aging in Granular Materials</t>
  </si>
  <si>
    <t>Aging and rejuvenation have been identified as the general mechanisms that rule the time evolution of granular materials subjected to some external confinement pressure. In creep experiments performed in a triaxial configuration, we obtained evidence that relatively high intensity ultrasound waves propagating through the material induce both weakening and significant plasticity. In the framework of glassy materials, it is shown that the effect of ultrasound can be simply accounted for by a general variable, the fluidity, whose dynamics are described by an effective aging parameter that strongly decreases with sound amplitude and vanishes at the yield stress limit. The response from step perturbations in ultrasound intensity provided a method to assess the effective-viscosity jumps which are direct evidence of acoustic fluidization.</t>
  </si>
  <si>
    <t>Melo, Francisco/M-3923-2014; Espindola, DAVID/M-9318-2019</t>
  </si>
  <si>
    <t>Espindola, David/0000-0001-6675-9560; Melo, Francisco Esteban/0000-0001-6818-5476</t>
  </si>
  <si>
    <t>OCT 9</t>
  </si>
  <si>
    <t>10.1103/PhysRevLett.109.158301</t>
  </si>
  <si>
    <t>WOS:000309590300047</t>
  </si>
  <si>
    <t>Vecchi, D</t>
  </si>
  <si>
    <t>Brinkworth, M; Weinert, F</t>
  </si>
  <si>
    <t>Vecchi, Davide</t>
  </si>
  <si>
    <t>Taking Biology Seriously: Neo-Darwinism and Its Many Challenges</t>
  </si>
  <si>
    <t>EVOLUTION 2 0: IMPLICATIONS OF DARWINISM IN PHILOSOPHY AND THE SOCIAL AND NATURAL SCIENCES</t>
  </si>
  <si>
    <t>Frontiers Collection</t>
  </si>
  <si>
    <t>Vecchi, Davide/M-2973-2015</t>
  </si>
  <si>
    <t>1612-3018</t>
  </si>
  <si>
    <t>978-3-642-20495-1</t>
  </si>
  <si>
    <t>10.1007/978-3-642-20496-8_16</t>
  </si>
  <si>
    <t>10.1007/978-3-642-20496-8</t>
  </si>
  <si>
    <t>WOS:000320068700017</t>
  </si>
  <si>
    <t>Mahn, A; Ismail, M</t>
  </si>
  <si>
    <t>Mahn, Andrea; Ismail, Maritza</t>
  </si>
  <si>
    <t>Depletion of highly abundant proteins in blood plasma by ammonium sulfate precipitation for 2D-PAGE analysis</t>
  </si>
  <si>
    <t>JOURNAL OF CHROMATOGRAPHY B-ANALYTICAL TECHNOLOGIES IN THE BIOMEDICAL AND LIFE SCIENCES</t>
  </si>
  <si>
    <t>Ammonium sulfate precipitation (ASP) was explored as a method for depleting some highly abundant proteins from blood plasma, in order to reduce the dynamic range of protein concentration and to improve the detection of low abundance proteins by 2D-PAGE. 40% ammonium sulfate saturation was chosen since it allowed depleting 39% albumin and 82% alpha-1-antitrypsin. ASP-depletion showed high reproducibility in 2D-PAGE analysis (4.2% variation in relative abundance of albumin), similar to that offered by commercial affinity-depletion columns. Besides, it allowed detecting 59 spots per gel, very close to the number of spots detected in immuno-affinity-depleted plasma. Thus, ASP at 40% saturation is a reliable depletion method that may help in proteomic analysis of blood plasma. Finally, ASP-depletion seems to be complementary to hydrophobic interaction chromatography (HIC)-depletion, and therefore an ASP-step followed by a HIC-step could probably deplete the most highly abundant plasma proteins, thus improving the detection of low abundance proteins by 2D-PAGE. (C) 2011 Elsevier B.V. All rights reserved.</t>
  </si>
  <si>
    <t>1570-0232</t>
  </si>
  <si>
    <t>NOV 15</t>
  </si>
  <si>
    <t>10.1016/j.jchromb.2011.09.024</t>
  </si>
  <si>
    <t>WOS:000297396200039</t>
  </si>
  <si>
    <t>Zapata, PA; Tamayo, L; Páez, M; Cerda, E; Azócar, I; Rabagliati, FM</t>
  </si>
  <si>
    <t>Zapata, Paula A.; Tamayo, Laura; Paez, Maritza; Cerda, Enrique; Azocar, Ignacio; Rabagliati, Franco M.</t>
  </si>
  <si>
    <t>Nanocomposites based on polyethylene and nanosilver particles produced by metallocenic in situ polymerization: synthesis, characterization, and antimicrobial behavior</t>
  </si>
  <si>
    <t>Polyethylene nanocomposites containing silver nanoparticles with antimicrobial properties were produced via in situ polymerization. The silver nanoparticles were added together with the catalytic system (metallocene catalyst and methylaluminoxane. MAO, as cocatalyst) directly to the reactor. The polymerization activity did not present significant changes with the incorporation of the silver nanoparticles in comparison to the homopolymerization without filler. The effect of various silver nanoparticle contents on silver ion release and antimicrobial efficacy against Escherichia Coli were studied. Nanocomposites containing higher nanosilver concentrations (5 wt.%) showed the highest silver ion release, and after 24 h reached 99.99% of efficacy against the bacteria compared with the neat PE. Transmission electron microscopy (TEM) images showed that the nanospheres were well dispersed throughout the polyethylene matrix. (C) 2011 Elsevier Ltd. All rights reserved.</t>
  </si>
  <si>
    <t>Tamayo, Laura/I-8942-2018; Paez, Maritza/M-2010-2014; Azocar, Manuel/I-1226-2013</t>
  </si>
  <si>
    <t>Tamayo, Laura/0000-0003-1159-5305; paez, maritza/0000-0001-5881-884X; Zapata, Paula Andrea/0000-0003-3361-6226; Azocar Guzman, Manuel/0000-0003-1098-4659</t>
  </si>
  <si>
    <t>10.1016/j.eurpolymj.2011.05.008</t>
  </si>
  <si>
    <t>WOS:000293939800006</t>
  </si>
  <si>
    <t>Vivanco, F; Watt, T; Melo, F</t>
  </si>
  <si>
    <t>Vivanco, F.; Watt, T.; Melo, F.</t>
  </si>
  <si>
    <t>The 3D shape of the loosening zone above multiple draw points in block caving through plasticity model with a dilation front</t>
  </si>
  <si>
    <t>INTERNATIONAL JOURNAL OF ROCK MECHANICS AND MINING SCIENCES</t>
  </si>
  <si>
    <t>The thorough understanding of the loosening zone created by the interaction of the flow of multiple draw points in block caving mines is of utmost importance, because this knowledge would help to improve the operation of these mines reducing the mining costs. However, this loosening zone is usually roughly estimated by superimposing multiple single loosening zone centered at each draw point, without considering the interaction of the associated flows. In this article we extended the loosening zone for a single isolated draw point, determined by the plasticity model and a dilation front, to calculate the shape of the loosening zone created by multiple draw points including the interaction of the individual flows. We observed that the interaction of flows created by two draw points breaks the symmetry of the loosening zone shape, and increase its height within the interaction region. At constant extracted volume or mass drawn the strength of this interaction is mainly controlled by the separation distance between draw points. In the limit where positions of both draw points coincide, the resulting loosening zone shape resembles the one created by an isolated single draw point, with twice the extracted volume for one single draw point. In the case of a linear array of multiple draw points we observed two different behaviors depending on the location of draw points. On the one hand, the width of the loosening zone for the inner draw points saturates to a value corresponding to the addition of the half separation distance to the nearest neighbors. On the other side, the draw points located at the ends of the linear array reduces the ratio of growth of the width of the loosening zone because the side located near the interaction region stops to growth due to the interaction with the neighbor draw point. The plasticity model with a dilation front captures the experimental results for a linear array of five draw points obtained by an independent group. It is also observed that the top surface of the inner draw points is more even, suggesting that a mass flow might be observed above these draw points when they are separated a distance smaller than 1.5 times the width of the isolated loosening zone, contradicting the Laubscher criterion. Although the plasticity model with a dilation front does not include the whole complexity found in the actual underground mines or even in the experimental scaled models, it is a useful tool to study the interaction of complex arrangement of draw points both qualitatively and quantitatively. (C) 2010 Elsevier Ltd. All rights reserved.</t>
  </si>
  <si>
    <t>Vivanco, Francisco/AAB-8928-2019; Melo, Francisco/M-3923-2014</t>
  </si>
  <si>
    <t>1365-1609</t>
  </si>
  <si>
    <t>10.1016/j.ijrmms.2010.11.018</t>
  </si>
  <si>
    <t>WOS:000288425100006</t>
  </si>
  <si>
    <t>Osorio, FA; Molina, P; Matiacevich, S; Enrione, J; Skurtys, O</t>
  </si>
  <si>
    <t>Osorio, Fernando A.; Molina, Paulina; Matiacevich, Silvia; Enrione, Javier; Skurtys, Olivier</t>
  </si>
  <si>
    <t>Characteristics of hydroxy propyl methyl cellulose (HPMC) based edible film developed for blueberry coatings</t>
  </si>
  <si>
    <t>Edible film coatings (EFC) represent a viable preservation technology, they often constitute a water vapor barrier that delays deterioration and maintain the product structural integrity. EFC is a food covering film which can be eaten as part of the food. Hydroxy propyl methyl cellulose (HPMC), a cellulose derivative used in pharmaceutical industries, was employed as the basic formulation component to coat fresh blueberries. Addition of carrageenan, plasticizer and carnauba wax emulsion add value to film structure and functionality. The present work developed and characterized edible films from a food grade additive that is from a natural vegetable and biodegradable origin. (c) 2011 Published by Elsevier B.V. Selection and/or peer-review under responsibility of 11th International Congress on Engineering and Food (ICEF 11) Executive Committee.</t>
  </si>
  <si>
    <t>Enrione, Javier/I-9225-2014; skurtys, olivier/HNS-4835-2023; osorio, fernando/AAY-7304-2021</t>
  </si>
  <si>
    <t>skurtys, olivier/0000-0003-1432-7242; osorio, fernando/0000-0001-7206-0924</t>
  </si>
  <si>
    <t>10.1016/j.profoo.2011.09.045</t>
  </si>
  <si>
    <t>WOS:000314355500045</t>
  </si>
  <si>
    <t>Osorio, FA; Crisostomo, J; Baeza, S; Matiacevich, S; Enrione, J; Skurtys, O; Bustos, R</t>
  </si>
  <si>
    <t>Osorio, Fernando A.; Crisostomo, Jennifer; Baeza, Sergio; Matiacevich, Silvia; Enrione, Javier; Skurtys, Olivier; Bustos, Ruben</t>
  </si>
  <si>
    <t>Brama australis gel obtention and rheological characterization</t>
  </si>
  <si>
    <t>Gelatine from marine sources has been looked upon as a possible alternative to bovine and porcine gelatine. Common problems connected with fish gelatine from cold water species, such as those from Chilean coast, are low gelling and melting temperature and low gel modulus. Squeezing flow technique was applied to obtain rheological parameters as function of moisture content, temperature dependence of extensional viscosity, etc. This work studied effects of pH and concentration on the extensional viscosity of brama australis fish gelatine gels using lubricated squeezing flow method and obtained that biaxial extensional viscosity increases with increasing Brama australis fish gelatine concentration. (c) 2011 Published by Elsevier B.V. Selection and/or peer-review under responsibility of 11th International Congress on Engineering and Food (ICEF 11) Executive Committee.</t>
  </si>
  <si>
    <t>Enrione, Javier/I-9225-2014; skurtys, olivier/HNS-4835-2023; Bustos, Ruben/AAM-2029-2020; osorio, fernando/AAY-7304-2021</t>
  </si>
  <si>
    <t>10.1016/j.profoo.2011.09.047</t>
  </si>
  <si>
    <t>WOS:000314355500047</t>
  </si>
  <si>
    <t>Aranda, R; Jaramillo, P</t>
  </si>
  <si>
    <t>Aranda L, Rodrigo; Jaramillo G, Patricio</t>
  </si>
  <si>
    <t>NON-LINEAR DYNAMIC IN THE CHILEAN STOCK EXCHANGE: EVIDENCE OF RETURNS AND TRADED VOLUMES</t>
  </si>
  <si>
    <t>ECONOMIA CHILENA</t>
  </si>
  <si>
    <t>Carbonell Bernal, Noelia/AEM-9521-2022</t>
  </si>
  <si>
    <t>0717-3830</t>
  </si>
  <si>
    <t>WOS:000288500400003</t>
  </si>
  <si>
    <t>Reyes, A; Vega, RV; Bruna, RD</t>
  </si>
  <si>
    <t>Reyes, Alejandro; Vega, Ricardo V.; Bruna, Rodrigo D.</t>
  </si>
  <si>
    <t>Effect of Operating Conditions in Atmospheric Freeze Drying of Carrot Particles in a Pulsed Fluidized Bed</t>
  </si>
  <si>
    <t>4th Inter-American Drying Conference</t>
  </si>
  <si>
    <t>AUG 23-27, 2009</t>
  </si>
  <si>
    <t>Montreal, CANADA</t>
  </si>
  <si>
    <t>Drying kinetics and shrinkage of carrot particles during atmospheric freeze drying in a pulsed fluidized bed were studied by using a 24 factorial statistical design as a function of particle size (6mmx6mmx1.5mm and 6mmx6mmx3mm), freezing rate (slow and quick), air temperature (-15 and -5 degrees C), and type of energy supply (convective and convective with infrared radiation). Then, a programmed air temperature was applied, namely, -15 degrees C during the first 5 or 6.5h, followed by either 0 or 5 degrees C. The results were compared with those obtained by vacuum freeze drying at constant temperature throughout the process. An important reduction in drying time was obtained by using higher air temperature in the second stage of the drying process.</t>
  </si>
  <si>
    <t>PII 927853687</t>
  </si>
  <si>
    <t>10.1080/07373937.2010.482717</t>
  </si>
  <si>
    <t>WOS:000282689200011</t>
  </si>
  <si>
    <t>Silva, CP; Pavez, J; Silva, JF; Sancy, M; Guerrero, J; Paez, MA; Zagal, JH</t>
  </si>
  <si>
    <t>Silva, Carlos P.; Pavez, Jorge; Francisco Silva, J.; Sancy, Mamie; Guerrero, Juan; Paez, Maritza A.; Zagal, Jose H.</t>
  </si>
  <si>
    <t>Electrochemical Transducer Based on Nanostructured Polyaniline Films Obtained on Functionalized Self Assembled Monolayers of 4-Aminothiophenol</t>
  </si>
  <si>
    <t>MOLECULAR CRYSTALS AND LIQUID CRYSTALS</t>
  </si>
  <si>
    <t>Gold(111) electrodes modified with Self Assembled Monolayers (SAMs) of 4-Aminothiophenol (4-ATP) functionalized with Pd(II) colloid nanoparticles, have been constructed, characterized and used as template for the electropolymerization of aniline (PANI) films. Cyclic voltammetry and UV-vis spectroscopy confirm the functionalization of the 4-ATP SAMs by Pd(II) complex nanoparticles. Atomic Force Microscopy (AFM) images and the cyclic voltammetry measurements reveal that polyaniline films grown on 4-ATP-Au(111) SAMs functionalized with Pd(II) complex nanoparticles, posses a nanostructured morphology constituted by globular structures of nanometric size. The electropolymerization of PANI driven by repeated potentiodynamic cycles produces structures with average diameters in a range of 20 to 60 nm.</t>
  </si>
  <si>
    <t>Sancy, Mamié/L-6270-2014; Paez, Maritza/M-2010-2014; Silva, Carlos/IQS-5583-2023; zagal, jose/L-9648-2014; PAVEZ, JORGE/K-6904-2014</t>
  </si>
  <si>
    <t>PAVEZ, JORGE/0000-0002-5100-6707; paez, maritza/0000-0001-5881-884X; Silva, Carlos P./0000-0001-5344-042X</t>
  </si>
  <si>
    <t>1542-1406</t>
  </si>
  <si>
    <t>1563-5287</t>
  </si>
  <si>
    <t>10.1080/15421401003722633</t>
  </si>
  <si>
    <t>WOS:000278163300014</t>
  </si>
  <si>
    <t>Ríos, VDL</t>
  </si>
  <si>
    <t>IMAGE: DEADLY MERCHANDISE</t>
  </si>
  <si>
    <t>WOS:000268595300015</t>
  </si>
  <si>
    <t>Torres-Bustos, J; Farias, L; Urzúa, A; Mendoza, L; Wilkens, M</t>
  </si>
  <si>
    <t>Torres-Bustos, Janet; Farias, Leonardo; Urzua, Alejandro; Mendoza, Leonora; Wilkens, Marcela</t>
  </si>
  <si>
    <t>The Diterpenoid ent-16-Kauren-19-oic Acid Acts as an Uncoupler of the Bacterial Respiratory Chain</t>
  </si>
  <si>
    <t>PLANTA MEDICA</t>
  </si>
  <si>
    <t>ent-16-Kauren-19-oic acid is a bacteriolytic diterpenoid present in the resin of the medicinal plant Pseudognaphalium vira vira. The compound and its methyl ester showed strong activity against gram-positive bacteria, whereas the derivative 3-hydroxy-ent-kauren-19-oic acid was inactive against all assayed bacteria at the maximal concentration used (250 mu g/mL). The bacteriolytic effect of ent-16-kauren-19-oic acid (5 mu g/mL) was confirmed with Cultures of Bacillus cereus and Staphylococcus aureus, whereas the methyl derivative (12 mu g/mL) showed only a bacteriostatic effect. Both compounds stimulated oxygen consumption and proton conduction of whole cells, as reflected by an abrupt increase in the extracellular pH. These results indicate that ent-16-kauren-19-oic acid acts as a respiratory chain uncoupler, and that this function is strongly affected by minor Structural substitutions, suggesting a tight activity-structure relationship. The ultimate effect of the uncoupling mechanism demonstrated by ent-16-kauren-19-oic acid is bacterial lysis. The disruption of the bacterial membrane integrity caused by the diterpenoid compound was determined using SYTOX Green stain and Visualized by fluorescence microscopy.</t>
  </si>
  <si>
    <t>0032-0943</t>
  </si>
  <si>
    <t>1439-0221</t>
  </si>
  <si>
    <t>10.1055/s-0029-1185437</t>
  </si>
  <si>
    <t>WOS:000267668700007</t>
  </si>
  <si>
    <t>Fernandez, AM</t>
  </si>
  <si>
    <t>Fernandez, Ana Maria</t>
  </si>
  <si>
    <t>Sexuality and jealousy across cultures</t>
  </si>
  <si>
    <t>Fernandez, Ana Maria/E-6429-2011</t>
  </si>
  <si>
    <t>Fernandez, Ana Maria/0000-0003-4132-5891</t>
  </si>
  <si>
    <t>WOS:000259264304317</t>
  </si>
  <si>
    <t>Mendoza, L; Modak, B; Torres, R; Cotoras, M</t>
  </si>
  <si>
    <t>Mendoza, Leonora; Modak, Brenda; Torres, Rene; Cotoras, Milena</t>
  </si>
  <si>
    <t>In vitro sensitivity of Botrytis cinerea to resinous exudates of Heliotropium filifolium and geranyl derivatives compounds</t>
  </si>
  <si>
    <t>The activity of the extract of Heliotropium filifolium, of the natural compounds obtained from its resinous exudates, filifolinol and filifolinyl senecionate, and of the synthetic derivative of filifolinol, filifolinoic acid, on the mycelial growth of the phytopathogenic fungus Botrytis cinerea was analyzed in liquid and solid media. The extract of H. filifolium, filifolinol, and filifolinoic acid reduced mycelial growth of this fungus. The effect of these compounds was dose-dependant. The compound filifolinyl senecionate was inactive in all the tested conditions. The extract of H.filifolium and filifolinol retarded the germination of conidia of the fungus.</t>
  </si>
  <si>
    <t>WOS:000254056500024</t>
  </si>
  <si>
    <t>Winkler, MI; Pasmanik, D; Wolff, X; Reyes, MI; Vargas, H</t>
  </si>
  <si>
    <t>Winkler, Maria Ines; Pasmanik, Diana; Wolff, Ximena; Reyes, Maria Isabel; Vargas, Helia</t>
  </si>
  <si>
    <t>Ethics and gender in the writings of psychology pioneers in the United States and Chile</t>
  </si>
  <si>
    <t>This study seeks the presence of contents related to gender and ethics in the writings of 12 pioneers in psychology, both from United States and Chile: William James, Stanley Hall, James Baldwin, Mary Calkins, Margaret Washburn, Helen Thompson, Hernan Larrain, Salvador Cifuentes, Sergio Yulis, Lola Hoffmann, Heliette Saint Jean, and Leyla Holmberg. We confirmed our central hypothesis, that a prevalence of an ''ethics of justice'' for male writers and an ''ethics of care'' for female writers of the United States was found. The same was not observed in Chilean writers. Characteristics of the of the discipline and sociohistorial context of each country, more than gender of the author, seem to influence the way the selected authors approached the studied dimensions.</t>
  </si>
  <si>
    <t>Reyes Espejo, Maria Isabel/0000-0003-0454-0584</t>
  </si>
  <si>
    <t>WOS:000251681600006</t>
  </si>
  <si>
    <t>Celentano, DJ; Cruchaga, MA; Schulz, BJ</t>
  </si>
  <si>
    <t>Thermal microstructural analysis of grey cast iron solidification: simulation and experimental validation</t>
  </si>
  <si>
    <t>INTERNATIONAL JOURNAL OF CAST METALS RESEARCH</t>
  </si>
  <si>
    <t>A thermal microstructural analysis of the hypoeutectic grey cast iron solidification process is presented in this work. To this end, three different sand casting tests have been experimentally carried out in order to obtain temperature histories and final values for the eutectic grain density and diameter. Moreover, the responses of the alloy during the liquid-solid phase change process occurring in these tests are simulated through a coupled model that encompasses thermal balance and equiaxed microstructural evolution of both the primary austenite and eutectic (grey and white) transformations. Finally, the results provided by the simulation are compared and validated with the available experimental measurements.</t>
  </si>
  <si>
    <t>1364-0461</t>
  </si>
  <si>
    <t>1743-1336</t>
  </si>
  <si>
    <t>10.1179/136404605225023108</t>
  </si>
  <si>
    <t>WOS:000230989800008</t>
  </si>
  <si>
    <t>Celentano, DJ; Cabezas, EE; García, CM</t>
  </si>
  <si>
    <t>Analysis of the Bridgman procedure to characterize the mechanical behavior of materials in the tensile test:: Experiments and simulation</t>
  </si>
  <si>
    <t>JOURNAL OF APPLIED MECHANICS-TRANSACTIONS OF THE ASME</t>
  </si>
  <si>
    <t>This note presents an experimental analysis and a numerical simulation of the mechanical behavior experienced by cylindrical specimens of pure copper during the tensile test. A set of experiments has been carried out in order to derive the hardening parameters that characterize the material response. The simulation of the deformation process during the whole test is performed with a finite element large strain elastoplasticity-based formulation. The results of the simulation show that the mechanical characterization involving the classical Bridgman correction factor defined in terms of logarithmic strains and aimed at predicting the stress distribution at the necking zone, cannot properly describe the hardening response for this material. Therefore, the use of a different correction factor which consequently leads to another set of hardening parameters, is proposed. Finally, an adequate experimental validation of the numerical results is obtained for this last case.</t>
  </si>
  <si>
    <t>García-Herrera, Claudio/ABE-8991-2020; Celentano, Diego/JQW-5027-2023</t>
  </si>
  <si>
    <t>Garcia-Herrera, Claudio/0000-0002-1283-8551</t>
  </si>
  <si>
    <t>0021-8936</t>
  </si>
  <si>
    <t>1528-9036</t>
  </si>
  <si>
    <t>10.1115/1.1827243</t>
  </si>
  <si>
    <t>WOS:000227098100017</t>
  </si>
  <si>
    <t>González, HA</t>
  </si>
  <si>
    <t>On predicting incompressible flows by using a stabilized finite difference method with penalty</t>
  </si>
  <si>
    <t>This paper presents a finite difference Solution method for the incompressible Navier-Stokes equations, in primitive variables form. To provide the necessary coupling between continuity and momentum penalty method is introduced into continuity equation. Differential terms arising in Navier-Stokes equations are discretized by stabilized finite differences or the SU type (streamline upwind) to calculate the convective terms. The use of a penalty function method in a finite difference method of staggered g-rids, allows to eliminate the pressure and the result is a system of equations of the velocities arises. The aim of this paper is to describe the techniques used in the approximations to calculate each term of the discretized model. In particular, time integration techniques, solution of non-linearities associated to convective terms and constitutive laws, stabilization procedures and discretization of Navier-Stokes equation via finite differences are explained. Solving three standard fluid mechanics problems validates the method: the flow of a Newtonian fluid in a sudden contraction, the developing non-Newtonian fluid in a circular tube and a transient laminar axisymmetric flow trough a tube with a moderate local area reduction. Comparison with available experimental results is used to examine the accuracy of the method, reported a close agreement between the numerical prediction and the experimental data. (C) 2003 Elsevier Inc. All rights reserved.</t>
  </si>
  <si>
    <t>González Rojas, Hernán A./HTQ-1244-2023</t>
  </si>
  <si>
    <t>Gonzalez Rojas, Hernan Alberto/0000-0001-8911-0115</t>
  </si>
  <si>
    <t>1873-5649</t>
  </si>
  <si>
    <t>SEP 6</t>
  </si>
  <si>
    <t>10.1016/j.amc.2003.08.002</t>
  </si>
  <si>
    <t>WOS:000224009100014</t>
  </si>
  <si>
    <t>Rabagliati, FM; Cancino, RA; Pérez, MA; Rodríguez, FJ</t>
  </si>
  <si>
    <t>Styrene/(styrene derivative) and styrene/(1-alkene) copolymerization using Ph2Zn-additive initiator systems</t>
  </si>
  <si>
    <t>8th Pacific Polymer Conference</t>
  </si>
  <si>
    <t>Bangkok, THAILAND</t>
  </si>
  <si>
    <t>Pacific Polymer Federat</t>
  </si>
  <si>
    <t>Diphenylzinc-metallocene-MAO initiator systems have proven to be effective initiator systems for styrene and for substituted styrenes as well as for their styrene/(styrene-derivative) copolymerization. Titanocene produced almost pure syndiotactic polymers while zirconocenes gave atactic polystyrene together with a low content, less than 20%, of syndiotactic polystyrene. Systems including a zirconocene, particularly ethenyl(bisindenyl)zirconium dichloride were effective initiators of 1-alkene polymerization and of styrene/ 1-alkene copolymerization. Conversion to polymer increases with the molecular size of 1-alkene. Styrene derivative and styrene/(styrene derivative) polymerization was greatly influenced by the inductive effect of substituent and by steric hindrance due to the monomer.</t>
  </si>
  <si>
    <t>1521-3900</t>
  </si>
  <si>
    <t>10.1002/masy.200451207</t>
  </si>
  <si>
    <t>WOS:000224910400008</t>
  </si>
  <si>
    <t>Aza nitrogens effect on the electronic properties of cobalt porphyrine and derivatives</t>
  </si>
  <si>
    <t>A set of electronic properties calculated at the B3LYP/LACVP(d) level of theory for four cobalt macrocycles containing a ligand like porphyrin (CoP) and a benzoporphyrin (CoTBP) has been analyzed. The effect of aza nitrogen atoms (aza-N) present in the ligand (CoTAP, CoPc) on the electronic properties chosen has been studied. For the pair CoP/CoTAP we found a notorious effect of the presence of aza-N atoms in each electronic property studied. However, for the pair CoTBP/CoPc a different result was obtained. The dipole moment and the atomic charges, the latter evaluated on the cobalt atom and on the aza-N atoms, do not show the isolated effect of the aza nitrogen atoms and rather it appears to be mixed with the effect produced by the ligand size. On the contrary, electronic properties such as spin density and electrostatic potential evaluated on the cobalt atom clearly show the effect of the aza nitrogen atoms predicting that the latter present an electron withdrawing behavior in this kind of molecules.</t>
  </si>
  <si>
    <t>WOS:000189308600017</t>
  </si>
  <si>
    <t>Castro, M; Kramer, K; Valdivia, L; Ortiz, S; Castillo, A</t>
  </si>
  <si>
    <t>A double-stranded RNA mycovirus confers hypovirulence-associated traits to Botrytis cinerea</t>
  </si>
  <si>
    <t>FEMS MICROBIOLOGY LETTERS</t>
  </si>
  <si>
    <t>Botrytis cinerea CCg425 contains a 33-nm isometric mycovirus whose genome is a 6.8-kb double-stranded RNA (dsRNA) molecule. Virulence bioassays. performed by direct plug mycelial inoculation on bean plant leaves, showed that B. cinerea CCg425 displays less fungal aggressivity than B. cinerea CKg54, a virulent fungal strain that is not infected by dsRNA mycoviruses. B. cinerea CCg425 also showed lower laccase activity and conidiation rate than B. cinerea CKg54. Furthermore, infection of B. cinerea CKg54 with viral particles purified from B. cinerea CCg425 resulted in diminished virulence of the infected fungus. Collectively, our results indicate that mycovirus infection confers hypovirulence to the fungal host. (C) 2003 Federation of European Microbiological Societies. Published by Elsevier B.V. All rights reserved.</t>
  </si>
  <si>
    <t>Castillo, Antonio/AAE-6832-2020</t>
  </si>
  <si>
    <t>Castillo, Antonio/0000-0003-0639-6045</t>
  </si>
  <si>
    <t>0378-1097</t>
  </si>
  <si>
    <t>NOV 7</t>
  </si>
  <si>
    <t>10.1016/S0378-1097(03)00755-9</t>
  </si>
  <si>
    <t>WOS:000186586900013</t>
  </si>
  <si>
    <t>Capacities on C*-algebras</t>
  </si>
  <si>
    <t>INFINITE DIMENSIONAL ANALYSIS QUANTUM PROBABILITY AND RELATED TOPICS</t>
  </si>
  <si>
    <t>We distinguish three classes of capacities on a C*-algebra: subadditive, additive and maxitive. A tightness notion for capacities, the vague and narrow topologies on the set of capacities are introduced. The vague space of additive capacities which are finite on compact projections is a noncommutative version of the usual vague space of Radon measures on a locally compact Hausdorff space X. We give criterions of vague and narrow relative compactness in various classes of capacities. This allows us to extend most classical compactness theorems for Radon measures. The set of bounded (resp. tight) maxitive capacities is in bijection with the set of positive q-upper semicontinuous (resp. strongly q-upper semicontinuous) operators. This allows us to define a vague (resp. narrow) large deviation principle for a net of capacities as a vague (resp. narrow) convergence of this net towards a maxitive capacity, generalizing the classical notion for Radon probability measures on X. Next, we apply compactness theorems in order to extend some results in large deviations theory.</t>
  </si>
  <si>
    <t>0219-0257</t>
  </si>
  <si>
    <t>1793-6306</t>
  </si>
  <si>
    <t>10.1142/S0219025703001328</t>
  </si>
  <si>
    <t>WOS:000186719600002</t>
  </si>
  <si>
    <t>Urzùa, A; Mendoza, L</t>
  </si>
  <si>
    <t>Antibacterial activity of fresh flower heads of Chrysantemum coronarium</t>
  </si>
  <si>
    <t>FITOTERAPIA</t>
  </si>
  <si>
    <t>The antibacterial activity of the methylene chloride and methanol extracts of Chrysantemum coronarium fresh flower heads was investigated. The methylene chloride extract showed discrete antimicrobial activity. (C) 2003 Elsevier B.V. All rights reserved.</t>
  </si>
  <si>
    <t>0367-326X</t>
  </si>
  <si>
    <t>1873-6971</t>
  </si>
  <si>
    <t>10.1016/S0367-326X(03)00151-5</t>
  </si>
  <si>
    <t>WOS:000185164700013</t>
  </si>
  <si>
    <t>Reactivity descriptors applied to the study of cobalt porphyrin and their aza derivatives</t>
  </si>
  <si>
    <t>INTERNATIONAL JOURNAL OF QUANTUM CHEMISTRY</t>
  </si>
  <si>
    <t>9th International Conference on Application of the Density Functional Theory to Chemistry and Physics</t>
  </si>
  <si>
    <t>SEP 10-14, 2001</t>
  </si>
  <si>
    <t>MADRID, SPAIN</t>
  </si>
  <si>
    <t>A theoretical study at the density functional level of theory (ROBLYP/3-21G*) of the reactivity of cobalt porphyrin (CoP) and their aza derivatives (CoP(xN)) by using global and local indexes is presented. First, vertical ionization potentials and electronic affinities are calculated to determine global reactivity descriptors such as the chemical potential (mu), molecular hardness (eta), and electrophilicity (omega). In general, it is found that eta and omega increase with the inclusion of aza-N atoms in the cobalt porphyrin. The cobalt condensed Fukui function (f(Co)) and cobalt condensed electrostatic potential (EPCo) for the set of CoP(xN) are also determined. We obtained that f(Co)(-) decreases with the increase of aza-N atoms, which indicates that a minimum Fukui function is preferred for hard-hard interactions, in agreement with previous results (Cardenas-jiron, G. J. J Phys Chem A 2002, 106, 3202). Results obtained for EPCo indicates that the increase of aza-N atoms leads to a more electrophilic site for the cobalt atom that is also stated at a global level through the results of omega, which are referred to the molecule as a whole. It is concluded that global and local descriptors are complementary in this reactivity study and both give enough information to rationalize the effect of the inclusion of aza-N atoms in the porphyrin upon the reactivity. (C) 2002 Wiley Periodicals, Inc.</t>
  </si>
  <si>
    <t>0020-7608</t>
  </si>
  <si>
    <t>1097-461X</t>
  </si>
  <si>
    <t>JAN 20</t>
  </si>
  <si>
    <t>10.1002/qua.10443</t>
  </si>
  <si>
    <t>WOS:000180228400017</t>
  </si>
  <si>
    <t>Leóon, C; Gaete, L; Vargas, Y</t>
  </si>
  <si>
    <t>A non-destructive method for measuring maturity in Persea americana mill</t>
  </si>
  <si>
    <t>A new system for the of degree of maturity measuring in Persea American mill is presented. The hypothesis is that the superficial acoustic absorption of the fruit is related with the present conditions in its peel and with the acoustic impedance of its pulp. An equipment based on acoustic transmission line working at 21,5 kHz to measuring the acoustic surface parameters of the fruit was build. The system was checked measuring the absorption and firmess of 15 fruits every 24 hours. The fruits Matured in a period of 6 days at temperature of 20degreesC and a humidity aprox. 60%. The result of the statistical analisys show a good correlation (R-2=0,967) between the non destrutive method and patron method. This contribution will allow to have a system for the classification of the fruit according to its state of maturity.</t>
  </si>
  <si>
    <t>WOS:000180065500047</t>
  </si>
  <si>
    <t>Reyes, A; Alvarez, PI; Marquardt, FH</t>
  </si>
  <si>
    <t>Drying of carrots in a fluidized bed. I. Effects of drying conditions and modelling</t>
  </si>
  <si>
    <t>Drying curves were determined in a mechanically agitated fluidized bed dryer, at temperatures between 70degreesC and 160degreesC, air velocities between 1.1 m/s and 2.2 m/s and stirring rates between 30 rpm and 70 rpm for batch drying of 3 kg lots of carrot slices, measuring the moisture content and shrinking of the particles in time. This was complemented by a study of the rate and degree of swelling of dried carrot particles in water between 20 and 75degreesC. Drying kinetics were modeled by Fick's second law, for which an optimal agreement with the experimental data was obtained when the effective diffusivity (D-e) was determined by a correlation based on the air velocity (nu), the air temperature (T) and the dimensional moisture content of the carrot particles (X/X-0). Loss of carotenes is minimized when dehydration is carried out at about 130degreesC with a drying time below 12 min.</t>
  </si>
  <si>
    <t>10.1081/DRT-120005862</t>
  </si>
  <si>
    <t>WOS:000177123200010</t>
  </si>
  <si>
    <t>Blasco, R; Vega, R; Alvarez, PI</t>
  </si>
  <si>
    <t>Pneumatic drying with superheated steam: Bi-dimensional model for high solid concentration</t>
  </si>
  <si>
    <t>12th International Drying Symposium (IDS2000)</t>
  </si>
  <si>
    <t>AUG 28-31, 2000</t>
  </si>
  <si>
    <t>NOORDWIJKERHOUT, NETHERLANDS</t>
  </si>
  <si>
    <t>The utilization of superheated steam for pneumatic drying of solid particles makes it possible to operate with high particle concentration without the problem of phase saturation which tends to occur when hot air is utilized for drying. Normally, the operation of pneumatic dryers is analyzed through variations of unidirectional flows. For highly diluted transport conditions this is a correct assumption, but when the solid concentration is too high, the fluid dynamics is highly modified and the gas and solid velocities are distorted by solid-solid and Solid-Wall -interactions. These conditions affect the temperature distribution along the axial and the radial coordinates, which makes a bi-dimensional model analysis very important. Mathematical models have been developed for the bi-dimensional fluid dynamics of pneumatic transport. The present work applies one of these models to describe the axial and radial variation of velocities in a gas and particulate phase flow.</t>
  </si>
  <si>
    <t>10.1081/DRT-100107288</t>
  </si>
  <si>
    <t>WOS:000171861300034</t>
  </si>
  <si>
    <t>Rojas, A; Ojeda, ME; Barraza, X</t>
  </si>
  <si>
    <t>Congenital malformations and pesticide exposure</t>
  </si>
  <si>
    <t>Background: Chronic pesticide exposure is a recognized risk for human health. The frequency of congenital malformations in exposed people, can be used for epidemiological studies assessing reproductive risk secondary to toxic exposure. Aim: To study the association between the incidence of congenital malformations and parent's exposure to pesticides. Material and methods: A prospective study of cases and controls. The exposure could be caused by occupational activities or resistance around Fumigated crops. The records of cases and controls from the surveillance carried out in the Hospital Regional de Rancagua were analyzed. This hospital is active I,member of a collaborate study of congenital malformations in Latin America. Results: Br two years there was a total of 453 newborns (18 stillborn) with congenital malformations,with an incidence of 41.24 parts per thousand. Considering only children born alive, the paired analysis of cases aid controls showed all association of congenital malformations with a history of maternal exposure with an attributable fraction of 54.4%. Conclusions: These results, showing an association between pesticide exposure and congenital malformations, should be analyzed in the future by a logistic regression test.</t>
  </si>
  <si>
    <t>WOS:000087585000006</t>
  </si>
  <si>
    <t>Yarur, CS</t>
  </si>
  <si>
    <t>On the behavior of positive solutions for a class of semilinear elliptic systems</t>
  </si>
  <si>
    <t>WOS:A1998BJ57F00028</t>
  </si>
  <si>
    <t>Barroso, NP; Costamagna, J; Matsuhiro, B; Villagran, M</t>
  </si>
  <si>
    <t>The xylan from Palmaria decipiens: Chemical modification and formation of a Cu(II).</t>
  </si>
  <si>
    <t>Chemical modification of the xylan from Palmaria decipiens by oxidation with sodium peryodate allowed the introduction of aldehyde functions. The modified xylan was treated with p-chloroaniline to give ligands for the coordination of Cu (II). The comp lex obtained was characterized by FT-IR and U.V. spectroscopies and cyclic voltammetry.</t>
  </si>
  <si>
    <t>WOS:A1997YA06800002</t>
  </si>
  <si>
    <t>Mannheim, R; Ortiz, E; Bustos, O</t>
  </si>
  <si>
    <t>A study of Silicon brasses: An unleaded alternative to fittings and faucets</t>
  </si>
  <si>
    <t>Next century will demand lead free castings fabrication of fittings and faucets. Nowadays the lead limit to tap wafer has been set up in 10 mg Pb/It by the WHO. When C 87800 silicon brasses are compared to C 85710 lead red brasses and to Gunmetals C 83500 and C 83810 they exhibit a remarkable better fluidify This property is most appreciated in permanent molds fabrication of fittings and faucets. In this work is presented a study of the effect of P, Al, As, and Ni additions on the fluidify of C 87800 silicon brasses with a Zn equivalent of 40. Besides, solidification variables corrosion and dezincsification, machinability with regard to the cuffing force applied water tightness, and faucets internal surface rugosity are also covered in this study.</t>
  </si>
  <si>
    <t>WOS:A1997YD76500009</t>
  </si>
  <si>
    <t>Zagal, JH; Paez, MA</t>
  </si>
  <si>
    <t>Electro-oxidation of hydrazine on electrodes modified with vitamin B-12</t>
  </si>
  <si>
    <t>In this paper we report a kinetic study of the electro-oxidation of hydrazine catalyzed by vitamin B-12 pre-adsorbed on an ordinary pyrolytic graphite electrode. Kinetic parameters Were determined by linear sweep voltammetry and rotating-disk electrode polarization curves. The order of the reaction is 1 in OH- ions and Tafel plots give slopes of 80 mV/decade. A possible redox-catalysis mechanistic scheme is proposed.</t>
  </si>
  <si>
    <t>zagal, jose/L-9648-2014; Paez, Maritza/M-2010-2014</t>
  </si>
  <si>
    <t>23-24</t>
  </si>
  <si>
    <t>10.1016/S0013-4686(97)00020-0</t>
  </si>
  <si>
    <t>WOS:A1997YG12500008</t>
  </si>
  <si>
    <t>Perez, P; Salinas, D</t>
  </si>
  <si>
    <t>Padgett, ML; Lindblad, T</t>
  </si>
  <si>
    <t>Storage of words attractor neural networks</t>
  </si>
  <si>
    <t>SIXTH, SEVENTH, AND EIGHTH WORKSHOPS ON VIRTUAL INTELLIGENCE: ACADEMIC/INDUSTRIAL/NASA/DEFENSE TECHNICAL INTERCHANGE AND TUTORIALS</t>
  </si>
  <si>
    <t>6th/7th/8th Workshops on Virtual Intelligence, at the International Conference on Virtual Intelligence, Neural Networks, Fuzzy Systems, Evolutionary Computing and Virtual Reality 1996</t>
  </si>
  <si>
    <t>Soc Comp Simulat Int,NASA,Soc Photo Opt Instrumentat Engineers,Int Neural Networks Soc,IEEE, Neural Networks Council</t>
  </si>
  <si>
    <t>Salinas Aviles, Dino Gonzalo/0000-0001-8152-1622</t>
  </si>
  <si>
    <t>0-8194-2276-2</t>
  </si>
  <si>
    <t>WOS:A1996BG44Q00016</t>
  </si>
  <si>
    <t>URETAZANARTU, MS; BRAVO, P; GILLLAMBIAS, FJ; PAEZ, M; ZAGAL, JH</t>
  </si>
  <si>
    <t>FORMIC-ACID OXIDATION ON BIMETALLIC ELECTRODES</t>
  </si>
  <si>
    <t>The electro-oxidation of formic acid was studied in acid media on three types of modified Pt electrodes namely: type I, co-deposited Pt-M onto Ti foil, with M = Tl, Pb or Cd. Type II: Pt foil electrode modified by underpotential deposit (UPD) of Tl, Pb and Cd, and type III electrode: Pt deposited onto Ti and modified by UPD. The catalytic activity of these electrodes for formic acid oxidation in acidic medium decreases as type III &gt; type II &gt; type I, with the higher activity for Pt-Pb co-deposits. Characterization of the electrode by electrophoretic migration and SEM reveal an interplay between the Pt-M co-deposit morphology and catalytic activity.</t>
  </si>
  <si>
    <t>zagal, jose/L-9648-2014; Paez, Maritza/M-2010-2014; Ureta-Zañartu, Maria/G-5239-2019</t>
  </si>
  <si>
    <t>WOS:A1995QV98900002</t>
  </si>
  <si>
    <t>ENCINAS, MV; LISSI, EA; ALVAREZ, J</t>
  </si>
  <si>
    <t>FLUORESCENCE QUENCHING OF PYRENE DERIVATIVES BY NITROXIDES IN MICROHETEROGENEOUS SYSTEMS</t>
  </si>
  <si>
    <t>Fluorescence quenching of pyrene derivatives by 2,2,6,6-tetramethylpiperidinyl-1-oxy (TEMPO), 4-oxo-2,2,6,6-tetramethylpiperidinyl-1-oxy and 4-hydroxy-2,2,6,6-tetramethylpiperidinyl-1-oxy has been measured in homogeneous solvents and microheterogeneous systems: cetyltrimethylammonium chloride micelles, large unilamellar vesicles of dioctadecyldimethylammonium chloride and dipalmitoylphosphatidylcholine (DPPC) and rat liver microsomes. The extent of intraaggregate quenching is mostly determined by the quencher incorporation to the microphases. In particular, it is observed that quenching by TEMPO in vesicles is considerably faster when the bilayer is in the liquid crystalline state. This significant increase in quenching rate with the melting of the bilayer is not observed for the other TEMPO derivatives, indicating that the effect of the lipid organization upon the solubility is related to the hydrophobicity of the solute. The data obtained in rat liver microsomes at 37 degrees C show a pattern very similar to that observed in DPPC vesicles in the liquid crystalline state.</t>
  </si>
  <si>
    <t>10.1111/j.1751-1097.1994.tb04997.x</t>
  </si>
  <si>
    <t>WOS:A1994MU72100006</t>
  </si>
  <si>
    <t>ABUIN, E; ENCINAS, MV; LISSI, E; RUBIO, A</t>
  </si>
  <si>
    <t>ON THE EVALUATION OF PARTITION CONSTANTS IN MICROHETEROGENEOUS SYSTEMS FROM STEADY-STATE FLUORESCENCE DATA</t>
  </si>
  <si>
    <t>WOS:A1990CU16600018</t>
  </si>
  <si>
    <t>GAETEGARRETON, LF; FUENZALIDAMIRANDA, LA</t>
  </si>
  <si>
    <t>EXPERIMENTAL-STUDY OF NONLINEARITY PARAMETERS IN ULTRASONICS WAVES IN A TUBE</t>
  </si>
  <si>
    <t>WOS:A1987K743100094</t>
  </si>
  <si>
    <t>JAUREGUI, GA; REYES, RA</t>
  </si>
  <si>
    <t>ANODIC ELECTROOXIDATION OF A COPPER CONCENTRATE</t>
  </si>
  <si>
    <t>HYDROMETALLURGY</t>
  </si>
  <si>
    <t>0304-386X</t>
  </si>
  <si>
    <t>10.1016/0304-386X(87)90059-4</t>
  </si>
  <si>
    <t>WOS:A1987G724500002</t>
  </si>
  <si>
    <t>ENCINAS, MV; LISSI, EA</t>
  </si>
  <si>
    <t>DEACTIVATION OF PYRENE BY INDOLE IN MICELLAR SOLUTIONS</t>
  </si>
  <si>
    <t>The deactivation rate of excited pyrene by indole strongly depends on the polarity of the media. In micellar systems (Triton X-100, cetyltrimethylammonium chloride (CTAC) and sodium dodecylsulfate (SDS)) the deactivation efficiency is enhanced due to the high local concentration of indole in the micellar pseudophase. Quantitative interpretation of the data in CTAC and SDS micelles requires to take into account indole exchange between the micelles and the aqueous phase. In SDS micelles, where due to their smaller size the exchange process is more relevant, the exit and entrance rates are (3.0 .+-. 0.6) .times. 106 and (1.2 .+-. 0.3) .times. 1010 M-1 s-1 respectively. Intramicellar bimolecular quenching constants are (1.1 .+-. 0.2) .times. 108 M-1 s-1 (1.4 .+-. 0.2) .times. 108 M-1 s-1 and (1.5 .+-. 0.2) .times. 108 M-1 s-1 Triton X-100, SDS and CTAC respectively. These rates are similar to those measured in ethanol rich ethanol-water homogeneous solutions. This is in agreement with the average polarity sensed by both pyrene and indole in the micellar pseudophases.</t>
  </si>
  <si>
    <t>10.1111/j.1751-1097.1985.tb01599.x</t>
  </si>
  <si>
    <t>WOS:A1985AWY2700005</t>
  </si>
  <si>
    <t>ZAGAL, J; MUNOZ, E; URETAZANARTU, S</t>
  </si>
  <si>
    <t>CATALYTIC ELECTROOXIDATION OF HYDRAZINE ON PHTHALOCYANINES DEPOSITED ON GRAPHITE-ELECTRODES</t>
  </si>
  <si>
    <t>10.1016/0013-4686(82)80026-1</t>
  </si>
  <si>
    <t>WOS:A1982PM99400004</t>
  </si>
  <si>
    <t>ZAGAL, J; VILLAR, E; URETAZANARTU, S</t>
  </si>
  <si>
    <t>ELECTROCHEMISTRY OF HYDROXYLAMINE ON IRON TETRASULFOPHTHALOCYANINE ADSORBED ON A GRAPHITE ELECTRODE</t>
  </si>
  <si>
    <t>zagal, jose/L-9648-2014; Ureta-Zañartu, Maria/G-5239-2019</t>
  </si>
  <si>
    <t>10.1016/0368-1874(82)85133-2</t>
  </si>
  <si>
    <t>WOS:A1982NR39400015</t>
  </si>
  <si>
    <t>SINGLET QUENCHING OF METHYL PYRUVATE</t>
  </si>
  <si>
    <t>10.1016/0047-2670(81)87001-3</t>
  </si>
  <si>
    <t>WOS:A1981LH55600001</t>
  </si>
  <si>
    <t>METHYL-METHACRYLATE POLYMERIZATION AT HIGH CONVERSION .3. EFFECT OF A CHAIN-TRANSFER AGENT</t>
  </si>
  <si>
    <t>A13</t>
  </si>
  <si>
    <t>10.1080/00222337908056706</t>
  </si>
  <si>
    <t>WOS:A1979JL48300008</t>
  </si>
  <si>
    <t>REACTIVITY OF AMINES TOWARD TERT-BUTOXY RADICALS</t>
  </si>
  <si>
    <t>10.1002/kin.550100611</t>
  </si>
  <si>
    <t>WOS:A1978FM10500010</t>
  </si>
  <si>
    <t>LARRONDO, L; LISSI, EA</t>
  </si>
  <si>
    <t>GAS-PHASE REACTIONS OF DEUTERIUM ATOMS WITH TRIETHYLBORANE</t>
  </si>
  <si>
    <t>ANALES DE LA ASOCIACION QUIMICA ARGENTINA</t>
  </si>
  <si>
    <t>0365-0375</t>
  </si>
  <si>
    <t>WOS:A1975CA02200001</t>
  </si>
  <si>
    <t>Hurtado-Cruz, JP; Carvajal-Meza, MA; Pérez-Cortés, SA; Jarufe-Troncoso, JA; Vargas-Norambuena, JP</t>
  </si>
  <si>
    <t>Hurtado-Cruz, Juan Pablo; Carvajal-Meza, Marcelo Antonio; Perez-Cortes, Sebastian Alexander; Jarufe-Troncoso, Juan Andres; Vargas-Norambuena, Juan Pablo</t>
  </si>
  <si>
    <t>Ventilation Modeling of Cavern with CFD</t>
  </si>
  <si>
    <t>MINING METALLURGY &amp; EXPLORATION</t>
  </si>
  <si>
    <t>Mine ventilation and underground works have seen extensive worldwide development, which has been studied for the past century, producing extensive and rigorous results that currently aid in safely performing underground operations of different kinds and characteristics. However, there have been relatively few open studies on cavern ventilation, which has tended to be part of engineering studies without further disclosure. In general terms, the intended use of the cavern determines the ventilation system to be used according to heat and pollutant sources, additionally to the geometry and size. In this regard, the present work aims to define elementary ventilation aspects for underground caverns linked to construction systems, to avoid dead spaces without air movement inside. Computational fluid mechanics is used as a simulation and analysis tool, generating various simulation scenarios. The results show different ventilation styles according to the established boundary conditions and the construction facilities as access drifts, which helps to set the inlets and outlets and could help to orientate future ventilation designs.</t>
  </si>
  <si>
    <t>; Hurtado Cruz, Juan Pablo/K-2568-2013</t>
  </si>
  <si>
    <t>Perez Cortes, Sebastian Alexander/0000-0003-0366-1747; Hurtado Cruz, Juan Pablo/0000-0001-7602-8278</t>
  </si>
  <si>
    <t>2524-3462</t>
  </si>
  <si>
    <t>2524-3470</t>
  </si>
  <si>
    <t>2024 OCT 19</t>
  </si>
  <si>
    <t>10.1007/s42461-024-01122-y</t>
  </si>
  <si>
    <t>OCT 2024</t>
  </si>
  <si>
    <t>WOS:001336250700001</t>
  </si>
  <si>
    <t>Approaching today's cultural fabric: Krenak</t>
  </si>
  <si>
    <t>GRAGOATA-UFF</t>
  </si>
  <si>
    <t>The text wants to get closer to the moving fabric that forms culture and for this it refers to the systems that build it. One of them is that of indigenous cultures. This thought, according to Ailton Krenak, considers a reality where the human is only part of a world that silences other presences. Today the existence of this other previously discriminated form of thought is beginning to be recognized. It is necessary to accept that there are different valid forms of relationship with the world, beyond that of the West, which is what we know and gives rise to our form of modernity. Krenak confronts the anthropocentric conception. The West does not listen. Bruno Latour's thought, however, is in the previous line, promoting the non-separation between nature and culture. Community that is transcendence. It is the one offered by literature and art. It is necessary to listen to the stories of this other worldview.</t>
  </si>
  <si>
    <t>1413-9073</t>
  </si>
  <si>
    <t>2358-4114</t>
  </si>
  <si>
    <t>e64850</t>
  </si>
  <si>
    <t>10.22409/gragoata.v29i65.64850.es</t>
  </si>
  <si>
    <t>WOS:001383080200010</t>
  </si>
  <si>
    <t>Saavedra-Pino, S; Inzulza, C; Román, P; Albarrán-Arriagada, F; Retamal, JC</t>
  </si>
  <si>
    <t>Saavedra-Pino, Sebastian; Inzulza, Cristian; Roman, Pablo; Albarran-Arriagada, Francisco; Retamal, Juan Carlos</t>
  </si>
  <si>
    <t>Quantum simulation of entanglement dynamics in a quantum processor</t>
  </si>
  <si>
    <t>PHYSICA SCRIPTA</t>
  </si>
  <si>
    <t>We implement a five-qubit protocol in IBM quantum processors to study entanglement dynamics in a two qubit system in the presence of a simulated environment. Specifically, two qubits represent the main system, while another two qubits serve as the environment. Additionally, we employ an auxiliary qubit to estimate the quantum entanglement. Specifically, we observe the sudden death and sudden birth of entanglement for different inital conditions that were simultaneously implemented on the IBM 127-qubit quantum processor ibm _brisbane. We obtain the quantum entanglement evolution of the main system qubits and the environment qubits averaging over N = 10 independent experiments in the same quantum device. Our experimental data shows the entanglement and disentanglement signatures in system and enviroment qubits, where the noisy nature of current quantum processors produce a shift on times signaling sudden death or sudden birth of entanglement. This work takes relevance showing the usefulness of current noisy quantum devices to test fundamental concepts in quantum information.</t>
  </si>
  <si>
    <t>Retamal, Juan/G-6425-2010; Roman, Pablo/G-1960-2011</t>
  </si>
  <si>
    <t>Albarran-Arriagada, Francisco/0000-0001-8899-3673; Roman, Pablo/0000-0002-7105-9371; Retamal Abarzua, Juan Carlos/0000-0002-7174-7879; Saavedra Pino, Sebastian Benjamin/0009-0004-4229-9909</t>
  </si>
  <si>
    <t>0031-8949</t>
  </si>
  <si>
    <t>1402-4896</t>
  </si>
  <si>
    <t>10.1088/1402-4896/ad624a</t>
  </si>
  <si>
    <t>WOS:001283696400001</t>
  </si>
  <si>
    <t>Lavín, SS</t>
  </si>
  <si>
    <t>Lavin, Sebastian Sorio</t>
  </si>
  <si>
    <t>THE SISYPHUS STONE? GRASSROOTS TRADE UNIONISM AND COLLECTIVE BARGAINING IN TIMES OF DEMOCRATIC PEACE. CHILE, 1990-2010</t>
  </si>
  <si>
    <t>This article presents an analysis of the evolution of collective bargaining in grassroots trade unionism in Chile between 1990 and 2010, when the return to democracy offered a new political scenario to explore the potential of their organisations. Through the use of multiple statistical, documentary and bibliographical sources, we investigate the scope and limitations of their economic struggles at the level of establishments, showing a very restricted trade union deployment, subject to numerous threats from employers and with various obstacles to the exercise of their bargaining activity, which for these reasons became mainly an instrument to defend basic rights and prevent the fall in real wages rather than to dispute corporate profit.</t>
  </si>
  <si>
    <t>WOS:001465406100010</t>
  </si>
  <si>
    <t>Gordillo, L; Cerda, E</t>
  </si>
  <si>
    <t>Gordillo, Leonardo; Cerda, Enrique</t>
  </si>
  <si>
    <t>A tiny, long-distance hunter</t>
  </si>
  <si>
    <t>SCIENCE</t>
  </si>
  <si>
    <t>Lacrymaria olor cytoskeleton and membrane origami enables rapid cell hyperextension</t>
  </si>
  <si>
    <t>GORDILLO, Leonardo/I-8215-2014</t>
  </si>
  <si>
    <t>0036-8075</t>
  </si>
  <si>
    <t>1095-9203</t>
  </si>
  <si>
    <t>JUN 7</t>
  </si>
  <si>
    <t>10.1126/science.adn9351</t>
  </si>
  <si>
    <t>WOS:001253276700007</t>
  </si>
  <si>
    <t>Kern, J; Urrea, C; Cubillos, F; Navarrete, R</t>
  </si>
  <si>
    <t>Kern, John; Urrea, Claudio; Cubillos, Francisco; Navarrete, Ricardo</t>
  </si>
  <si>
    <t>A Bio-Inspired Retinal Model as a Prefiltering Step Applied to Letter and Number Recognition on Chilean Vehicle License Plates</t>
  </si>
  <si>
    <t>This paper presents a novel use of a bio-inspired retina model as a scene preprocessing stage for the recognition of letters and numbers on Chilean vehicle license plates. The goal is to improve the effectiveness and ease of pattern recognition. Inspired by the responses of mammalian retinas, this retinal model reproduces both the natural adjustment of contrast and the enhancement of object contours by parvocellular cells. Among other contributions, this paper provides an in-depth exploration of the architecture, advantages, and limitations of the model; investigates the tuning parameters of the model; and evaluates its performance when integrating a convolutional neural network and a spiking neural network into an optical character recognition (OCR) algorithm, using 40 different genuine license plate images as a case study and for testing. The results obtained demonstrate the reduction of error rates in character recognition based on convolutional neural networks (CNNs), spiking neural networks (SNNs), and OCR. It is concluded that this bio-inspired retina model offers a wide spectrum of potential applications to further explore, including motion detection, pattern recognition, and improvement of dynamic range in images, among others.</t>
  </si>
  <si>
    <t>Claudio, URREA/KWU-1600-2024; navarrete, ricardo/AAT-7489-2020</t>
  </si>
  <si>
    <t>10.3390/app14125011</t>
  </si>
  <si>
    <t>WOS:001254411300001</t>
  </si>
  <si>
    <t>Beltramin, JAB</t>
  </si>
  <si>
    <t>Beltramin, Jorge Antonio Brower</t>
  </si>
  <si>
    <t>The new Chilean Migration Law:Analysis of its Configuration as a Discursive Power Dispositif</t>
  </si>
  <si>
    <t>REVISTA MEXICANA DE CIENCIAS POLITICAS Y SOCIALES</t>
  </si>
  <si>
    <t>In this note, we present some of the preliminary results of our research, limited to the new Chilean migration law (N degrees 21,325), in its discursive dimension. The analysis carried out has as a theoretical/con-ceptual referent the term dispositif as knowledge/power, developed by Michel Foucault. We approached the discursive expression of this legal corpus through specific articles. Based on this theoretical design, we elaborate an ad hoc methodology to analytically review the corpus in question, identifying the semantic and ideological model that this law contains regarding migration, the subjects involved, and the type of regulation established in a larger context, which obey certain historical and political coordinates.</t>
  </si>
  <si>
    <t>0185-1918</t>
  </si>
  <si>
    <t>10.22201/fcpys.2448492xe.2024.251.86761</t>
  </si>
  <si>
    <t>WOS:001304575100015</t>
  </si>
  <si>
    <t>Espinosa, MRM</t>
  </si>
  <si>
    <t>Espinosa, Maria Regina Mardones</t>
  </si>
  <si>
    <t>Update challenges for human resources professionals in the new technologicalparadigm</t>
  </si>
  <si>
    <t>REVISTA VIRTUAL UNIVERSIDAD CATOLICA DEL NORTE</t>
  </si>
  <si>
    <t>0124-5821</t>
  </si>
  <si>
    <t>2389-7333</t>
  </si>
  <si>
    <t>10.35575/rvucn.n72a1</t>
  </si>
  <si>
    <t>WOS:001227118400001</t>
  </si>
  <si>
    <t>Lucero, NA</t>
  </si>
  <si>
    <t>Lucero, Nicolas Avila</t>
  </si>
  <si>
    <t>The problem of Political Authority</t>
  </si>
  <si>
    <t>10.32735/S0718-22012023000573292</t>
  </si>
  <si>
    <t>WOS:001203228500001</t>
  </si>
  <si>
    <t>Castillo, F</t>
  </si>
  <si>
    <t>Castillo, Francisco</t>
  </si>
  <si>
    <t>BETWEEN FEAR AND POLITICAL ACTION. THE CHILEAN RIGHTAGAINSTTHE REVOLUCIÓN EN LIBERTADAND THE VÍA CHILENA AL SOCIALISMO (1964-1973)</t>
  </si>
  <si>
    <t>The purpose of this research article is to analyze the emotional practicesoftheChilean right between 1964and 1973,specifically the expression and prescription of emotions. During this period, the Chilean right, made up of a constellation of parties and movements, faced challenges arising from the political and ideological initiatives of the Christian Democratic Party and the Popular Unity, each with its own program of specific transformations. From the perspective of the Chilean right, these initiatives were perceived as threatening and dangerous as they disrupted numerous key points of their interests and political sensibility. Thus, I argue that the Chilean right displayed an emotional style marked by a variety of emotions and feelings, which included fear, apprehension, insecurity, and uncertainty. Also, emotional subgroups were formed that gave specific meanings to their emotions. Additionally, the Chilean right constructed a prescriptive response to fear, consisting first of a rejection of fear as an emotion linked to cowardice, and second, as an encouragement of political action, based on a call for bravery. Methodologically speaking, this work examines three archives (Repositorio UAI, CIDOC UFT and Archivo Jaime Guzman) and their documents (partisan texts, statements and exchanged correspondence), focusing on the problem from the history of emotions and its relevance as an approach to study politics.</t>
  </si>
  <si>
    <t>WOS:001164876600008</t>
  </si>
  <si>
    <t>TESTIMONIAL POETRY OF THE COUP IN CHILE: REPRESSION, EXIL AND INSILIO</t>
  </si>
  <si>
    <t>WOS:001004544400014</t>
  </si>
  <si>
    <t>Urrea, C; Saa, D</t>
  </si>
  <si>
    <t>Urrea, Claudio; Saa, Daniel</t>
  </si>
  <si>
    <t>Design, Simulation, Implementation, and Comparison of Advanced Control Strategies Applied to a 6-DoF Planar Robot</t>
  </si>
  <si>
    <t>In general, structures with rotational joints and linearized dynamic equations are used to facilitate the control of manipulator robots. However, in some cases, the workspace is limited, which reduces the accuracy and performance of this type of robot, especially when uncertainties are considered. To counter this problem, this work presents a redundant planar manipulator robot with Six-Degree-of-Freedom (6-DoF), which has an innovative structural configuration that includes rotary and prismatic joints. Three control strategies are designed for the monitoring and regulation of the joint trajectory tracking problem of this robot under the action of variable loads. Two advanced control strategies-predictive and Fuzzy-Logic Control (FLC)-were simulated and compared with the classical Proportional-Integral-Derivative (PID) controller. The graphic simulator was implemented using tools from the MATLAB/Simulink software to model the behavior of the redundant planar manipulator in a virtual environment before its physical construction, in order to conduct performance tests for its controllers and to anticipate possible damages/faults in the system mechanics before the implementation of control strategies in a real robot. The inverse dynamics were obtained through the Lagrange-Euler (L-E) formulation. According to the property of symmetry, this model was obtained in a simplified way based on the main diagonal of the inertia matrix of the robot. Additionally, the model includes the dynamics of the actuators and the estimation of the friction forces, both with central symmetry present in the joints. The effectiveness of these three control strategies was validated through qualitative comparisons-performance graphs of trajectory tracking-and quantitative comparisons-the Common Mode Rejection Ratio (CMRR) performance indicator and joint error indexes such as the Residual Mean Square (RMS), Residual Standard Deviation (RSD), and Index of Agreement (IA). In this regard, FLC based on the dynamic model was the most-suitable control strategy.</t>
  </si>
  <si>
    <t>Saa Arancibia, Daniel/0000-0003-3807-4710; Urrea, Claudio/0000-0001-7197-8928</t>
  </si>
  <si>
    <t>MAY 12</t>
  </si>
  <si>
    <t>10.3390/sym15051070</t>
  </si>
  <si>
    <t>WOS:000997532400001</t>
  </si>
  <si>
    <t>Castro, RV</t>
  </si>
  <si>
    <t>Castro, Renato Velez</t>
  </si>
  <si>
    <t>The Persistence of Qawmi Suri: Historical Overview of a Transnational Arab Party</t>
  </si>
  <si>
    <t>The Qawmi Suri (or Syrian Social Nationalist Party) was founded in 1932 by the Lebanese Anton Saade, with the idea of unifying the region that he defined as &lt;&lt; Natural Syria &gt;&gt;. The Qawmi was one of the first ideological parties in the region, and from Lebanon extended its influence to Syria and the Levantine diaspora. It played an important role in the articulation of the diaspora in South America, with the creation of local branches; in Lebanon, by participating in insurrections, civil wars, and resistance to the Israeli occupation; and in Syria, where it went from being an opposition to the Baath Party to becoming a major ally of Bashar al-Assad in his fight against the Islamist insurgency. This article offers a historical overview of this transnational Arab party, through literature and the press review, as well as interviews with party militants, in order to reconstruct its evolution up to the present, while also highlighting its importance within the Syrian -Lebanese communities in Latin America, in an exercise linking Arab and Diaspora studies.</t>
  </si>
  <si>
    <t>WOS:001144754000005</t>
  </si>
  <si>
    <t>Diaz-Espinoza, R</t>
  </si>
  <si>
    <t>Diaz-Espinoza, Rodrigo</t>
  </si>
  <si>
    <t>Catalytically Active Amyloids as Future Bionanomaterials</t>
  </si>
  <si>
    <t>Peptides and proteins can aggregate into highly ordered and structured conformations called amyloids. These supramolecular structures generally have convergent features, such as the formation of intermolecular beta sheets, that lead to fibrillary architectures. The resulting fibrils have unique mechanical properties that can be exploited to develop novel nanomaterials. In recent years, sequences of small peptides have been rationally designed to self-assemble into amyloids that catalyze several chemical reactions. These amyloids exhibit reactive surfaces that can mimic the active sites of enzymes. In this review, I provide a state-of-the-art summary of the development of catalytically active amyloids. I will focus especially on catalytic activities mediated by hydrolysis, which are the most studied examples to date, as well as novel types of recently reported activities that promise to expand the possible repertoires. The combination of mechanical properties with catalytic activity in an amyloid scaffold has great potential for the development of future bionanomaterials aimed at specific applications.</t>
  </si>
  <si>
    <t>Diaz-Espinoza, Rodrigo/HDM-8819-2022</t>
  </si>
  <si>
    <t>Diaz-Espinoza, Rodrigo/0000-0002-1315-0716</t>
  </si>
  <si>
    <t>10.3390/nano12213802</t>
  </si>
  <si>
    <t>WOS:000881565400001</t>
  </si>
  <si>
    <t>Civil unrest and firm performance: Evidence from Chile</t>
  </si>
  <si>
    <t>ECONOMICS AND BUSINESS LETTERS</t>
  </si>
  <si>
    <t>This investigation considers the recent civil unrest in Chile to determine whether these increase or decrease the performance of companies. Using a panel composed of 99 non-financial firms listed on the Santiago de Chile Stock Exchange during the period between the first quarter of 2017 and 2020 I find that civil unrest negatively impacts firm performance. This effect is asymmetric among the different industrial sectors with the Trade and Industrial sectors being the most adversely affected. On the other hand, the Agriculture-fishing and Utilities sectors show a better performance.</t>
  </si>
  <si>
    <t>2254-4380</t>
  </si>
  <si>
    <t>10.17811/ebl.11.3.2022.118-124</t>
  </si>
  <si>
    <t>WOS:000826986300004</t>
  </si>
  <si>
    <t>Lacoste, P; Garay, C</t>
  </si>
  <si>
    <t>Lacoste, Pablo; Garay, Cristian</t>
  </si>
  <si>
    <t>PERON AND IBANEZ IN TOPAZE SATIRICAL MAGAZINE (1950-1955). POPULISM AND DEMOCRACY IN CHILE</t>
  </si>
  <si>
    <t>This article examines the relations between Argentina and Chile in the mid-twentieth century, under the leadership of Juan Peron and Carlos Ibanez del Campo respectively, through the coverage of the political-satirical magazine Topaze. An evolution is detected in its editorial line, from an initial optimism, marked by the potential economic integration, towards critical positions due to Argentina's repeated interference in Chile's internal affairs, particularly through bribery and promotion of the closing of Congress.</t>
  </si>
  <si>
    <t>WOS:000715741600009</t>
  </si>
  <si>
    <t>Vaccia, C</t>
  </si>
  <si>
    <t>Vaccia, Carolina</t>
  </si>
  <si>
    <t>Indigenous Face, SO WHAT??: Current Femenine Visualities and Counter Representations Racialized in Argentina as Decolonizing Act</t>
  </si>
  <si>
    <t>This article is intended to address the role of current visual counter-representations of indigenous women in Latin America based on the actions emerging from female artists connected to the Identidad Marron (Brown Identity) collective activism born in Argentina against structural racism. The search of an own version appears towards the construction of an authentic, experiential, and updated cultural memory, based on the representation of the diverse bias as well as the search for visibility supported by social networks as circulation platforms.</t>
  </si>
  <si>
    <t>vaccia, carolina/0000-0001-5157-9743</t>
  </si>
  <si>
    <t>10.35588/estudav.v0i35.5322</t>
  </si>
  <si>
    <t>WOS:000739816200003</t>
  </si>
  <si>
    <t>Velásquez, E; Vidal, CP; Rojas, A; Guarda, A; Galotto, MJ; de Dicastillo, CL</t>
  </si>
  <si>
    <t>Velasquez, Eliezer; Patino Vidal, Cristian; Rojas, Adrian; Guarda, Abel; Galotto, Maria Jose; Lopez de Dicastillo, Carol</t>
  </si>
  <si>
    <t>Natural antimicrobials and antioxidants added to polylactic acid packaging films. Part I: Polymer processing techniques</t>
  </si>
  <si>
    <t>COMPREHENSIVE REVIEWS IN FOOD SCIENCE AND FOOD SAFETY</t>
  </si>
  <si>
    <t>Currently, reducing packaging plastic waste and food losses are concerning topics in the food packaging industry. As an alternative for these challenges, antimicrobial and antioxidant materials have been developed by incorporating active agents (AAs) into biodegradable polymers to extend the food shelf life. In this context, developing biodegradable active materials based on polylactic acid (PLA) and natural compounds are a great alternative to maintain food safety and non-toxicity of the packaging. AAs, such as essential oils and polyphenols, have been added mainly as antimicrobial and antioxidant natural compounds in PLA packaging. In this review, current techniques used to develop active PLA packaging films were described in order to critically compare their feasibility, advantages, limitations, and relevant processing aspects. The analysis was focused on the processing conditions, such as operation variables and stages, and factors related to the AAs, such as their concentrations, weight losses during processing, and incorporation technique, among others. Recent developments of active PLA-based monolayers and bi- or multilayer films were also considered. In addition, patents on inventions and technologies on active PLA-based films for food packaging were reviewed. This review highlights that the selection of the processing technique and conditions to obtain active PLA depends on the type of the AA regarding its volatility, solubility, and thermosensitivity.</t>
  </si>
  <si>
    <t>Rojas, Adrián/ISB-5770-2023; Patiño Vidal, Cristian Javier/JDM-7961-2023; Lopez-de-Dicastillo, Carol/C-6347-2019</t>
  </si>
  <si>
    <t>Lopez-de-Dicastillo, Carol/0000-0003-0067-9765; Patino Vidal, Cristian Javier/0000-0002-5633-6908; Rojas, Adrian/0000-0001-9253-1295; VELASQUEZ, ELIEZER/0000-0001-8858-8926</t>
  </si>
  <si>
    <t>1541-4337</t>
  </si>
  <si>
    <t>1-16</t>
  </si>
  <si>
    <t>10.1111/1541-4337.12777</t>
  </si>
  <si>
    <t>JUN 2021</t>
  </si>
  <si>
    <t>WOS:000660558300001</t>
  </si>
  <si>
    <t>Vidal, K</t>
  </si>
  <si>
    <t>Vidal, Karla</t>
  </si>
  <si>
    <t>The Kawesqar Waes (Kawesqar Territory's) Water in the Anthropocene Epoch as Precursor for the Right of Being Nomad and Hunter</t>
  </si>
  <si>
    <t>This article addresses the territory framed within the cosmopolitics and how this reflection places different territorial uses and occupancies in relation with management of nature in the Anthropocene, together with native people's rights on that nature. Nature, comprehended like goods for protecting, emerges from a full world where people are too close to each other, then, nature's free spaces must be managed under modern environmental laws like national parks or marine protected areas. Nevertheless, what happens when a native community lives in those protected territories and must follow the rules of a political and environmental legislation? The kawesqar natives from Puerto Eden (Western Patagonia) maintain a cultural heritage about nomadism and hunting based on navigation across kawesqar waes, wich coexists with Western Patagonia (political territory) and water turns a support element that permit the kawesqar's traditional life together with a major non human collective inside a territory whose water is only one, without divisions. In this context, the right for being nomadic and hunter is analyzed in light of cosmopolitics where the human/non human collective integrates a cosmos where nature is not an environmental management.</t>
  </si>
  <si>
    <t>10.35588/estudav.v0i34.5003</t>
  </si>
  <si>
    <t>WOS:000668091500006</t>
  </si>
  <si>
    <t>González, A; Vidal, C; Espinoza, D; Moenne, A</t>
  </si>
  <si>
    <t>Gonzalez, Alberto; Vidal, Constanza; Espinoza, Daniela; Moenne, Alejandra</t>
  </si>
  <si>
    <t>Anthracene induces oxidative stress and activation of antioxidant and detoxification enzymes in Ulva lactuca (Chlorophyta)</t>
  </si>
  <si>
    <t>SCIENTIFIC REPORTS</t>
  </si>
  <si>
    <t>In order to analyze whether the marine macroalga Ulva lactuca can absorb and metabolize anthracene (ANT), the alga was cultivated with 5 mu M ANT for 0-72 h, and the level of ANT was detected in the culture medium, and in the alga. The level of ANT rapidly decreased in the culture medium reaching a minimal level at 6 h, and rapidly increased in the alga reaching a maximal level at 12 h and then decreased to reach a minimal level at 48 h of culture. In addition, ANT induced an increase in hydrogen peroxide that remained until 72 h and a higher increase in superoxide anions that reach a maximal level at 24 h and remained unchanged until 72 h, indicating that ANT induced an oxidative stress condition. ANT induced an increase in lipoperoxides that reached a maximal level at 24 h and decreased at 48 h indicating that oxidative stress caused membrane damage. The activity of antioxidant enzymes SOD, CAT, AP, GR and GP increased in the alga treated with ANT whereas DHAR remained unchanged. The level of transcripts encoding these antioxidant enzymes increased and those encoding DHAR did not change. Inhibitors of monooxygenases, dioxygenases, polyphenol oxidases, glutathione-S-transferases and sulfotransferases induced an increase in the level of ANT in the alga cultivated for 24 h. These results strongly suggest that ANT is rapidly absorbed and metabolized in U. lactuca and the latter involves Phase I and II metabolizing enzymes.</t>
  </si>
  <si>
    <t>Espinoza, Daniela/0000-0002-9765-7468; Gonzalez Figueroa, Alberto/0000-0002-5777-9022</t>
  </si>
  <si>
    <t>2045-2322</t>
  </si>
  <si>
    <t>APR 8</t>
  </si>
  <si>
    <t>10.1038/s41598-021-87147-5</t>
  </si>
  <si>
    <t>WOS:000639562100068</t>
  </si>
  <si>
    <t>Moenne, A; González, A</t>
  </si>
  <si>
    <t>Moenne, A.; Gonzalez, A.</t>
  </si>
  <si>
    <t>Chitosan-, alginate- carrageenan-derived oligosaccharides stimulate defense against biotic and abiotic stresses, and growth in plants: A historical perspective</t>
  </si>
  <si>
    <t>During the last 20 years, the mechanisms involved in the stimulation of defense against pathogens, and growth triggered by chitosan-, alginate- and carrageenan-derived oligosaccharides have been studied in plants. Oligochitosan stimulate protection against pathogens by activation of salicylic acid (SA) or jasmonic acid/ethylene (JA/ET)-dependent pathways, protection against abiotic stress through abscisic acid (ABA)-dependent pathway, and growth by increasing photosynthesis, auxin and gibberellin content, C and N assimilation, and synthesis of secondary metabolites with antipathogenic and medicinal properties. Oligo-alginates stimulate protection against pathogens through SA-dependent pathway, abiotic stress via ABA-dependent pathway, and growth by increasing photosynthesis, auxin and gibberellins contents, C and N assimilation, and synthesis of secondary metabolites with antipathogenic and medicinal properties. Oligo-carrageenan increased protection against pathogens through JA/ET, SA- and Target of Rapamycin (TOR)-dependent pathways, and growth by activation of TOR-dependent pathway leading to an increase in expression of genes involved in photosynthesis, C, N, S assimilation, and enzymes that synthesize phenolic compounds and terpenes having antipathogenic activities. Thus, the latter oligosaccharides induce similar biological effects, but through different signaling pathways in plants.</t>
  </si>
  <si>
    <t>1873-426X</t>
  </si>
  <si>
    <t>10.1016/j.carres.2021.108298</t>
  </si>
  <si>
    <t>APR 2021</t>
  </si>
  <si>
    <t>WOS:000643890300001</t>
  </si>
  <si>
    <t>Calderón, LA; Mena, VAG; Miranda, JMR</t>
  </si>
  <si>
    <t>Almendares Calderon, Laura; Garcia Mena, Veronica Alejandra; Roman Miranda, Jose Manuel</t>
  </si>
  <si>
    <t>Development of an extruded food product similar to fried potatoes, based on by?products of potatoes and rice. physicochemical and microbiological evaluation</t>
  </si>
  <si>
    <t>FOOD SCIENCE AND TECHNOLOGY</t>
  </si>
  <si>
    <t>The FAO and the OMS have warned on the high risk to health from the consumption of fried food due to their high energy density (fats) which leads to obesity, heart problems and the development of toxic compounds, like acrylamide, produced in frying oils. Chile has high obesity indices in adults, who affect 25.1% of the population. A fundamental cause is the increasing consumption of trashed food, like fried potatoes as an inevitable component. This is due mainly to the fact that fats and carbohydrates activate areas of the brain related to pleasure, leading to addiction. In this paper deals with an extruded food product similar to fried potatoes in configuration and organoleptic characteristics; made with raw materials of low commercial value. This product is aimed at producing a food similar to fried potatoes, but with low oil absorption capacity during frying, allowing to offer a healthier alternative to the population. The oil absorption for the samples submitted in both extrusions, were lower than in the commercial product. This fact presents the challenge of obtaining a prototype that generates a lower absorption of oil, realizing the changes that are already glimpsed with the preliminary tests carried out.</t>
  </si>
  <si>
    <t>miranda, jose/C-2300-2012</t>
  </si>
  <si>
    <t>almendares, laura/0000-0001-8349-1818</t>
  </si>
  <si>
    <t>0101-2061</t>
  </si>
  <si>
    <t>1678-457X</t>
  </si>
  <si>
    <t>10.1590/fst.03820</t>
  </si>
  <si>
    <t>WOS:000637782100007</t>
  </si>
  <si>
    <t>October 2019: the other semantics of revolt. Micropolitical scaffolding</t>
  </si>
  <si>
    <t>WOS:000651158400006</t>
  </si>
  <si>
    <t>Rebolledo, PI; Maturana, CR</t>
  </si>
  <si>
    <t>Inostroza Rebolledo, Patricio; Rubilar Maturana, Catalina</t>
  </si>
  <si>
    <t>PSYCHOSOCIAL RISK IN WORK COOPERATIVE PARTNERS: BACKGROUND FOR THE DISCUSSION OF OCCUPATIONAL HEALTH</t>
  </si>
  <si>
    <t>REVISTA DE ESTUDIOS EMPRESARIALES-SEGUNDA EPOCA</t>
  </si>
  <si>
    <t>The work is one of life's most relevant human activities, it has an impact on individuals and organizations. Countries have been encouraged from international agencies to take cover not only from physical security but also at the psychosocial level of workers. In Chile, since 2013, the Protocol on the Surveillance of Psychosocial Risk at work has been implemented for the different labor organizations. In this article realizes the psychosocial risk of worker partners in six worker cooperatives, in a mixed study, it is observed that the results at the quantitative level of organizations get in 4 of the 5 dimensions a low risk (psychological requirements, active work, social support in the company and compensation), while in the double presence dimension they get a high level of risk. Linking the results to the qualitative analysis provides backgrounds the help us understand cooperative management practices would be compensative influencing other psychosocial risks present.</t>
  </si>
  <si>
    <t>Inostroza, Patricio/HOH-5089-2023</t>
  </si>
  <si>
    <t>0213-8964</t>
  </si>
  <si>
    <t>1988-9046</t>
  </si>
  <si>
    <t>10.17561/ree.n1.2021.6258</t>
  </si>
  <si>
    <t>WOS:000677700300004</t>
  </si>
  <si>
    <t>González, A; Espinoza, D; Vidal, C; Moenne, A</t>
  </si>
  <si>
    <t>Gonzalez, Alberto; Espinoza, Daniela; Vidal, Constanza; Moenne, Alejandra</t>
  </si>
  <si>
    <t>Benzopyrene induces oxidative stress and increases expression and activities of antioxidant enzymes, and CYP450 and GST metabolizing enzymes in Ulva lactuca (Chlorophyta)</t>
  </si>
  <si>
    <t>PLANTA</t>
  </si>
  <si>
    <t>Main conclusion Benzopyrene is rapidly incorporated and metabolized, and induces oxidative stress and activation of antioxidant enzymes, and CYP450 and GST metabolizing enzymes in Ulva lactuca. To analyze absorption and metabolism of benzo[a]pyrene (BaP) in Ulva lactuca, the alga was cultivated with 5 mu M of BaP for 72 h. In the culture medium, BaP level rapidly decreased reaching a minimal level at 12 h and, in the alga, BaP level increased until 6 h, remained stable until 24 h, and decreased until 72 h indicating that BaP is being metabolized in U. lactuca. In addition, BaP induced an initial increase in hydrogen peroxide decreasing until 24 h, superoxide anions level that remained high until 72 h, and lipoperoxides that initially increased and decreased until 72 h, showing that BaP induced oxidative stress. Activities of antioxidant enzymes superoxide dismutase (SOD), catalase (CAT), ascorbate peroxidase (AP), glutathione reductase (GR) and glutathione peroxidase (GP) were increased, whereas dehydroascorbate reductase (DHAR) activity was unchanged. The level of transcripts encoding these antioxidant enzymes was increased, but transcripts encoding DHAR remained unchanged. Interestingly, the activity of glutathione-S-transferase (GST) was also increased, and inhibitors of cytochrome P450 (CYP450) and GST activities enhanced the level of BaP in algal tissue, suggesting that these enzymes participate in BaP metabolism.</t>
  </si>
  <si>
    <t>0032-0935</t>
  </si>
  <si>
    <t>1432-2048</t>
  </si>
  <si>
    <t>10.1007/s00425-020-03508-w</t>
  </si>
  <si>
    <t>WOS:000590485000001</t>
  </si>
  <si>
    <t>Integrating ROS and IoT in a Virtual Laboratory for Control System Engineering</t>
  </si>
  <si>
    <t>JOURNAL OF APPLIED MATHEMATICS</t>
  </si>
  <si>
    <t>This article presents the implementation of a learning environment for the teaching of control systems. This environment integrates physical equipment and simulation, monitoring, and control through a network. A software platform based on ROS (Robotic Operating System) grants access to the system through intranet and Internet, facilitating the integration of new test equipment. The environment developed can be used in didactic experiences both inside and outside the classroom, enhancing the learning of four main study topics: modeling, analysis, parameter estimation, and controller design.</t>
  </si>
  <si>
    <t>1110-757X</t>
  </si>
  <si>
    <t>1687-0042</t>
  </si>
  <si>
    <t>NOV 18</t>
  </si>
  <si>
    <t>10.1155/2020/8987150</t>
  </si>
  <si>
    <t>WOS:001023008800001</t>
  </si>
  <si>
    <t>Valenzuela, FEB</t>
  </si>
  <si>
    <t>Beroiza Valenzuela, Francisca Eunice</t>
  </si>
  <si>
    <t>History of civil-military relations in Chile. From Eduardo Frei Montalva to Michelle Bachelet Jeria</t>
  </si>
  <si>
    <t>TEMPO-NITEROI</t>
  </si>
  <si>
    <t>Beroiza-Valenzuela, Francisca/0000-0003-2424-1207</t>
  </si>
  <si>
    <t>1413-7704</t>
  </si>
  <si>
    <t>10.1590/TEM-1980-542x2020v260313</t>
  </si>
  <si>
    <t>WOS:000591653800012</t>
  </si>
  <si>
    <t>Vota, SS</t>
  </si>
  <si>
    <t>Sosa Vota, Silvina</t>
  </si>
  <si>
    <t>The Satirical Press from Bogota in the South-American Context of the Late XIXth century</t>
  </si>
  <si>
    <t>REVISTA CIENCIAS SOCIALES Y EDUCACION</t>
  </si>
  <si>
    <t>This article's main goal is reflecting upon the Colombian satirical press of the XIXth century in the South-American context. For that, a general panoramic of the characteristics of this type of publication in the region was performed. Afterwards, the Colombian case is introduced for observing highlighted particularities in this country. Likewise, this articles aims towards making evident the potential these type of publication have as a source oh historical knowledge, for which a link with its historical context is necessary.</t>
  </si>
  <si>
    <t>2256-5000</t>
  </si>
  <si>
    <t>2590-7344</t>
  </si>
  <si>
    <t>10.22395/csye.v9n18a2</t>
  </si>
  <si>
    <t>WOS:000596130500002</t>
  </si>
  <si>
    <t>Jara-Reyes, RE; Berrios, M; Moreno, D</t>
  </si>
  <si>
    <t>Jara-Reyes, Rene-Eduardo; Berrios, Matias; Moreno, Deborah</t>
  </si>
  <si>
    <t>Between the judicialization and the attribution of responsibilities. Frames in the news coverage of political scandals in Chile (2014-2016)</t>
  </si>
  <si>
    <t>PROFESIONAL DE LA INFORMACION</t>
  </si>
  <si>
    <t>The mediatization of political scandals has become a common phenomenon in the most diverse political systems. However, we know little about how the media frame this information. To answer this question, we have developed a descriptive study on a series of recent political scandals denounced in the Chilean press. Taking as a temporary framework the news published between 2014 and 2016, we analyzed the total information (n=10011) published by a sample of eleven national media, on seven political scandals that occurred during the period. We have used the QDAMiner-Wordstat program to detect frame terms, from which we have been able to identify two large frames: one referring to the Judicialization of cases and the other referred to the Attribution of responsibilities. The results are presented and discussed, examining some implications of the exercise for the understanding of the political scandals themselves and the way in which the Chilean periodic press presents and disseminates them.</t>
  </si>
  <si>
    <t>jara reyes, rene/JAZ-0211-2023</t>
  </si>
  <si>
    <t>Jara Reyes, Rene Eduardo/0000-0001-8203-5917</t>
  </si>
  <si>
    <t>1386-6710</t>
  </si>
  <si>
    <t>1699-2407</t>
  </si>
  <si>
    <t>e290224</t>
  </si>
  <si>
    <t>10.3145/epi.2020.mar.24</t>
  </si>
  <si>
    <t>WOS:000531811800022</t>
  </si>
  <si>
    <t>The liberationist thinking in Oceania: Cartography of circulacion of Latin American ideas in South Pacific</t>
  </si>
  <si>
    <t>The research consists of detecting the presence from the 1970s until the beginning of the 21st century, of two expressions of South American liberationist thinking (Paulo Freire's pedagogy and theology of liberation) in Oceania. Intellectual reception ecosystems and processes of circulation and re-elaboration are indicated in 4 intellectual spaces: higher education institutions (universities and religious seminaries), liberation movements, adult literacy, and indigenous peoples' organizations. Cases are detected in states and territories such as Australia, Fiji, New Caledonia, New Zealand, Papua New Guinea, Timor East and Vanuatu. Finally, this research concludes with the characterization of the ways in which the South American ideas were received and re-elaborated and the channels through which they arrived in the region and through which they circulated within it.</t>
  </si>
  <si>
    <t>WOS:000614863100002</t>
  </si>
  <si>
    <t>Lorenzo, C</t>
  </si>
  <si>
    <t>Challenges of Latin America in the Global Environmental Geopolitics of the Twenty-First Century</t>
  </si>
  <si>
    <t>LATIN AMERICA IN TIMES OF GLOBAL ENVIRONMENTAL CHANGE</t>
  </si>
  <si>
    <t>Latin American Studies Book Series</t>
  </si>
  <si>
    <t>This chapter argues that the geopolitics of the twenty-first century is and mainly will be environmental geopolitics. Within this framework, Latin America, due to its biogeographic features, will be faced with enormous sovereignty challenges from the interventionist interest of power of the Global North, with the purpose of having access, to appropriate and to manage their ecosystems. Those have the singularity of being located at Latin America or in a region or very close to it and are considered key to the functioning of the global or planetary ecosystem, such as the Amazonian space, the freshwater resource and the Antarctic region.</t>
  </si>
  <si>
    <t>Estenssoro, Fernando/0000-0001-6010-7115</t>
  </si>
  <si>
    <t>2366-3421</t>
  </si>
  <si>
    <t>2366-343X</t>
  </si>
  <si>
    <t>978-3-030-24254-1; 978-3-030-24253-4</t>
  </si>
  <si>
    <t>10.1007/978-3-030-24254-1_2</t>
  </si>
  <si>
    <t>10.1007/978-3-030-24254-1</t>
  </si>
  <si>
    <t>WOS:000637313800004</t>
  </si>
  <si>
    <t>DOUBLE ASYMMETRY</t>
  </si>
  <si>
    <t>WOS:000608865900015</t>
  </si>
  <si>
    <t>INTERMEDIATE STATES</t>
  </si>
  <si>
    <t>WOS:000608865900028</t>
  </si>
  <si>
    <t>Baeriswyl, MVC</t>
  </si>
  <si>
    <t>Correa Baeriswyl, Maria Victoria</t>
  </si>
  <si>
    <t>Architectural Heritage at Estacion Central Commune (Chile): Towards a Sustainable Conservation</t>
  </si>
  <si>
    <t>3RD WORLD MULTIDISCIPLINARY CIVIL ENGINEERING, ARCHITECTURE, URBAN PLANNING SYMPOSIUM (WMCAUS 2018)</t>
  </si>
  <si>
    <t>3rd World Multidisciplinary Civil Engineering, Architecture, Urban Planning Symposium (WMCAUS)</t>
  </si>
  <si>
    <t>JUN 18-22, 2018</t>
  </si>
  <si>
    <t>Under a neoliberal policy established since the seventies, Santiago de Chile has faced the huge consequences of an accelerated urban sprawl, related to population increase and unlimited horizontal and vertical growth. In recent decades, architectural heritage has not been considered as a central factor in Santiago's urban development. The lack of attention towards heritage can be observed in this capital city. Estacion Central commune is located at Santiago's central area, attached to the city's historical center. This commune reflects the recent effects of Santiago's urban transformations, with no consideration regarding constructed memory. The origin of this neighborhood, is related to the location of the first capital city train station, in the middle of the 19th century. Local heritage is composed, in consequence, by residential and industrial buildings of that time. Nowadays, this heritage can be seen in a complex conservation state, abandoned and neglected. In recent years, several non-listed historical sites of this commune, have been demolished. Non-strong legal preservation framework was established, and construction regulations were permissive. In recent months the explosive construction of high density buildings in this commune has reached local authorities opinion and national press. Non-quality apartments of reduced surfaces are progressively replacing and erasing the historical tissue of this area. The lack of an adequate heritage policy is related to this process: in fact, Estacion Central commune has only 12 listed buildings in its whole territory of 1 550 hectares. Chilean preservation policy works around a monumental heritage concept. Lower scale architecture remains, often, outside the preservation framework. Also, monumental, but not yet identified historical buildings remain out of legal protection. The absence of a sustainable urban policy in Chile related to architectural heritage conservation, has led to historical buildings' deterioration and demolition. Linking cultural heritage with urban planning, is nowadays a pending challenge. Conservation public policies should start from the knowledge of local cities urban memory. Understanding the past, could lead us to project its future. New ways of dealing with constructed memory should be proposed, in order to reach a new equilibrium related to our collective memory. This article analyses the amnesic phenomenon in progress at Estacion Central, and identifies non-listed heritage existing in this commune, as a first step for its valorization.</t>
  </si>
  <si>
    <t>10.1088/1757-899X/471/8/082036</t>
  </si>
  <si>
    <t>WOS:000465811803082</t>
  </si>
  <si>
    <t>Quezada, LE; Reinao, EA; Palominos, PI; Oddershede, AM</t>
  </si>
  <si>
    <t>Dagli, CH; Suer, GA</t>
  </si>
  <si>
    <t>Quezada, Luis E.; Reinao, Eduardo A.; Palominos, Pedro I.; Oddershede, Astrid M.</t>
  </si>
  <si>
    <t>Measuring Performance Using SWOT Analysis and Balanced Scorecard</t>
  </si>
  <si>
    <t>25TH INTERNATIONAL CONFERENCE ON PRODUCTION RESEARCH MANUFACTURING INNOVATION: CYBER PHYSICAL MANUFACTURING</t>
  </si>
  <si>
    <t>Procedia Manufacturing</t>
  </si>
  <si>
    <t>25th International Conference on Production Research Manufacturing Innovation (ICPR) - Cyber Physical Manufacturing</t>
  </si>
  <si>
    <t>AUG 09-14, 2019</t>
  </si>
  <si>
    <t>Chicago, IL</t>
  </si>
  <si>
    <t>This paper presents a method to measure the performance of a company by combining Strengths-Weakness-Opportunities-Threats Analysis (SWOT analysis) and the Balanced Scorecard (BSC) through the Analytical Network Process (ANP). BSC is a strategic measurement system that has become a strategic management system. A BSC includes strategic objectives and performance indicators that are aligned with the mission and strategy of the organization. The literature in modeling a BSC using Multicriteria Decision Making Methods (MCDM) is vast. Methods such as ANP have been used for different purposes. On the other hand, Strengths-Weaknesses-Opportunities and Threats Analysis (SWOT) analysis is a methodology for analyzing a company from an internal and external perspective in order to generate strategies for the firm. It has also been modeled quantitatively in order to produce strategies. This paper presents a method that combines quantitatively BSC and SWOT analysis to assess a company. The proposed method was implemented in a company that belongs to the food industry. After the application, managers were asked about the method and the implementation process. They found that the method was useful., but time consuming. (C) 2019 The Authors. Published by Elsevier Ltd.</t>
  </si>
  <si>
    <t>2351-9789</t>
  </si>
  <si>
    <t>10.1016/j.promfg.2020.01.430</t>
  </si>
  <si>
    <t>WOS:000889480200092</t>
  </si>
  <si>
    <t>Viera, R</t>
  </si>
  <si>
    <t>Viera, Rodolfo</t>
  </si>
  <si>
    <t>Densities non-realizable as the Jacobian of a 2-dimensional bi-Lipschitz map are generic</t>
  </si>
  <si>
    <t>JOURNAL OF TOPOLOGY AND ANALYSIS</t>
  </si>
  <si>
    <t>In this work, positive functions defined on the plane are considered from a generic viewpoint, both in the continuous and bounded setting. By pursuing on constructions of Burago-Kleiner and McMullen, we show that, generically, such a function cannot be written as the Jacobian of a bi-Lipschitz homeomorphism.</t>
  </si>
  <si>
    <t>Viera, Rodolfo/0000-0002-0810-6374</t>
  </si>
  <si>
    <t>1793-5253</t>
  </si>
  <si>
    <t>1793-7167</t>
  </si>
  <si>
    <t>10.1142/S1793525318500322</t>
  </si>
  <si>
    <t>WOS:000451435100007</t>
  </si>
  <si>
    <t>SOVEREIGN SUICIDE AND PATHOLOGICAL SUICIDE</t>
  </si>
  <si>
    <t>In its definition of suicide, the dictionary of the Spanish Royal Academy opts for a philosophical position that distances itself from some public health objectives and points of view, in order to emphasize the nature of suicide as an intimate act carried out by a subject capable of action. The boundaries of the concept are unclear: there is a continuum between suicide and death due to natural or accidental causes or reckless behavior. But suicide can only be the result of a sovereign act, and, therefore, someone who lacks will cannot be a suicide. This makes it possible to discuss the proposals of B. Spinoza and I. Kant, as well as some of the public health approaches that disregard the sovereign nature of suicide.</t>
  </si>
  <si>
    <t>10.15446/ideasyvalores.v66n164.45177</t>
  </si>
  <si>
    <t>WOS:000408725400007</t>
  </si>
  <si>
    <t>Rebolledo, CS</t>
  </si>
  <si>
    <t>Santibanez Rebolledo, Camilo</t>
  </si>
  <si>
    <t>CHILEAN PORT WORKERS AND THE EXPERIENCE OF THE EVENTUALITY: CONFLICTS OVER THE REDONDILLA IN THE SALTPETER SPRINGS (1916-1923)</t>
  </si>
  <si>
    <t>This article studies the conflictive implementation and repeal of a work shift distribution system known as redondilla in the saltpeter mine operation sites. In the context of temporary employment, which followed the dismantling of nineteenth century port workers' trade unions, this state and shipping company imposed shift system implemented at northern Chilean ports, rooted itself in the name of labor demands it was intended to contain; a persistent propensity of day laborers and dockworkers directly taking control of the sale of their labor force, effectively removing from the middle those men that administered the hiring. The result of this tension in the end culminated in the first effort of governmental de-casualization on the Chilean coasts between 1922 and 1923.</t>
  </si>
  <si>
    <t>Santibanez, Camilo/0000-0003-2936-3342</t>
  </si>
  <si>
    <t>WOS:000425266000010</t>
  </si>
  <si>
    <t>de Dicastillo, CL; Roa, K; Garrido, L; Pereira, A; Galotto, MJ</t>
  </si>
  <si>
    <t>de Dicastillo, Carol Lopez; Roa, Karina; Garrido, Luan; Pereira, Alejandro; Galotto, Maria Jose</t>
  </si>
  <si>
    <t>Novel Polyvinyl Alcohol/Starch Electrospun Fibers as a Strategy to Disperse Cellulose Nanocrystals into Poly(lactic acid)</t>
  </si>
  <si>
    <t>In this work, electrospun fibers of polyvinyl alcohol (PV) and starch (ST) were obtained to improve dispersion of cellulose nanocrystals (CNC) within a poly(lactic acid) (PLA) matrix with the aim of enhancing mechanical and barrier properties. The development and characterization of electrospun fibers with and without CNC, followed by their incorporation in PLA at three concentrations (0.5%, 1% and 3% with respect to CNC) were investigated. Morphological, structural, thermal, mechanical and barrier properties of these nanocomposites were studied. The purpose of this study was not only to compare the properties of PLA nanocomposites with CNC embedded into electrospun fibers and nanocomposites with freeze-dried CNC, but also to study the effect of electrospinning process and the incorporation of CNC on the PV and starch properties. SEM micrographs confirmed the homogenous dispersion of fibers through PLA matrix. X-ray analysis revealed that the electrospinning process decreased the crystallinity of PV and starch. The presence of CNC enhanced the thermal stability of electrospun fibers. Electrospun fibers showed an interesting nucleating effect since crystallinity of PLA was strongly increased. Nanocomposites with electrospun fibers containing CNC presented slightly higher flexibility and ductility without decreasing barrier properties.</t>
  </si>
  <si>
    <t>Pereira, Alejandro/X-7172-2018; Lopez-de-Dicastillo, Carol/C-6347-2019</t>
  </si>
  <si>
    <t>Lopez-de-Dicastillo, Carol/0000-0003-0067-9765; Pereira Abarca, Alejandro/0000-0002-4473-0852</t>
  </si>
  <si>
    <t>10.3390/polym9040117</t>
  </si>
  <si>
    <t>WOS:000401719700003</t>
  </si>
  <si>
    <t>Olivares, I; Riveros, G; Manriquez, C; Labbé, R; Vergara, L</t>
  </si>
  <si>
    <t>Olivares, Ignacio; Riveros, Gabriel; Manriquez, Christian; Labbe, Raul; Vergara, Lautaro</t>
  </si>
  <si>
    <t>Highly nonlinear solitary wave velocity measurement with a modified Michelson interferometer</t>
  </si>
  <si>
    <t>OPTICA APPLICATA</t>
  </si>
  <si>
    <t>We have measured the velocity of a highly nonlinear solitary wave, generated by the collision of a ball with a linear set of pre-compressed balls of the same material, using a double Michelson interferometer. One of the mirrors of each interferometer was mounted on one of two balls of the array. The measured soliton velocity was u = (346 +/- 40) m/s for brass balls with pre-compression force F = (0.8 +/- 0.1) N, and u = (102 +/- 3) m/s for Teflon balls with pre-compression force F = (0.4 +/- 0.1)N.</t>
  </si>
  <si>
    <t>Vergara, Lautaro/V-2736-2019; Olivares, Ignacio/AAU-9355-2021; Labbe, Raul/C-4581-2008</t>
  </si>
  <si>
    <t>Olivares, Ignacio/0000-0001-8440-7665; Labbe, Raul/0000-0003-4233-8387</t>
  </si>
  <si>
    <t>0078-5466</t>
  </si>
  <si>
    <t>1899-7015</t>
  </si>
  <si>
    <t>10.5277/oa170208</t>
  </si>
  <si>
    <t>WOS:000428218700008</t>
  </si>
  <si>
    <t>Urrea, C; Araya, H</t>
  </si>
  <si>
    <t>Dey, N; Ashour, A; Patra, PK</t>
  </si>
  <si>
    <t>Urrea, Claudio; Araya, Hector</t>
  </si>
  <si>
    <t>New Redundant Manipulator Robot with Six Degrees of Freedom Controlled with Visual Feedback</t>
  </si>
  <si>
    <t>FEATURE DETECTORS AND MOTION DETECTION IN VIDEO PROCESSING</t>
  </si>
  <si>
    <t>Advances in Multimedia and Interactive Technologies</t>
  </si>
  <si>
    <t>d The design and implementation stages of a redundant robotized manipulator with six Degrees Of Freedom (DOF), controlled with visual feedback by means of computational software, is presented. The various disciplines involved in the design and implementation of the manipulator robot are highlighted in their electric as well as mechanical aspects. Then, the kinematics equations that govern the position and orientation of each link of the manipulator robot are determined. The programming of an artificial vision system and of an interface that control the manipulator robot is designed and implemented. Likewise, the type of position control applied to each joint is explained, making a distinction according to the assigned task. Finally, functional mechanical and electric tests to validate the correct operation of each of the systems of the manipulator robot and the whole robotized system are carried out.</t>
  </si>
  <si>
    <t>978-1-5225-1026-0; 978-1-5225-1025-3</t>
  </si>
  <si>
    <t>10.4018/978-1-5225-1025-3.ch011</t>
  </si>
  <si>
    <t>10.4018/978-1-5225-1025-3</t>
  </si>
  <si>
    <t>WOS:000404128900013</t>
  </si>
  <si>
    <t>Kern, J; Urrea, C; Méndez, R; González, G</t>
  </si>
  <si>
    <t>Kern, J.; Urrea, C.; Mendez, R.; Gonzalez, G.</t>
  </si>
  <si>
    <t>Development of an Embedded Control System by Means of dsPIC Applied in a 4 DOF Robot</t>
  </si>
  <si>
    <t>IEEE LATIN AMERICA TRANSACTIONS</t>
  </si>
  <si>
    <t>In this paper the design and implementation of an embedded control system, using DSCs (Digital Signal Controller) devices of dsPIC type, applied on a four DOF (Degrees Of Freedom) robotic manipulator OWI-535 model is presented. The mathematical model of manipulator is elaborated obtaining joint trajectories to achieve the tracking of a test Cartesian trajectory. A control structure based on a Master/Slave configuration, between two dsPIC30F4013 through SPI (Serial Peripheral Interface) protocol is developed. In such a system, algorithms are implemented: PID (Proportional Integral Derivative) with anti-windup and, generation PWM (Pulse-Width Modulation) and data acquisition, in the DSCs master and slave, respectively. The results are exposed by comparative curves between the desired and real joint trajectories and joint error graphs, generated from real data of the implementation.</t>
  </si>
  <si>
    <t>1548-0992</t>
  </si>
  <si>
    <t>10.1109/TLA.2016.7530401</t>
  </si>
  <si>
    <t>WOS:000381583000010</t>
  </si>
  <si>
    <t>NUMERICAL STUDY OF POROUS MEDIA TURBULENT COMBUSTION IN A RECUPERATIVE REACTOR</t>
  </si>
  <si>
    <t>This paper presents two-dimensional simulations of turbulent porous media combustion of a methane-air mixture in a recuperative reactor. Transport equations were written in their time-and volume-averaged form, and a statistical turbulence model k-epsilon was applied to simulate turbulence generation due to the porous matrix. ANSYS FLUENT was used to simulate the prototype reactor, and user-defined-function (UDF) interfaces for extra terms involving turbulence were incorporated into the solver interface. The study includes the production of thermal NOx modeled by the extended Zeldovich mechanism with postprocessing computation. Different values of operational variables for superficial velocity and equivalence ratio that enable stable combustion within the sistem were sought. For gas mixtures, increasing the fuel gas inlet velocity is accompanied by higher peak temperatures and combustion front displacement toward the reactor outlet. The NOx formation rate is favored with increasing temperature level inside the reactor but is only significant when the temperature exceeds 1800 K. Heat recovery through the system heat bridge raises the temperature of the incoming gas mixture, allowing one to extend the lower limit of flammability for a given set of operational variables, superficial velocity, and equivalence ratio.</t>
  </si>
  <si>
    <t>Henríquez-Vargas, Luis/Q-3617-2019; Donosoga, Pablo/HZI-2632-2023</t>
  </si>
  <si>
    <t>WOS:000387800600002</t>
  </si>
  <si>
    <t>The Globalization of Merchant Banking before 1850 The case of Huth &amp; Co. Introduction</t>
  </si>
  <si>
    <t>WOS:000458913900001</t>
  </si>
  <si>
    <t>Moskowich, I</t>
  </si>
  <si>
    <t>Almeida, FA; Garcia, LC; Ruiz, VG</t>
  </si>
  <si>
    <t>Moskowich, Isabel</t>
  </si>
  <si>
    <t>Sex talks. Evidence from the Coruna Corpus of English Scientific Writing</t>
  </si>
  <si>
    <t>CORPUS-BASED STUDIES ON LANGUAGE VARIETIES</t>
  </si>
  <si>
    <t>Linguistic Insights</t>
  </si>
  <si>
    <t>STUDIES IN LANGUAGE AND COMMUNICATION</t>
  </si>
  <si>
    <t>Moskowich, Isabel/M-5629-2013</t>
  </si>
  <si>
    <t>Moskowich, Isabel/0000-0003-4380-2487</t>
  </si>
  <si>
    <t>1424-8689</t>
  </si>
  <si>
    <t>2235-6371</t>
  </si>
  <si>
    <t>978-3-0343-2044-3; 978-3-0351-0901-6</t>
  </si>
  <si>
    <t>WOS:000440545100011</t>
  </si>
  <si>
    <t>Noguera-Santaella, J</t>
  </si>
  <si>
    <t>Noguera-Santaella, Jose</t>
  </si>
  <si>
    <t>Geopolitics and the oil price</t>
  </si>
  <si>
    <t>ECONOMIC MODELLING</t>
  </si>
  <si>
    <t>This paper digs into the relationship between armed and civil conflicts and oil prices. If conflicts threaten oil supply reliability, even if disruption does not actually occur, this should be reflected in prices, if expectations react accordingly. For this purpose, using monthly data since 1859, we conduct an intervention time series analysis to study the effect of 32 different geopolitical events on real oil prices. The geopolitical events considered go from the American Civil War to the recent Arab Spring episodes. We find that geopolitical events positively affected oil prices before the year 2000, but have had little impact, if any at all, afterwards. (C) 2015 Elsevier B.V. All rights reserved.</t>
  </si>
  <si>
    <t>0264-9993</t>
  </si>
  <si>
    <t>1873-6122</t>
  </si>
  <si>
    <t>10.1016/j.econmod.2015.08.018</t>
  </si>
  <si>
    <t>WOS:000367414900001</t>
  </si>
  <si>
    <t>Mur, T; Henríquez, HR</t>
  </si>
  <si>
    <t>Mur, Therese; Henriquez, Hernan R.</t>
  </si>
  <si>
    <t>CONTROLLABILITY OF ABSTRACT SYSTEMS OF FRACTIONAL ORDER</t>
  </si>
  <si>
    <t>FRACTIONAL CALCULUS AND APPLIED ANALYSIS</t>
  </si>
  <si>
    <t>In this paper we are concerned with the controllability of control systems governed by a fractional differential equation in Banach spaces. Using the properties of the Mittag-Leffler function we generalize to these systems a result of Korobov and Rabakh, which was established for first order systems. We apply our results to study the controllability of a system modeled by a fractional integral equation in a Hilbert space.</t>
  </si>
  <si>
    <t>1311-0454</t>
  </si>
  <si>
    <t>1314-2224</t>
  </si>
  <si>
    <t>10.1515/fca-2015-0080</t>
  </si>
  <si>
    <t>WOS:000366045100005</t>
  </si>
  <si>
    <t>Henríquez-Vargas, L; Valeria, M; Bubnovich, V</t>
  </si>
  <si>
    <t>Henriquez-Vargas, L.; Valeria, M.; Bubnovich, V.</t>
  </si>
  <si>
    <t>Numerical study of lean combustibility limits extension in a reciprocal flow porous media burner for ethanol/air mixtures</t>
  </si>
  <si>
    <t>An analytical study by computational simulation in ANSYS FLUENT of a lean mixture of ethanol/air combustion in a porous media burner was performed. A two dimensional mathematical model for filtration combustion was used to estimate the lean combustibility limits (LCL) in a standard one directional porous,burner (SISO) and a reciprocal flow burner (RFB) in order to determine LCL variation. The combustion phenomenon was simulated with the continuum assumption for two different porous media: 80% high porosity 20 [ppi] alumina foam and 40% low porosity 5.6 [mm] diameter alumina spheres for the two reactor types. In the SISO burner with filtration velocity u(g) = [0.1:0.7] [m/s] minimum equivalence ratio values reach Phi(min) = [0.05; 0.054] and Phi(min) = [0.044; 0.048] for alumina foam and spheres, respectively. The results for the RFB operating in the same ug interval indicate that LCL are substantially extended, allowing to incinerate mixtures as low as Phi(min) = [0.021; 0.027] and Phi(min) = [0.016; 0.022] for alumina foam and spheres as porous media, respectively. The SISO reactor configuration allows incinerating lean ethanol/air mixtures, but with the limitation that the combustion wave eventually reaches the reactor outlet and is extinguished. The RFB reactor scheme provides a permanent and stable combustion, considering that for times longer than 6000 [s] alumina foam as a porous medium borders instability as the heated zone approaches the reactor's end. Finally, comparing LCL in both reactors, in RFB they are reduced by 50 66% relative to SISO. (C) 2015 Elsevier Ltd. All rights reserved.</t>
  </si>
  <si>
    <t>10.1016/j.ijheatmasstransfer.2015.05.115</t>
  </si>
  <si>
    <t>WOS:000359029600110</t>
  </si>
  <si>
    <t>Quoirin, HR</t>
  </si>
  <si>
    <t>Ramos Quoirin, Humberto</t>
  </si>
  <si>
    <t>Small perturbations of an indefinite elliptic equation</t>
  </si>
  <si>
    <t>We investigate a perturbed semilinear indefinite elliptic equation and show that the results known for the unperturbed equation still hold if the perturbation is sufficiently small. To this end, we use a continuity argument that allows us to establish the existence of two positive solutions even in the case where the strong maximum principle does not apply. (C) 2015 WILEY-VCH Verlag GmbH &amp; Co. KGaA, Weinheim</t>
  </si>
  <si>
    <t>Ramos Quoirin, Humberto/0000-0001-6252-2515</t>
  </si>
  <si>
    <t>14-15</t>
  </si>
  <si>
    <t>10.1002/mana.201400353</t>
  </si>
  <si>
    <t>WOS:000362552300012</t>
  </si>
  <si>
    <t>Parker, Cristian G.</t>
  </si>
  <si>
    <t>Climate change, energy transition and religions</t>
  </si>
  <si>
    <t>10.1177/0037768615587805</t>
  </si>
  <si>
    <t>WOS:000359926700001</t>
  </si>
  <si>
    <t>Arce, R; Romero, J; Aguirre, MJ</t>
  </si>
  <si>
    <t>Arce, Roxana; Romero, Julio; Aguirre, Maria J.</t>
  </si>
  <si>
    <t>A glassy carbon electrode modified by a copolymer of Co-tetrakis (para-aminophenyl)porphyrin and ortho-phenylenediamine. Characterization and electrocatalytic sulfite oxidation behavior of a basic extract from red wine</t>
  </si>
  <si>
    <t>JOURNAL OF APPLIED ELECTROCHEMISTRY</t>
  </si>
  <si>
    <t>21st meeting of the Iberoamerican-Electrochemical-Society</t>
  </si>
  <si>
    <t>APR 06-11, 2014</t>
  </si>
  <si>
    <t>La Serena, CHILE</t>
  </si>
  <si>
    <t>In this work, we present a comparison among three glassy carbon electrodes modified by Co-porphyrin, ortho-phenylenediamine, or both simultaneously. This comparison shows the differences among the electrochemical behavior, morphological characteristics and electrocatalytic behavior toward the sulfite oxidation of these electrodes. The electrode modified by Co-porphyrin, ortho-phenylenediamine and copolymer has been investigated in detail for the comparision of electrocatalytic activity towards the sulfite oxidation. In the case of the glassy carbon-modified electrodes, the presence of the copolymer enhances the electrocatalytic performance of the modified electrodes in spite of the non-catalytic response (compared to the bare glassy carbon) of both homopolymer-modified electrodes toward the oxidation of sulfite. Additionally, the oxidation of sulfite extracted from red wine is shown. The copolymer-modified electrode is capable of oxidizing the extracted free sulfite in a 0.02 M NaOH solution. Through the addition of standards method, a concentration of free sulfite in a Chilean red wine sample was determined to be 44 ppm.</t>
  </si>
  <si>
    <t>Romero, Julio/I-6705-2013; Arce, Roxana/V-8140-2019; Aguirre, Maria/A-3935-2013</t>
  </si>
  <si>
    <t>Romero, Julio/0000-0002-1229-1592; ARCE, ROXANA/0000-0002-1387-9232; Aguirre, Maria/0000-0003-1134-4469; , Roxana/0000-0002-7529-8011</t>
  </si>
  <si>
    <t>0021-891X</t>
  </si>
  <si>
    <t>1572-8838</t>
  </si>
  <si>
    <t>10.1007/s10800-014-0750-7</t>
  </si>
  <si>
    <t>WOS:000344778900014</t>
  </si>
  <si>
    <t>Lagubeau, G; Rescaglio, A; Melo, F</t>
  </si>
  <si>
    <t>Lagubeau, Guillaume; Rescaglio, Antonella; Melo, Francisco</t>
  </si>
  <si>
    <t>Armoring a droplet: Soft jamming of a dense granular interface</t>
  </si>
  <si>
    <t>Droplets and bubbles protected by armors of particles have found vast applications in encapsulation, stabilization of emulsions and foams, or flotation processes. The liquid phase stores capillary energy, while concurrently the solid contacts of the granular network induce friction and energy dissipation, leading to hybrid interfaces of combined properties. By means of nonintrusive tensiometric methods and structural measurements, we distinguish three surface phases of increasing rigidity during the evaporation of armored droplets. The emergence of surface rigidity is reminiscent of jamming of granular matter, but it occurs differently since it is marked by a step by step hardening under surface compression. These results show that the concept of the effective surface tension remains useful only below the first jamming transition. Beyond this point, the surface stresses become anisotropic.</t>
  </si>
  <si>
    <t>Melo, Francisco Esteban/0000-0001-6818-5476; Lagubeau, Guillaume/0000-0003-2710-3299</t>
  </si>
  <si>
    <t>SEP 3</t>
  </si>
  <si>
    <t>10.1103/PhysRevE.90.030201</t>
  </si>
  <si>
    <t>WOS:000341269900001</t>
  </si>
  <si>
    <t>Vera-Villarroel, P; Celis-Atenas, K</t>
  </si>
  <si>
    <t>Vera-Villarroel, Pablo; Celis-Atenas, Karem</t>
  </si>
  <si>
    <t>Positive and Negative Affect as Mediator of the Relatioship Optimism-Health: Evaluation of a Structural Model</t>
  </si>
  <si>
    <t>Psychological variables and especially the positive variables have shown multiple benefits for humans. Important evidence indicates that subjects with better well-being higher levels of happiness and positive emotions show better health indicators. Optimism is a positive variable widely studied and strong evidence of its benefits on the health of individuals. However, an explanatory model about how these benefits occur has been less studied. It has been proposed to evaluate a model that establishes optimism can be a causal variable health mediated the positive and negative affects. An analysis of structural equation modeling was conducted to test an explanatory model. Participants 995 people aged between 18 and 60 years old. Dispositional optimism, positive and negative affect as well as mental and physical health was assessed. Structural model analysis was conducted to test an explanatory model. The results show that the model is suitable adjustment to consider allowing optimism as an explanatory variable of both physical and mental health mediated by positive and negative affect.</t>
  </si>
  <si>
    <t>10.11144/Javeriana.UPSY13-3.apnm</t>
  </si>
  <si>
    <t>WOS:000349631200017</t>
  </si>
  <si>
    <t>Espinosa, J; Friedman, J; Yevenes, C</t>
  </si>
  <si>
    <t>Espinosa, Javier; Friedman, Jorge; Yevenes, Carlos</t>
  </si>
  <si>
    <t>ADVERSE SHOCKS AND ECONOMIC INSECURITY: EVIDENCE FROM CHILE AND MEXICO</t>
  </si>
  <si>
    <t>REVIEW OF INCOME AND WEALTH</t>
  </si>
  <si>
    <t>This paper uses multinomial logit to analyze economic insecurity for Chile and Mexico from household surveys. It analyzes the effect changes in well-being, age, health, wealth, employment status, gender, and education have on economic insecurity. The results show that the most significant variable is current exposure to adverse events, the second most significant is age, and the third is health. The current exposure to adverse events produces great anxiety and concern about and the inability to recover from these bad events. Older households assign higher probabilities to negative prospects and are thus subject to higher levels of economic insecurity. This also occurs when the household head is seriously ill. The effect of gender and wealth on negative expectations is very small, while education only affects Mexico, and self-employment affects only Chile. Finally, the similarities between Chile and Mexico provide evidence of identifiable patterns for economic insecurity in Latin American countries.</t>
  </si>
  <si>
    <t>friedman, jorge/ABC-4538-2021</t>
  </si>
  <si>
    <t>Espinosa, Javier/0000-0003-0341-2708; Friedman, Jorge/0000-0002-3262-1296</t>
  </si>
  <si>
    <t>0034-6586</t>
  </si>
  <si>
    <t>1475-4991</t>
  </si>
  <si>
    <t>S141</t>
  </si>
  <si>
    <t>S158</t>
  </si>
  <si>
    <t>10.1111/roiw.12052</t>
  </si>
  <si>
    <t>WOS:000335520000008</t>
  </si>
  <si>
    <t>Arias, EM</t>
  </si>
  <si>
    <t>Munoz Arias, Edinson</t>
  </si>
  <si>
    <t>Differences on subordination indexes in expositive and argumentative texts written in Japanese and Spanish</t>
  </si>
  <si>
    <t>The purpose of this study is to demonstrate the existence of significant differences regarding the way in which speech is organized in Japanese and in Spanish, specifically regarding the frequency and use of subordinate clauses, so as to verify the textual stylistic differences between both languages. In order to do that, the syntactic complexity of each was measured by applying some of Kellog Hunt's Syntactic Indexes (1970). Texts in Japanese and Spanish, written by linguistically competent adults-academics, writers, columnists, etc.-(Veliz, 1999) were compared and displayed within two text types: expositive and argumentative (Hatim &amp; Mason, 1995 [1990]). The results show that, in fact, there are significant differences, since the texts written in Japanese in the said types stated above show a higher frequency of subordinate clauses.</t>
  </si>
  <si>
    <t>10.7764/onomazein.30.5</t>
  </si>
  <si>
    <t>WOS:000359437700009</t>
  </si>
  <si>
    <t>Pugin, B; Cornejo, F; García, JA; Arenas, FA; Vásquez, CC</t>
  </si>
  <si>
    <t>Pugin, B.; Cornejo, F.; Garcia, J. A.; Arenas, F. A.; Vasquez, C. C.</t>
  </si>
  <si>
    <t>Potentiation of the antibacterial effect of tellurium-based compounds against methicillin-resistant Staphylococcus aureus</t>
  </si>
  <si>
    <t>INTERNATIONAL JOURNAL OF MEDICAL MICROBIOLOGY</t>
  </si>
  <si>
    <t>65th Annual Meeting of the German-Society-for-Hygiene-and-Microbiology (DGHM) e V / Annual Meeting of the German-Society-for-Infectious-Diseases (DGI) e V</t>
  </si>
  <si>
    <t>SEP 22-25, 2013</t>
  </si>
  <si>
    <t>Univ Rostock, Rostock, GERMANY</t>
  </si>
  <si>
    <t>German Soc Hyg &amp; Microbiol e V,German Soc Infect Dis e V,SIEMENS</t>
  </si>
  <si>
    <t>Univ Rostock</t>
  </si>
  <si>
    <t>Lucas, Jose/O-9227-2015; Pugin, Benoit/X-2984-2018</t>
  </si>
  <si>
    <t>Pugin, Benoit/0000-0001-7132-9477</t>
  </si>
  <si>
    <t>1438-4221</t>
  </si>
  <si>
    <t>1618-0607</t>
  </si>
  <si>
    <t>WOS:000331497600067</t>
  </si>
  <si>
    <t>Iturra, JM</t>
  </si>
  <si>
    <t>Montealegre Iturra, Jorge</t>
  </si>
  <si>
    <t>Social Construction of Memory: Presence of Holocaust Images in Latin American Testimonies</t>
  </si>
  <si>
    <t>The reconstruction of everyday life for political prisoners, starting with the cases of violations of Human Rights in Chile and Uruguay, supposedly occurs in the memory-with its plurality, diversity and hesitations-as the principle area of understanding that contributes to recreating and reassigning those images evoked. Knowing the reality and the memory that reconstruct them as social constructs, including the realizations of common sense, the text warns against the process of transfers and deformations present in the testimonies illustrating this with the presence of the Holocaust imaginary in the testimonies of political prisoners in the Southern Cone of Latin America.</t>
  </si>
  <si>
    <t>WOS:000337748700009</t>
  </si>
  <si>
    <t>Labbé, R; Bustamante, G</t>
  </si>
  <si>
    <t>Labbe, R.; Bustamante, G.</t>
  </si>
  <si>
    <t>Extreme statistics, Gaussian statistics, and superdiffusion in global magnitude fluctuations in turbulence</t>
  </si>
  <si>
    <t>Extreme value statistics, or extreme statistics for short, refers to the statistics that characterizes rare events of either unusually high or low intensity: climate disasters like floods following extremely intense rains are among the principal examples. Extreme statistics is also found in fluctuations of global magnitudes in systems in thermal equilibrium, as well as in systems far from equilibrium. A remarkable example in this last class is fluctuations of injected power in confined turbulence. Here we report results in a confined von Karman swirling flow, produced by two counter-rotating stirrers, in which quantities derived from the same global magnitude-the rotation rate of the stirrers-can display both, extreme and Gaussian statistics. On the one hand, we find that underlying the extreme statistics displayed by the global shear of the flow, there is a nearly Gaussian process resembling a white noise, corresponding to the action of the normal stresses exerted by the turbulent flow, integrated on the flow-driving surfaces of the stirrers. On the other hand, the magnitude displaying Gaussian statistics is the global rotation rate of the fluid, which happens to be a realization of a 1D diffusion where the variance of the angular speed increments Omega(R)(t + Delta t) - Omega(R)(t) scales as Delta t(nu), while the power spectral density of the angular speed follows a 1/f(alpha) scaling law. These scaling exponents are found to be alpha approximate to 0.37 and nu approximate to 1.36, which implies that this process can be described as alpha approximate to 1D superdiffusion. (C) 2012 American Institute of Physics. [http://dx.doi.org/10.1063/1.4757651]</t>
  </si>
  <si>
    <t>10.1063/1.4757651</t>
  </si>
  <si>
    <t>WOS:000310595100035</t>
  </si>
  <si>
    <t>The Society of Equality: Popular Republicanism and Democracy in Santiago de Chile, 1818-1851</t>
  </si>
  <si>
    <t>AMERICAN HISTORICAL REVIEW</t>
  </si>
  <si>
    <t>0002-8762</t>
  </si>
  <si>
    <t>WOS:000305498400110</t>
  </si>
  <si>
    <t>Pavez, P; Mena, L; Vera-Villarroel, P</t>
  </si>
  <si>
    <t>Pavez, Paula; Mena, Luis; Vera-Villarroel, Pablo</t>
  </si>
  <si>
    <t>The role of happyness and optimism as a protector factor of anxiety</t>
  </si>
  <si>
    <t>Protection and risk factors associated with anxiety were evaluated in 711 people, who reported different values in scales of anxiety, depression, happiness and optimism, including their socio-demographic background. Evidence that depression is a risk factor for anxiety state as a feature was found, which is in accordance with previous works, since this variable has been observed in comorbility to anxiety in people belonging to different age groups. It is also observed that happiness constitute a protective factor for both anxieties, while optimism is evinced as a protector of the anxiety feature. These results emphasize the need of further research, using positive and negative features as a whole, given the potential applications specialized in psychotherapeutic interventions for psychological disorders since this type of studies continue to be scarce.</t>
  </si>
  <si>
    <t>WOS:000307275000002</t>
  </si>
  <si>
    <t>Rezende, MC; Dominguez, M; Aracena, A</t>
  </si>
  <si>
    <t>Caroli Rezende, Marcos; Dominguez, Moises; Aracena, Andres</t>
  </si>
  <si>
    <t>The positive halochromism of phenolate dyes in hydroxylic solutions of tetraalkylammonium cations</t>
  </si>
  <si>
    <t>By contrast with the negative halochromic behaviour shown by phenolate betaines in the presence of alkaline and alkaline-earth cations, the addition of tetraalkylammonium salts to hydroxylic solutions of these dyes generate bathochromic shifts of their charge-transfer band. This positive halochromic behaviour by organic cations was examined systematically and its origin rationalized by nonspecific changes of the medium permittivity, and by specific dye-cation interactions in solution. (C) 2011 Elsevier B.V. All rights reserved.</t>
  </si>
  <si>
    <t>Caroli, Marcos/H-3570-2019; Aracena, Andres/MCK-0713-2025; Domínguez, Moisés/M-3457-2014</t>
  </si>
  <si>
    <t>Aracena, Andres/0000-0002-8367-3520; Rezende, Marcos/0000-0003-2040-9009; Dominguez, Moises/0000-0002-8444-3065</t>
  </si>
  <si>
    <t>10.1016/j.saa.2011.11.010</t>
  </si>
  <si>
    <t>WOS:000300812800008</t>
  </si>
  <si>
    <t>Brower Beltramin, Jorge</t>
  </si>
  <si>
    <t>Hibridismo Cultural</t>
  </si>
  <si>
    <t>ARBOR-CIENCIA PENSAMIENTO Y CULTURA</t>
  </si>
  <si>
    <t>0210-1963</t>
  </si>
  <si>
    <t>WOS:000310839400018</t>
  </si>
  <si>
    <t>AcostaHumanez, PB; Finkel, F; Kamran, N; Olver, PJ</t>
  </si>
  <si>
    <t>Jet Bundles, symmetries, Darboux transforms</t>
  </si>
  <si>
    <t>ALGEBRAIC ASPECTS OF DARBOUX TRANSFORMATIONS, QUANTUM INTEGRABLE SYSTEMS AND SUPERSYMMETRIC QUANTUM MECHANICS</t>
  </si>
  <si>
    <t>Contemporary Mathematics</t>
  </si>
  <si>
    <t>Jairo Charris Seminar on Algebraic Aspects of Darboux Transformations, Quantum Integrable Systems and Supersymmetric Quantum Mechanics</t>
  </si>
  <si>
    <t>AUG, 2010</t>
  </si>
  <si>
    <t>Univ Sergio Arboleda, Santa Marta, COLOMBIA</t>
  </si>
  <si>
    <t>Inst Matemat &amp; Aplicac</t>
  </si>
  <si>
    <t>Univ Sergio Arboleda</t>
  </si>
  <si>
    <t>We review some aspects of the geometric approach to differential equations due to mathematicians such as Sophus Lie, Gaston Darboux and Elie Cartan. We consider some basic aspects of the formulation of differential equations using jet bundles and, as a non-trivial example, we state Gromov's h-principle and apply it to systems of differential equations: following some recent work on holonomic approximations due to Eliashberg and Mishachev, we present a geometric theorem on local existence of approximate solutions to PDEs. We then review the theory of symmetries of differential equations with particular emphasis on internal and nonlocal symmetries. We advance a very natural approach to nonlocal symmetries using exterior differential systems, and we argue, motivated by calculations carried out in the context of the Camassa-Holm equation, that nonlocal symmetries can be considered as generalizations of the internal symmetries introduced by E. Cartan. Finally we explain, using the associated Camassa-Holm equation, how to derive Darboux transformations using nonlocal symmetries and pseudo-potentials.</t>
  </si>
  <si>
    <t>0271-4132</t>
  </si>
  <si>
    <t>1098-3627</t>
  </si>
  <si>
    <t>978-0-8218-7584-1</t>
  </si>
  <si>
    <t>10.1090/conm/563/11168</t>
  </si>
  <si>
    <t>WOS:000303793200007</t>
  </si>
  <si>
    <t>Bubnovich, V; Henríquez, L; Díaz, C; Maiza, M</t>
  </si>
  <si>
    <t>Bubnovich, Valeri; Henriquez, Luis; Diaz, Catalina; Maiza, Manuel</t>
  </si>
  <si>
    <t>Diameter of alumina balls effect on stabilization operation region for a reciprocal flow burner</t>
  </si>
  <si>
    <t>A reciprocal gas flow porous burner is computationally simulated for obtaining its stable operation region as function of equivalence ratio, filtration velocity and particle diameter, for two energy losses configurations schemes. Equivalence ratio and filtration velocity were considered over the range [0.1, 1.0] and [0.25, 1.0] (m/s). Lateral heat losses were studied at two scenarios: reactor coupled with and without heat exchangers. Results demonstrated increased stabilization in temperature profile, thus increased stabilization region for the reactor coupled with heat exchangers. Increase of particle diameter results in increased stabilization region for both energy losses schemes. (C) 2011 Elsevier Ltd. All rights reserved.</t>
  </si>
  <si>
    <t>9-10</t>
  </si>
  <si>
    <t>10.1016/j.ijheatmasstransfer.2010.12.026</t>
  </si>
  <si>
    <t>WOS:000289011700034</t>
  </si>
  <si>
    <t>Olivares, GC; Mannheim, RL; Garin, JL</t>
  </si>
  <si>
    <t>Olivares, Gladys C.; Mannheim, Rodolfo L.; Garin, Jorge L.</t>
  </si>
  <si>
    <t>USING OF SCANNING ELECTRON MICROSCOPY WITH STEREOSCOPY FOR COMPARATIVE STUDY OF BRASS BAR PRODUCED BY DIRECT EXTRUSION INDIRECT AND CONTINUOUS CASTING</t>
  </si>
  <si>
    <t>ACTA MICROSCOPICA</t>
  </si>
  <si>
    <t>The energy matrix for Latin America is estimated to be based in using of gas. For this there are more than 3500 brass rods ton. to manufacture valves for forming process and the manufacture of parts. The studied brasses are 37700 C with different percentages of Pb. Production of bar by continuous casting will cost 40 to 50% lower in the production process. These are used as feedstock in the manufacture of valves for gas cylinders, valves, water heaters, valves for heating and cooking stoves and the gas supply in the automotive industry and many others. In the present work is to compare with a ductile fracture with a stereoscopic image of the same material but in different production processes. In the fracture type honeycomb you can see a marked difference in both the ductile fracture type, the difference of the panel opening, density, depth and distribution of lead in the cavities. This difference has a strong influence on the toughness of the material or parts, which leads to breakdowns in service.</t>
  </si>
  <si>
    <t>0798-4545</t>
  </si>
  <si>
    <t>2224-8927</t>
  </si>
  <si>
    <t>WOS:000276908300016</t>
  </si>
  <si>
    <t>Zúñiga, GE; Zamora, P; Ortega, M; Obrecht, A</t>
  </si>
  <si>
    <t>Zuniga, Gustavo E.; Zamora, Pablo; Ortega, Marcelo; Obrecht, Alberto</t>
  </si>
  <si>
    <t>Micropropagation of Antarctic Colobanthus quitensis</t>
  </si>
  <si>
    <t>ANTARCTIC SCIENCE</t>
  </si>
  <si>
    <t>Zuñiga, Gustavo/P-8306-2015; Zamora, Pablo/D-1612-2012</t>
  </si>
  <si>
    <t>0954-1020</t>
  </si>
  <si>
    <t>10.1017/S0954102008001570</t>
  </si>
  <si>
    <t>WOS:000264652200007</t>
  </si>
  <si>
    <t>de la Cerda, OG</t>
  </si>
  <si>
    <t>Garcia de la Cerda, Osvaldo</t>
  </si>
  <si>
    <t>Human re-engineering for action: an enactive educational management program</t>
  </si>
  <si>
    <t>Purpose - The purpose of this paper is to show and explain an innovative educational program in management and engineering called Human Re-Engineering for Action that provides the students with different distinctions to make in their observations to allowing to face and manage complex embodied organizational problems and situations. Design/methodology/approach - The methodology used in the program is based on the creation of conditions which allow embodied learning and therefore, creating enactive meta-observers able to open new possibilities of action in different organizational contexts and domains. The program uses labs, maps, workshops, and ludic storytelling sessions structured through an ontological tool called CLEHES (c) which serves as a facilitator of observations of experience to enhance awareness of constructive possibilities. Findings - Observations made by the graduates of the course over years have shown that the major achievement of the program is that it changes the graduates' paradigm in use from an external of reality to an embodied one which they have been using to cope more effectively with seemingly very complex organizational problems. Practical implications - This approach evokes a new conception of responsibility in self-management, giving senior staff new abilities and embodied skills to deal with practical organizational problems in a more effective way. Originality/value - A new strategy for educating managers and engineers is presented and explained in this paper, where through the richness of distinctions in aspects of complexity based on the CLEHES dimensions, a variety of different recursive and recurrent organizational problem situations are brought to closure through the actions of the very same human beings who had created the organizations in the first place.</t>
  </si>
  <si>
    <t>10.1108/03684920910977005</t>
  </si>
  <si>
    <t>WOS:000270378700020</t>
  </si>
  <si>
    <t>Irarrazábal, GF</t>
  </si>
  <si>
    <t>Figueroa Irarrazabal, Gricelda</t>
  </si>
  <si>
    <t>On the aesthetics of Hip Hop graffiti</t>
  </si>
  <si>
    <t>STUDIES IN LATIN AMERICAN POPULAR CULTURE</t>
  </si>
  <si>
    <t>0730-9139</t>
  </si>
  <si>
    <t>WOS:000207989400008</t>
  </si>
  <si>
    <t>Oddershede, A; Arias, A; Cancino, H</t>
  </si>
  <si>
    <t>Oddershede, Astrid; Arias, Amoldo; Cancino, Hugo</t>
  </si>
  <si>
    <t>Rural development decision support using the analytic hierarchy process</t>
  </si>
  <si>
    <t>MATHEMATICAL AND COMPUTER MODELLING</t>
  </si>
  <si>
    <t>8th International Symposium of the Analytic Hiearchy Process</t>
  </si>
  <si>
    <t>Honolulu, HI</t>
  </si>
  <si>
    <t>This paper presents a decision model based upon community preferences to prioritize activities that support the development of a rural area in Chile. Local government in the region has tried to stimulate economic development for many years without success. The goals Surrounding incentive programs that have been offered are complex and conflicting. Often, inconsistencies exist between community preferences, incentive programs, and the stated goals. Determining the best activities to carry out is difficult in a multiattribute decision-making situation like this. The Analytical Hierarchy Process (AHP), developed by Thomas L. Saaty, allows the arranging of factors in a hierarchical structure and prioritizing them to make trade-offs between decision criteria and alternatives to find the best policies or actions to achieve the desired growth in the area. (C) 2007 Elsevier Ltd. All rights reserved.</t>
  </si>
  <si>
    <t>0895-7177</t>
  </si>
  <si>
    <t>1872-9479</t>
  </si>
  <si>
    <t>10.1016/j.mcm.2007.03.006</t>
  </si>
  <si>
    <t>WOS:000249899900023</t>
  </si>
  <si>
    <t>Amat, S; Bermúdez, C; Busquier, S; Carrasco, J; Plaza, S</t>
  </si>
  <si>
    <t>Amat, S.; Bermudez, C.; Busquier, S.; Carrasco, J.; Plaza, S.</t>
  </si>
  <si>
    <t>Super-attracting periodic orbits for a classical third order method</t>
  </si>
  <si>
    <t>JOURNAL OF COMPUTATIONAL AND APPLIED MATHEMATICS</t>
  </si>
  <si>
    <t>We use a classical third order root-finding iterative method for approximating roots of nonlinear equations. We present a procedure for constructing polynomials so that super-attracting periodic orbits of any prescribed period occur when this method is applied. This note can be considered as the second part of our previous study.</t>
  </si>
  <si>
    <t>Carrasco, Joaquin/AAY-7099-2020; Sáez, Sonia/AAA-6148-2019; Plata, Sergio/AAA-6144-2019</t>
  </si>
  <si>
    <t>Carrasco, Joaquin/0000-0002-7499-6408</t>
  </si>
  <si>
    <t>0377-0427</t>
  </si>
  <si>
    <t>1879-1778</t>
  </si>
  <si>
    <t>10.1016/j.cam.2006.08.032</t>
  </si>
  <si>
    <t>WOS:000247706500044</t>
  </si>
  <si>
    <t>Guerra, IA</t>
  </si>
  <si>
    <t>Guerra, I. A.</t>
  </si>
  <si>
    <t>Asymptotic behaviour of a semilinear elliptic system with a large exponent</t>
  </si>
  <si>
    <t>JOURNAL OF DYNAMICS AND DIFFERENTIAL EQUATIONS</t>
  </si>
  <si>
    <t>Consider the problem -Delta u = v(2/N-2), v &gt; 0 in Omega, -Delta v = u(p), u &gt; 0 in Omega, u = v = 0 on partial derivative Omega, where Omega is a bounded convex domain in R-N N &gt; 2, with smooth boundary partial derivative Omega. We study the asymptotic behaviour of the least energy solutions of this system as p -&gt; infinity . We show that the solution remain bounded for p large. In the limit, we find that the solution develops one or two peaks away from the boundary, and when a single peak occurs, we have a characterization of its location.</t>
  </si>
  <si>
    <t>1040-7294</t>
  </si>
  <si>
    <t>1572-9222</t>
  </si>
  <si>
    <t>10.1007/s10884-006-9045-y</t>
  </si>
  <si>
    <t>WOS:000243091000009</t>
  </si>
  <si>
    <t>The soliton content of classical Jackiw-Teitelboim gravity</t>
  </si>
  <si>
    <t>It is pointed out that every generic-in a sense to be made precise in section 2-solution to an arbitrary equation describing pseudo-spherical surfaces (or, equivalently, an arbitrary equation which is the integrability condition of a sl (2, R)-valued linear problem) determines pseudo-Riemannian surfaces of constant scalar curvature, and therefore, classical solutions to the Jackiw-Teitelboim field equations for two-dimensional gravity. In particular, this observation explains why some standard soliton equations appear in this theory.</t>
  </si>
  <si>
    <t>JAN 13</t>
  </si>
  <si>
    <t>L55</t>
  </si>
  <si>
    <t>L60</t>
  </si>
  <si>
    <t>10.1088/0305-4470/39/2/L02</t>
  </si>
  <si>
    <t>WOS:000235711900002</t>
  </si>
  <si>
    <t>Cardemil, E; Villarreal, JM; Bueno, C; Jabalquinto, AM; González-Nilo, FD; Encinas, MV</t>
  </si>
  <si>
    <t>Nucleotide specificity of Saccharomyces cerevisiae phosphoenolpyruvate carboxykinase:: Kinetics, fluorescence spectroscopy, and homology modeling studies.</t>
  </si>
  <si>
    <t>228th National Meeting of the American-Chemical-Society</t>
  </si>
  <si>
    <t>AUG 22-26, 2004</t>
  </si>
  <si>
    <t>Philadelphia, PA</t>
  </si>
  <si>
    <t>González-Nilo, Fernando/M-5671-2016; Encinas, Maria/L-9686-2014</t>
  </si>
  <si>
    <t>AUG 22</t>
  </si>
  <si>
    <t>223-BIOL</t>
  </si>
  <si>
    <t>U207</t>
  </si>
  <si>
    <t>U208</t>
  </si>
  <si>
    <t>WOS:000223712800914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</si>
</sst>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Arial"/>
      <family val="2"/>
    </font>
    <font>
      <u/>
      <sz val="11"/>
      <color rgb="FF0000ff"/>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0" borderId="1" applyBorder="1" fontId="2" applyFont="1" fillId="0" applyAlignment="1">
      <alignment horizontal="left"/>
    </xf>
    <xf xfId="0" numFmtId="0" borderId="1" applyBorder="1" fontId="1" applyFont="1" fillId="0" applyAlignment="1">
      <alignment horizontal="left"/>
    </xf>
    <xf xfId="0" numFmtId="4" applyNumberFormat="1" borderId="1" applyBorder="1" fontId="1" applyFont="1" fillId="0" applyAlignment="1">
      <alignment horizontal="right"/>
    </xf>
    <xf xfId="0" numFmtId="0" borderId="0" fontId="0" fillId="0" applyAlignment="1">
      <alignment horizontal="left"/>
    </xf>
    <xf xfId="0" numFmtId="3" applyNumberFormat="1" borderId="0" fontId="0"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T1001"/>
  <sheetViews>
    <sheetView workbookViewId="0" tabSelected="1"/>
  </sheetViews>
  <sheetFormatPr defaultRowHeight="15" x14ac:dyDescent="0.25"/>
  <cols>
    <col min="1" max="1" style="7" width="8.005" customWidth="1" bestFit="1"/>
    <col min="2" max="2" style="7" width="8.005" customWidth="1" bestFit="1"/>
    <col min="3" max="3" style="7" width="8.005" customWidth="1" bestFit="1"/>
    <col min="4" max="4" style="7" width="8.005" customWidth="1" bestFit="1"/>
    <col min="5" max="5" style="7" width="8.005" customWidth="1" bestFit="1"/>
    <col min="6" max="6" style="7" width="8.005" customWidth="1" bestFit="1"/>
    <col min="7" max="7" style="7" width="8.005" customWidth="1" bestFit="1"/>
    <col min="8" max="8" style="7" width="8.005" customWidth="1" bestFit="1"/>
    <col min="9" max="9" style="7" width="8.005" customWidth="1" bestFit="1"/>
    <col min="10" max="10" style="7" width="8.005" customWidth="1" bestFit="1"/>
    <col min="11" max="11" style="7" width="8.005" customWidth="1" bestFit="1"/>
    <col min="12" max="12" style="7" width="8.005" customWidth="1" bestFit="1"/>
    <col min="13" max="13" style="7" width="8.005" customWidth="1" bestFit="1"/>
    <col min="14" max="14" style="7" width="8.005" customWidth="1" bestFit="1"/>
    <col min="15" max="15" style="7" width="8.005" customWidth="1" bestFit="1"/>
    <col min="16" max="16" style="8" width="8.005" customWidth="1" bestFit="1"/>
    <col min="17" max="17" style="7" width="8.005" customWidth="1" bestFit="1"/>
    <col min="18" max="18" style="7" width="8.005" customWidth="1" bestFit="1"/>
    <col min="19" max="19" style="7" width="8.005" customWidth="1" bestFit="1"/>
    <col min="20" max="20" style="7" width="8.005" customWidth="1" bestFit="1"/>
    <col min="21" max="21" style="7" width="8.005" customWidth="1" bestFit="1"/>
    <col min="22" max="22" style="7" width="8.005" customWidth="1" bestFit="1"/>
    <col min="23" max="23" style="7" width="8.005" customWidth="1" bestFit="1"/>
    <col min="24" max="24" style="7" width="8.005" customWidth="1" bestFit="1"/>
    <col min="25" max="25" style="7" width="8.005" customWidth="1" bestFit="1"/>
    <col min="26" max="26" style="7" width="8.005" customWidth="1" bestFit="1"/>
    <col min="27" max="27" style="7" width="8.005" customWidth="1" bestFit="1"/>
    <col min="28" max="28" style="7" width="8.005" customWidth="1" bestFit="1"/>
    <col min="29" max="29" style="7" width="8.005" customWidth="1" bestFit="1"/>
    <col min="30" max="30" style="7" width="8.005" customWidth="1" bestFit="1"/>
    <col min="31" max="31" style="7" width="8.005" customWidth="1" bestFit="1"/>
    <col min="32" max="32" style="7" width="8.005" customWidth="1" bestFit="1"/>
    <col min="33" max="33" style="7" width="8.005" customWidth="1" bestFit="1"/>
    <col min="34" max="34" style="7" width="8.005" customWidth="1" bestFit="1"/>
    <col min="35" max="35" style="7" width="8.005" customWidth="1" bestFit="1"/>
    <col min="36" max="36" style="7" width="8.005" customWidth="1" bestFit="1"/>
    <col min="37" max="37" style="7" width="8.005" customWidth="1" bestFit="1"/>
    <col min="38" max="38" style="7" width="8.005" customWidth="1" bestFit="1"/>
    <col min="39" max="39" style="7" width="8.005" customWidth="1" bestFit="1"/>
    <col min="40" max="40" style="7" width="8.005" customWidth="1" bestFit="1"/>
    <col min="41" max="41" style="7" width="8.005" customWidth="1" bestFit="1"/>
    <col min="42" max="42" style="7" width="8.005" customWidth="1" bestFit="1"/>
    <col min="43" max="43" style="7" width="8.005" customWidth="1" bestFit="1"/>
    <col min="44" max="44" style="7" width="8.005" customWidth="1" bestFit="1"/>
    <col min="45" max="45" style="7" width="8.005" customWidth="1" bestFit="1"/>
    <col min="46" max="46" style="7" width="8.005" customWidth="1" bestFit="1"/>
    <col min="47" max="47" style="9" width="8.005" customWidth="1" bestFit="1"/>
    <col min="48" max="48" style="9" width="8.005" customWidth="1" bestFit="1"/>
    <col min="49" max="49" style="8" width="8.005" customWidth="1" bestFit="1"/>
    <col min="50" max="50" style="9" width="8.005" customWidth="1" bestFit="1"/>
    <col min="51" max="51" style="8" width="8.005" customWidth="1" bestFit="1"/>
    <col min="52" max="52" style="7" width="8.005" customWidth="1" bestFit="1"/>
    <col min="53" max="53" style="8" width="8.005" customWidth="1" bestFit="1"/>
    <col min="54" max="54" style="8" width="8.005" customWidth="1" bestFit="1"/>
    <col min="55" max="55" style="8" width="8.005" customWidth="1" bestFit="1"/>
    <col min="56" max="56" style="8" width="8.005" customWidth="1" bestFit="1"/>
    <col min="57" max="57" style="7" width="8.005" customWidth="1" bestFit="1"/>
    <col min="58" max="58" style="7" width="8.005" customWidth="1" bestFit="1"/>
    <col min="59" max="59" style="7" width="8.005" customWidth="1" bestFit="1"/>
    <col min="60" max="60" style="7" width="8.005" customWidth="1" bestFit="1"/>
    <col min="61" max="61" style="7" width="8.005" customWidth="1" bestFit="1"/>
    <col min="62" max="62" style="7" width="8.005" customWidth="1" bestFit="1"/>
    <col min="63" max="63" style="7" width="8.005" customWidth="1" bestFit="1"/>
    <col min="64" max="64" style="7" width="8.005" customWidth="1" bestFit="1"/>
    <col min="65" max="65" style="7" width="8.005" customWidth="1" bestFit="1"/>
    <col min="66" max="66" style="8" width="8.005" customWidth="1" bestFit="1"/>
    <col min="67" max="67" style="7" width="8.005" customWidth="1" bestFit="1"/>
    <col min="68" max="68" style="7" width="8.005" customWidth="1" bestFit="1"/>
    <col min="69" max="69" style="7" width="8.005" customWidth="1" bestFit="1"/>
    <col min="70" max="70" style="7" width="8.005" customWidth="1" bestFit="1"/>
    <col min="71" max="71" style="7" width="8.005" customWidth="1" bestFit="1"/>
    <col min="72" max="72" style="7" width="8.005"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2" t="s">
        <v>47</v>
      </c>
      <c r="AW1" s="2" t="s">
        <v>48</v>
      </c>
      <c r="AX1" s="2" t="s">
        <v>49</v>
      </c>
      <c r="AY1" s="2" t="s">
        <v>50</v>
      </c>
      <c r="AZ1" s="1" t="s">
        <v>51</v>
      </c>
      <c r="BA1" s="2" t="s">
        <v>52</v>
      </c>
      <c r="BB1" s="2" t="s">
        <v>53</v>
      </c>
      <c r="BC1" s="2" t="s">
        <v>54</v>
      </c>
      <c r="BD1" s="2" t="s">
        <v>55</v>
      </c>
      <c r="BE1" s="1" t="s">
        <v>56</v>
      </c>
      <c r="BF1" s="1" t="s">
        <v>57</v>
      </c>
      <c r="BG1" s="1" t="s">
        <v>58</v>
      </c>
      <c r="BH1" s="1" t="s">
        <v>59</v>
      </c>
      <c r="BI1" s="1" t="s">
        <v>60</v>
      </c>
      <c r="BJ1" s="1" t="s">
        <v>61</v>
      </c>
      <c r="BK1" s="1" t="s">
        <v>62</v>
      </c>
      <c r="BL1" s="1" t="s">
        <v>63</v>
      </c>
      <c r="BM1" s="1" t="s">
        <v>64</v>
      </c>
      <c r="BN1" s="2" t="s">
        <v>65</v>
      </c>
      <c r="BO1" s="1" t="s">
        <v>66</v>
      </c>
      <c r="BP1" s="1" t="s">
        <v>67</v>
      </c>
      <c r="BQ1" s="1" t="s">
        <v>68</v>
      </c>
      <c r="BR1" s="1" t="s">
        <v>69</v>
      </c>
      <c r="BS1" s="1" t="s">
        <v>70</v>
      </c>
      <c r="BT1" s="1" t="s">
        <v>71</v>
      </c>
    </row>
    <row x14ac:dyDescent="0.25" r="2" customHeight="1" ht="19.5">
      <c r="A2" s="1" t="s">
        <v>72</v>
      </c>
      <c r="B2" s="1" t="s">
        <v>73</v>
      </c>
      <c r="C2" s="1"/>
      <c r="D2" s="1"/>
      <c r="E2" s="1"/>
      <c r="F2" s="1" t="s">
        <v>74</v>
      </c>
      <c r="G2" s="1"/>
      <c r="H2" s="1"/>
      <c r="I2" s="1" t="s">
        <v>75</v>
      </c>
      <c r="J2" s="1" t="s">
        <v>76</v>
      </c>
      <c r="K2" s="1"/>
      <c r="L2" s="1"/>
      <c r="M2" s="1"/>
      <c r="N2" s="1"/>
      <c r="O2" s="1"/>
      <c r="P2" s="2"/>
      <c r="Q2" s="1"/>
      <c r="R2" s="1"/>
      <c r="S2" s="1"/>
      <c r="T2" s="1"/>
      <c r="U2" s="1"/>
      <c r="V2" s="1" t="s">
        <v>77</v>
      </c>
      <c r="W2" s="1"/>
      <c r="X2" s="1"/>
      <c r="Y2" s="1"/>
      <c r="Z2" s="1"/>
      <c r="AA2" s="1"/>
      <c r="AB2" s="1"/>
      <c r="AC2" s="1"/>
      <c r="AD2" s="1"/>
      <c r="AE2" s="1"/>
      <c r="AF2" s="1"/>
      <c r="AG2" s="1"/>
      <c r="AH2" s="1"/>
      <c r="AI2" s="1"/>
      <c r="AJ2" s="1"/>
      <c r="AK2" s="1"/>
      <c r="AL2" s="1"/>
      <c r="AM2" s="1"/>
      <c r="AN2" s="1"/>
      <c r="AO2" s="1" t="s">
        <v>78</v>
      </c>
      <c r="AP2" s="1" t="s">
        <v>79</v>
      </c>
      <c r="AQ2" s="1"/>
      <c r="AR2" s="1"/>
      <c r="AS2" s="1"/>
      <c r="AT2" s="1" t="s">
        <v>80</v>
      </c>
      <c r="AU2" s="3">
        <v>2025</v>
      </c>
      <c r="AV2" s="2"/>
      <c r="AW2" s="2"/>
      <c r="AX2" s="2"/>
      <c r="AY2" s="2"/>
      <c r="AZ2" s="1"/>
      <c r="BA2" s="2"/>
      <c r="BB2" s="2"/>
      <c r="BC2" s="2"/>
      <c r="BD2" s="2"/>
      <c r="BE2" s="1" t="s">
        <v>81</v>
      </c>
      <c r="BF2" s="4">
        <f>HYPERLINK("http://dx.doi.org/10.1080/15309576.2025.2468980","http://dx.doi.org/10.1080/15309576.2025.2468980")</f>
      </c>
      <c r="BG2" s="1"/>
      <c r="BH2" s="1" t="s">
        <v>82</v>
      </c>
      <c r="BI2" s="1"/>
      <c r="BJ2" s="1"/>
      <c r="BK2" s="1"/>
      <c r="BL2" s="1"/>
      <c r="BM2" s="1"/>
      <c r="BN2" s="2"/>
      <c r="BO2" s="1"/>
      <c r="BP2" s="1"/>
      <c r="BQ2" s="1"/>
      <c r="BR2" s="1"/>
      <c r="BS2" s="1" t="s">
        <v>83</v>
      </c>
      <c r="BT2" s="5">
        <f>HYPERLINK("https%3A%2F%2Fwww.webofscience.com%2Fwos%2Fwoscc%2Ffull-record%2FWOS:001427391600001","View Full Record in Web of Science")</f>
      </c>
    </row>
    <row x14ac:dyDescent="0.25" r="3" customHeight="1" ht="19.5">
      <c r="A3" s="1" t="s">
        <v>72</v>
      </c>
      <c r="B3" s="1" t="s">
        <v>84</v>
      </c>
      <c r="C3" s="1"/>
      <c r="D3" s="1"/>
      <c r="E3" s="1"/>
      <c r="F3" s="1" t="s">
        <v>85</v>
      </c>
      <c r="G3" s="1"/>
      <c r="H3" s="1"/>
      <c r="I3" s="1" t="s">
        <v>86</v>
      </c>
      <c r="J3" s="1" t="s">
        <v>87</v>
      </c>
      <c r="K3" s="1"/>
      <c r="L3" s="1"/>
      <c r="M3" s="1"/>
      <c r="N3" s="1"/>
      <c r="O3" s="1"/>
      <c r="P3" s="2"/>
      <c r="Q3" s="1"/>
      <c r="R3" s="1"/>
      <c r="S3" s="1"/>
      <c r="T3" s="1"/>
      <c r="U3" s="1"/>
      <c r="V3" s="1" t="s">
        <v>88</v>
      </c>
      <c r="W3" s="1"/>
      <c r="X3" s="1"/>
      <c r="Y3" s="1"/>
      <c r="Z3" s="1"/>
      <c r="AA3" s="1"/>
      <c r="AB3" s="1"/>
      <c r="AC3" s="1"/>
      <c r="AD3" s="1"/>
      <c r="AE3" s="1"/>
      <c r="AF3" s="1"/>
      <c r="AG3" s="1"/>
      <c r="AH3" s="1"/>
      <c r="AI3" s="1"/>
      <c r="AJ3" s="1"/>
      <c r="AK3" s="1"/>
      <c r="AL3" s="1"/>
      <c r="AM3" s="1"/>
      <c r="AN3" s="1"/>
      <c r="AO3" s="1" t="s">
        <v>89</v>
      </c>
      <c r="AP3" s="1" t="s">
        <v>90</v>
      </c>
      <c r="AQ3" s="1"/>
      <c r="AR3" s="1"/>
      <c r="AS3" s="1"/>
      <c r="AT3" s="1" t="s">
        <v>91</v>
      </c>
      <c r="AU3" s="3">
        <v>2025</v>
      </c>
      <c r="AV3" s="3">
        <v>13</v>
      </c>
      <c r="AW3" s="3">
        <v>7</v>
      </c>
      <c r="AX3" s="2"/>
      <c r="AY3" s="2"/>
      <c r="AZ3" s="1"/>
      <c r="BA3" s="2"/>
      <c r="BB3" s="3">
        <v>3452</v>
      </c>
      <c r="BC3" s="3">
        <v>3464</v>
      </c>
      <c r="BD3" s="2"/>
      <c r="BE3" s="1" t="s">
        <v>92</v>
      </c>
      <c r="BF3" s="4">
        <f>HYPERLINK("http://dx.doi.org/10.1039/d4tc04287e","http://dx.doi.org/10.1039/d4tc04287e")</f>
      </c>
      <c r="BG3" s="1"/>
      <c r="BH3" s="1" t="s">
        <v>93</v>
      </c>
      <c r="BI3" s="1"/>
      <c r="BJ3" s="1"/>
      <c r="BK3" s="1"/>
      <c r="BL3" s="1"/>
      <c r="BM3" s="1"/>
      <c r="BN3" s="2"/>
      <c r="BO3" s="1"/>
      <c r="BP3" s="1"/>
      <c r="BQ3" s="1"/>
      <c r="BR3" s="1"/>
      <c r="BS3" s="1" t="s">
        <v>94</v>
      </c>
      <c r="BT3" s="5">
        <f>HYPERLINK("https%3A%2F%2Fwww.webofscience.com%2Fwos%2Fwoscc%2Ffull-record%2FWOS:001388549100001","View Full Record in Web of Science")</f>
      </c>
    </row>
    <row x14ac:dyDescent="0.25" r="4" customHeight="1" ht="19.5">
      <c r="A4" s="1" t="s">
        <v>72</v>
      </c>
      <c r="B4" s="1" t="s">
        <v>95</v>
      </c>
      <c r="C4" s="1"/>
      <c r="D4" s="1"/>
      <c r="E4" s="1"/>
      <c r="F4" s="1" t="s">
        <v>96</v>
      </c>
      <c r="G4" s="1"/>
      <c r="H4" s="1"/>
      <c r="I4" s="1" t="s">
        <v>97</v>
      </c>
      <c r="J4" s="1" t="s">
        <v>98</v>
      </c>
      <c r="K4" s="1"/>
      <c r="L4" s="1"/>
      <c r="M4" s="1"/>
      <c r="N4" s="1"/>
      <c r="O4" s="1"/>
      <c r="P4" s="2"/>
      <c r="Q4" s="1"/>
      <c r="R4" s="1"/>
      <c r="S4" s="1"/>
      <c r="T4" s="1"/>
      <c r="U4" s="1"/>
      <c r="V4" s="1" t="s">
        <v>99</v>
      </c>
      <c r="W4" s="1"/>
      <c r="X4" s="1"/>
      <c r="Y4" s="1"/>
      <c r="Z4" s="1"/>
      <c r="AA4" s="1"/>
      <c r="AB4" s="1" t="s">
        <v>100</v>
      </c>
      <c r="AC4" s="1"/>
      <c r="AD4" s="1"/>
      <c r="AE4" s="1"/>
      <c r="AF4" s="1"/>
      <c r="AG4" s="1"/>
      <c r="AH4" s="1"/>
      <c r="AI4" s="1"/>
      <c r="AJ4" s="1"/>
      <c r="AK4" s="1"/>
      <c r="AL4" s="1"/>
      <c r="AM4" s="1"/>
      <c r="AN4" s="1"/>
      <c r="AO4" s="1" t="s">
        <v>101</v>
      </c>
      <c r="AP4" s="1" t="s">
        <v>102</v>
      </c>
      <c r="AQ4" s="1"/>
      <c r="AR4" s="1"/>
      <c r="AS4" s="1"/>
      <c r="AT4" s="1" t="s">
        <v>103</v>
      </c>
      <c r="AU4" s="3">
        <v>2025</v>
      </c>
      <c r="AV4" s="3">
        <v>250</v>
      </c>
      <c r="AW4" s="2"/>
      <c r="AX4" s="2"/>
      <c r="AY4" s="2"/>
      <c r="AZ4" s="1"/>
      <c r="BA4" s="2"/>
      <c r="BB4" s="2"/>
      <c r="BC4" s="2"/>
      <c r="BD4" s="3">
        <v>113627</v>
      </c>
      <c r="BE4" s="1" t="s">
        <v>104</v>
      </c>
      <c r="BF4" s="4">
        <f>HYPERLINK("http://dx.doi.org/10.1016/j.na.2024.113627","http://dx.doi.org/10.1016/j.na.2024.113627")</f>
      </c>
      <c r="BG4" s="1"/>
      <c r="BH4" s="1" t="s">
        <v>105</v>
      </c>
      <c r="BI4" s="1"/>
      <c r="BJ4" s="1"/>
      <c r="BK4" s="1"/>
      <c r="BL4" s="1"/>
      <c r="BM4" s="1"/>
      <c r="BN4" s="2"/>
      <c r="BO4" s="1"/>
      <c r="BP4" s="1"/>
      <c r="BQ4" s="1"/>
      <c r="BR4" s="1"/>
      <c r="BS4" s="1" t="s">
        <v>106</v>
      </c>
      <c r="BT4" s="5">
        <f>HYPERLINK("https%3A%2F%2Fwww.webofscience.com%2Fwos%2Fwoscc%2Ffull-record%2FWOS:001304473400001","View Full Record in Web of Science")</f>
      </c>
    </row>
    <row x14ac:dyDescent="0.25" r="5" customHeight="1" ht="19.5">
      <c r="A5" s="1" t="s">
        <v>72</v>
      </c>
      <c r="B5" s="1" t="s">
        <v>107</v>
      </c>
      <c r="C5" s="1"/>
      <c r="D5" s="1"/>
      <c r="E5" s="1"/>
      <c r="F5" s="1" t="s">
        <v>108</v>
      </c>
      <c r="G5" s="1"/>
      <c r="H5" s="1"/>
      <c r="I5" s="1" t="s">
        <v>109</v>
      </c>
      <c r="J5" s="1" t="s">
        <v>110</v>
      </c>
      <c r="K5" s="1"/>
      <c r="L5" s="1"/>
      <c r="M5" s="1"/>
      <c r="N5" s="1"/>
      <c r="O5" s="1"/>
      <c r="P5" s="2"/>
      <c r="Q5" s="1"/>
      <c r="R5" s="1"/>
      <c r="S5" s="1"/>
      <c r="T5" s="1"/>
      <c r="U5" s="1"/>
      <c r="V5" s="1" t="s">
        <v>111</v>
      </c>
      <c r="W5" s="1"/>
      <c r="X5" s="1"/>
      <c r="Y5" s="1"/>
      <c r="Z5" s="1"/>
      <c r="AA5" s="1"/>
      <c r="AB5" s="1" t="s">
        <v>112</v>
      </c>
      <c r="AC5" s="1"/>
      <c r="AD5" s="1"/>
      <c r="AE5" s="1"/>
      <c r="AF5" s="1"/>
      <c r="AG5" s="1"/>
      <c r="AH5" s="1"/>
      <c r="AI5" s="1"/>
      <c r="AJ5" s="1"/>
      <c r="AK5" s="1"/>
      <c r="AL5" s="1"/>
      <c r="AM5" s="1"/>
      <c r="AN5" s="1"/>
      <c r="AO5" s="1" t="s">
        <v>113</v>
      </c>
      <c r="AP5" s="1"/>
      <c r="AQ5" s="1"/>
      <c r="AR5" s="1"/>
      <c r="AS5" s="1"/>
      <c r="AT5" s="1" t="s">
        <v>114</v>
      </c>
      <c r="AU5" s="3">
        <v>2024</v>
      </c>
      <c r="AV5" s="3">
        <v>12</v>
      </c>
      <c r="AW5" s="2"/>
      <c r="AX5" s="2"/>
      <c r="AY5" s="2"/>
      <c r="AZ5" s="1"/>
      <c r="BA5" s="2"/>
      <c r="BB5" s="2"/>
      <c r="BC5" s="2"/>
      <c r="BD5" s="3">
        <v>1440140</v>
      </c>
      <c r="BE5" s="1" t="s">
        <v>115</v>
      </c>
      <c r="BF5" s="4">
        <f>HYPERLINK("http://dx.doi.org/10.3389/fcell.2024.1440140","http://dx.doi.org/10.3389/fcell.2024.1440140")</f>
      </c>
      <c r="BG5" s="1"/>
      <c r="BH5" s="1"/>
      <c r="BI5" s="1"/>
      <c r="BJ5" s="1"/>
      <c r="BK5" s="1"/>
      <c r="BL5" s="1"/>
      <c r="BM5" s="1"/>
      <c r="BN5" s="3">
        <v>39108838</v>
      </c>
      <c r="BO5" s="1"/>
      <c r="BP5" s="1"/>
      <c r="BQ5" s="1"/>
      <c r="BR5" s="1"/>
      <c r="BS5" s="1" t="s">
        <v>116</v>
      </c>
      <c r="BT5" s="5">
        <f>HYPERLINK("https%3A%2F%2Fwww.webofscience.com%2Fwos%2Fwoscc%2Ffull-record%2FWOS:001283907200001","View Full Record in Web of Science")</f>
      </c>
    </row>
    <row x14ac:dyDescent="0.25" r="6" customHeight="1" ht="19.5">
      <c r="A6" s="1" t="s">
        <v>72</v>
      </c>
      <c r="B6" s="1" t="s">
        <v>117</v>
      </c>
      <c r="C6" s="1"/>
      <c r="D6" s="1"/>
      <c r="E6" s="1"/>
      <c r="F6" s="1" t="s">
        <v>118</v>
      </c>
      <c r="G6" s="1"/>
      <c r="H6" s="1"/>
      <c r="I6" s="1" t="s">
        <v>119</v>
      </c>
      <c r="J6" s="1" t="s">
        <v>120</v>
      </c>
      <c r="K6" s="1"/>
      <c r="L6" s="1"/>
      <c r="M6" s="1"/>
      <c r="N6" s="1"/>
      <c r="O6" s="1"/>
      <c r="P6" s="2"/>
      <c r="Q6" s="1"/>
      <c r="R6" s="1"/>
      <c r="S6" s="1"/>
      <c r="T6" s="1"/>
      <c r="U6" s="1"/>
      <c r="V6" s="1" t="s">
        <v>121</v>
      </c>
      <c r="W6" s="1"/>
      <c r="X6" s="1"/>
      <c r="Y6" s="1"/>
      <c r="Z6" s="1"/>
      <c r="AA6" s="1" t="s">
        <v>122</v>
      </c>
      <c r="AB6" s="1" t="s">
        <v>123</v>
      </c>
      <c r="AC6" s="1"/>
      <c r="AD6" s="1"/>
      <c r="AE6" s="1"/>
      <c r="AF6" s="1"/>
      <c r="AG6" s="1"/>
      <c r="AH6" s="1"/>
      <c r="AI6" s="1"/>
      <c r="AJ6" s="1"/>
      <c r="AK6" s="1"/>
      <c r="AL6" s="1"/>
      <c r="AM6" s="1"/>
      <c r="AN6" s="1"/>
      <c r="AO6" s="1" t="s">
        <v>124</v>
      </c>
      <c r="AP6" s="1" t="s">
        <v>125</v>
      </c>
      <c r="AQ6" s="1"/>
      <c r="AR6" s="1"/>
      <c r="AS6" s="1"/>
      <c r="AT6" s="1" t="s">
        <v>126</v>
      </c>
      <c r="AU6" s="3">
        <v>2024</v>
      </c>
      <c r="AV6" s="3">
        <v>25</v>
      </c>
      <c r="AW6" s="3">
        <v>14</v>
      </c>
      <c r="AX6" s="2"/>
      <c r="AY6" s="2"/>
      <c r="AZ6" s="1"/>
      <c r="BA6" s="2"/>
      <c r="BB6" s="2"/>
      <c r="BC6" s="2"/>
      <c r="BD6" s="3">
        <v>7632</v>
      </c>
      <c r="BE6" s="1" t="s">
        <v>127</v>
      </c>
      <c r="BF6" s="4">
        <f>HYPERLINK("http://dx.doi.org/10.3390/ijms25147632","http://dx.doi.org/10.3390/ijms25147632")</f>
      </c>
      <c r="BG6" s="1"/>
      <c r="BH6" s="1"/>
      <c r="BI6" s="1"/>
      <c r="BJ6" s="1"/>
      <c r="BK6" s="1"/>
      <c r="BL6" s="1"/>
      <c r="BM6" s="1"/>
      <c r="BN6" s="3">
        <v>39062874</v>
      </c>
      <c r="BO6" s="1"/>
      <c r="BP6" s="1"/>
      <c r="BQ6" s="1"/>
      <c r="BR6" s="1"/>
      <c r="BS6" s="1" t="s">
        <v>128</v>
      </c>
      <c r="BT6" s="5">
        <f>HYPERLINK("https%3A%2F%2Fwww.webofscience.com%2Fwos%2Fwoscc%2Ffull-record%2FWOS:001278913100001","View Full Record in Web of Science")</f>
      </c>
    </row>
    <row x14ac:dyDescent="0.25" r="7" customHeight="1" ht="19.5">
      <c r="A7" s="1" t="s">
        <v>72</v>
      </c>
      <c r="B7" s="1" t="s">
        <v>129</v>
      </c>
      <c r="C7" s="1"/>
      <c r="D7" s="1"/>
      <c r="E7" s="1"/>
      <c r="F7" s="1" t="s">
        <v>130</v>
      </c>
      <c r="G7" s="1"/>
      <c r="H7" s="1"/>
      <c r="I7" s="1" t="s">
        <v>131</v>
      </c>
      <c r="J7" s="1" t="s">
        <v>132</v>
      </c>
      <c r="K7" s="1"/>
      <c r="L7" s="1"/>
      <c r="M7" s="1"/>
      <c r="N7" s="1"/>
      <c r="O7" s="1"/>
      <c r="P7" s="2"/>
      <c r="Q7" s="1"/>
      <c r="R7" s="1"/>
      <c r="S7" s="1"/>
      <c r="T7" s="1"/>
      <c r="U7" s="1"/>
      <c r="V7" s="1" t="s">
        <v>133</v>
      </c>
      <c r="W7" s="1"/>
      <c r="X7" s="1"/>
      <c r="Y7" s="1"/>
      <c r="Z7" s="1"/>
      <c r="AA7" s="1" t="s">
        <v>134</v>
      </c>
      <c r="AB7" s="1" t="s">
        <v>135</v>
      </c>
      <c r="AC7" s="1"/>
      <c r="AD7" s="1"/>
      <c r="AE7" s="1"/>
      <c r="AF7" s="1"/>
      <c r="AG7" s="1"/>
      <c r="AH7" s="1"/>
      <c r="AI7" s="1"/>
      <c r="AJ7" s="1"/>
      <c r="AK7" s="1"/>
      <c r="AL7" s="1"/>
      <c r="AM7" s="1"/>
      <c r="AN7" s="1"/>
      <c r="AO7" s="1"/>
      <c r="AP7" s="1" t="s">
        <v>136</v>
      </c>
      <c r="AQ7" s="1"/>
      <c r="AR7" s="1"/>
      <c r="AS7" s="1"/>
      <c r="AT7" s="1" t="s">
        <v>137</v>
      </c>
      <c r="AU7" s="3">
        <v>2024</v>
      </c>
      <c r="AV7" s="3">
        <v>13</v>
      </c>
      <c r="AW7" s="3">
        <v>3</v>
      </c>
      <c r="AX7" s="2"/>
      <c r="AY7" s="2"/>
      <c r="AZ7" s="1"/>
      <c r="BA7" s="2"/>
      <c r="BB7" s="2"/>
      <c r="BC7" s="2"/>
      <c r="BD7" s="3">
        <v>414</v>
      </c>
      <c r="BE7" s="1" t="s">
        <v>138</v>
      </c>
      <c r="BF7" s="4">
        <f>HYPERLINK("http://dx.doi.org/10.3390/foods13030414","http://dx.doi.org/10.3390/foods13030414")</f>
      </c>
      <c r="BG7" s="1"/>
      <c r="BH7" s="1"/>
      <c r="BI7" s="1"/>
      <c r="BJ7" s="1"/>
      <c r="BK7" s="1"/>
      <c r="BL7" s="1"/>
      <c r="BM7" s="1"/>
      <c r="BN7" s="3">
        <v>38338549</v>
      </c>
      <c r="BO7" s="1"/>
      <c r="BP7" s="1"/>
      <c r="BQ7" s="1"/>
      <c r="BR7" s="1"/>
      <c r="BS7" s="1" t="s">
        <v>139</v>
      </c>
      <c r="BT7" s="5">
        <f>HYPERLINK("https%3A%2F%2Fwww.webofscience.com%2Fwos%2Fwoscc%2Ffull-record%2FWOS:001160361500001","View Full Record in Web of Science")</f>
      </c>
    </row>
    <row x14ac:dyDescent="0.25" r="8" customHeight="1" ht="19.5">
      <c r="A8" s="1" t="s">
        <v>72</v>
      </c>
      <c r="B8" s="1" t="s">
        <v>140</v>
      </c>
      <c r="C8" s="1"/>
      <c r="D8" s="1"/>
      <c r="E8" s="1"/>
      <c r="F8" s="1" t="s">
        <v>141</v>
      </c>
      <c r="G8" s="1"/>
      <c r="H8" s="1"/>
      <c r="I8" s="1" t="s">
        <v>142</v>
      </c>
      <c r="J8" s="1" t="s">
        <v>143</v>
      </c>
      <c r="K8" s="1"/>
      <c r="L8" s="1"/>
      <c r="M8" s="1"/>
      <c r="N8" s="1"/>
      <c r="O8" s="1"/>
      <c r="P8" s="2"/>
      <c r="Q8" s="1"/>
      <c r="R8" s="1"/>
      <c r="S8" s="1"/>
      <c r="T8" s="1"/>
      <c r="U8" s="1"/>
      <c r="V8" s="1" t="s">
        <v>144</v>
      </c>
      <c r="W8" s="1"/>
      <c r="X8" s="1"/>
      <c r="Y8" s="1"/>
      <c r="Z8" s="1"/>
      <c r="AA8" s="1" t="s">
        <v>145</v>
      </c>
      <c r="AB8" s="1" t="s">
        <v>146</v>
      </c>
      <c r="AC8" s="1"/>
      <c r="AD8" s="1"/>
      <c r="AE8" s="1"/>
      <c r="AF8" s="1"/>
      <c r="AG8" s="1"/>
      <c r="AH8" s="1"/>
      <c r="AI8" s="1"/>
      <c r="AJ8" s="1"/>
      <c r="AK8" s="1"/>
      <c r="AL8" s="1"/>
      <c r="AM8" s="1"/>
      <c r="AN8" s="1"/>
      <c r="AO8" s="1" t="s">
        <v>147</v>
      </c>
      <c r="AP8" s="1"/>
      <c r="AQ8" s="1"/>
      <c r="AR8" s="1"/>
      <c r="AS8" s="1"/>
      <c r="AT8" s="1" t="s">
        <v>148</v>
      </c>
      <c r="AU8" s="3">
        <v>2023</v>
      </c>
      <c r="AV8" s="3">
        <v>11</v>
      </c>
      <c r="AW8" s="2"/>
      <c r="AX8" s="2"/>
      <c r="AY8" s="2"/>
      <c r="AZ8" s="1"/>
      <c r="BA8" s="2"/>
      <c r="BB8" s="2"/>
      <c r="BC8" s="2"/>
      <c r="BD8" s="3">
        <v>1324417</v>
      </c>
      <c r="BE8" s="1" t="s">
        <v>149</v>
      </c>
      <c r="BF8" s="4">
        <f>HYPERLINK("http://dx.doi.org/10.3389/fbioe.2023.1324417","http://dx.doi.org/10.3389/fbioe.2023.1324417")</f>
      </c>
      <c r="BG8" s="1"/>
      <c r="BH8" s="1"/>
      <c r="BI8" s="1"/>
      <c r="BJ8" s="1"/>
      <c r="BK8" s="1"/>
      <c r="BL8" s="1"/>
      <c r="BM8" s="1"/>
      <c r="BN8" s="3">
        <v>38152287</v>
      </c>
      <c r="BO8" s="1"/>
      <c r="BP8" s="1"/>
      <c r="BQ8" s="1"/>
      <c r="BR8" s="1"/>
      <c r="BS8" s="1" t="s">
        <v>150</v>
      </c>
      <c r="BT8" s="5">
        <f>HYPERLINK("https%3A%2F%2Fwww.webofscience.com%2Fwos%2Fwoscc%2Ffull-record%2FWOS:001132701500001","View Full Record in Web of Science")</f>
      </c>
    </row>
    <row x14ac:dyDescent="0.25" r="9" customHeight="1" ht="18.75">
      <c r="A9" s="1" t="s">
        <v>72</v>
      </c>
      <c r="B9" s="1" t="s">
        <v>151</v>
      </c>
      <c r="C9" s="1"/>
      <c r="D9" s="1"/>
      <c r="E9" s="1"/>
      <c r="F9" s="1" t="s">
        <v>152</v>
      </c>
      <c r="G9" s="1"/>
      <c r="H9" s="1"/>
      <c r="I9" s="1" t="s">
        <v>153</v>
      </c>
      <c r="J9" s="1" t="s">
        <v>154</v>
      </c>
      <c r="K9" s="1"/>
      <c r="L9" s="1"/>
      <c r="M9" s="1"/>
      <c r="N9" s="1"/>
      <c r="O9" s="1"/>
      <c r="P9" s="2"/>
      <c r="Q9" s="1"/>
      <c r="R9" s="1"/>
      <c r="S9" s="1"/>
      <c r="T9" s="1"/>
      <c r="U9" s="1"/>
      <c r="V9" s="1" t="s">
        <v>155</v>
      </c>
      <c r="W9" s="1"/>
      <c r="X9" s="1"/>
      <c r="Y9" s="1"/>
      <c r="Z9" s="1"/>
      <c r="AA9" s="1"/>
      <c r="AB9" s="1"/>
      <c r="AC9" s="1"/>
      <c r="AD9" s="1"/>
      <c r="AE9" s="1"/>
      <c r="AF9" s="1"/>
      <c r="AG9" s="1"/>
      <c r="AH9" s="1"/>
      <c r="AI9" s="1"/>
      <c r="AJ9" s="1"/>
      <c r="AK9" s="1"/>
      <c r="AL9" s="1"/>
      <c r="AM9" s="1"/>
      <c r="AN9" s="1"/>
      <c r="AO9" s="1" t="s">
        <v>156</v>
      </c>
      <c r="AP9" s="1" t="s">
        <v>157</v>
      </c>
      <c r="AQ9" s="1"/>
      <c r="AR9" s="1"/>
      <c r="AS9" s="1"/>
      <c r="AT9" s="1" t="s">
        <v>158</v>
      </c>
      <c r="AU9" s="3">
        <v>2023</v>
      </c>
      <c r="AV9" s="3">
        <v>13</v>
      </c>
      <c r="AW9" s="3">
        <v>2</v>
      </c>
      <c r="AX9" s="2"/>
      <c r="AY9" s="2"/>
      <c r="AZ9" s="1"/>
      <c r="BA9" s="2"/>
      <c r="BB9" s="3">
        <v>523</v>
      </c>
      <c r="BC9" s="3">
        <v>556</v>
      </c>
      <c r="BD9" s="2"/>
      <c r="BE9" s="1"/>
      <c r="BF9" s="1"/>
      <c r="BG9" s="1"/>
      <c r="BH9" s="1"/>
      <c r="BI9" s="1"/>
      <c r="BJ9" s="1"/>
      <c r="BK9" s="1"/>
      <c r="BL9" s="1"/>
      <c r="BM9" s="1"/>
      <c r="BN9" s="2"/>
      <c r="BO9" s="1"/>
      <c r="BP9" s="1"/>
      <c r="BQ9" s="1"/>
      <c r="BR9" s="1"/>
      <c r="BS9" s="1" t="s">
        <v>159</v>
      </c>
      <c r="BT9" s="5">
        <f>HYPERLINK("https%3A%2F%2Fwww.webofscience.com%2Fwos%2Fwoscc%2Ffull-record%2FWOS:001164876600011","View Full Record in Web of Science")</f>
      </c>
    </row>
    <row x14ac:dyDescent="0.25" r="10" customHeight="1" ht="19.5">
      <c r="A10" s="1" t="s">
        <v>72</v>
      </c>
      <c r="B10" s="1" t="s">
        <v>160</v>
      </c>
      <c r="C10" s="1"/>
      <c r="D10" s="1"/>
      <c r="E10" s="1"/>
      <c r="F10" s="1" t="s">
        <v>161</v>
      </c>
      <c r="G10" s="1"/>
      <c r="H10" s="1"/>
      <c r="I10" s="1" t="s">
        <v>162</v>
      </c>
      <c r="J10" s="1" t="s">
        <v>163</v>
      </c>
      <c r="K10" s="1"/>
      <c r="L10" s="1"/>
      <c r="M10" s="1"/>
      <c r="N10" s="1"/>
      <c r="O10" s="1"/>
      <c r="P10" s="2"/>
      <c r="Q10" s="1"/>
      <c r="R10" s="1"/>
      <c r="S10" s="1"/>
      <c r="T10" s="1"/>
      <c r="U10" s="1"/>
      <c r="V10" s="1" t="s">
        <v>164</v>
      </c>
      <c r="W10" s="1"/>
      <c r="X10" s="1"/>
      <c r="Y10" s="1"/>
      <c r="Z10" s="1"/>
      <c r="AA10" s="1" t="s">
        <v>165</v>
      </c>
      <c r="AB10" s="1" t="s">
        <v>166</v>
      </c>
      <c r="AC10" s="1"/>
      <c r="AD10" s="1"/>
      <c r="AE10" s="1"/>
      <c r="AF10" s="1"/>
      <c r="AG10" s="1"/>
      <c r="AH10" s="1"/>
      <c r="AI10" s="1"/>
      <c r="AJ10" s="1"/>
      <c r="AK10" s="1"/>
      <c r="AL10" s="1"/>
      <c r="AM10" s="1"/>
      <c r="AN10" s="1"/>
      <c r="AO10" s="1" t="s">
        <v>167</v>
      </c>
      <c r="AP10" s="1" t="s">
        <v>168</v>
      </c>
      <c r="AQ10" s="1"/>
      <c r="AR10" s="1"/>
      <c r="AS10" s="1"/>
      <c r="AT10" s="1" t="s">
        <v>169</v>
      </c>
      <c r="AU10" s="3">
        <v>2023</v>
      </c>
      <c r="AV10" s="3">
        <v>28</v>
      </c>
      <c r="AW10" s="3">
        <v>11</v>
      </c>
      <c r="AX10" s="2"/>
      <c r="AY10" s="2"/>
      <c r="AZ10" s="1" t="s">
        <v>170</v>
      </c>
      <c r="BA10" s="2"/>
      <c r="BB10" s="3">
        <v>1481</v>
      </c>
      <c r="BC10" s="3">
        <v>1494</v>
      </c>
      <c r="BD10" s="2"/>
      <c r="BE10" s="1" t="s">
        <v>171</v>
      </c>
      <c r="BF10" s="4">
        <f>HYPERLINK("http://dx.doi.org/10.1007/s11367-023-02163-z","http://dx.doi.org/10.1007/s11367-023-02163-z")</f>
      </c>
      <c r="BG10" s="1"/>
      <c r="BH10" s="1" t="s">
        <v>172</v>
      </c>
      <c r="BI10" s="1"/>
      <c r="BJ10" s="1"/>
      <c r="BK10" s="1"/>
      <c r="BL10" s="1"/>
      <c r="BM10" s="1"/>
      <c r="BN10" s="2"/>
      <c r="BO10" s="1"/>
      <c r="BP10" s="1"/>
      <c r="BQ10" s="1"/>
      <c r="BR10" s="1"/>
      <c r="BS10" s="1" t="s">
        <v>173</v>
      </c>
      <c r="BT10" s="5">
        <f>HYPERLINK("https%3A%2F%2Fwww.webofscience.com%2Fwos%2Fwoscc%2Ffull-record%2FWOS:000988388300001","View Full Record in Web of Science")</f>
      </c>
    </row>
    <row x14ac:dyDescent="0.25" r="11" customHeight="1" ht="19.5">
      <c r="A11" s="1" t="s">
        <v>72</v>
      </c>
      <c r="B11" s="1" t="s">
        <v>174</v>
      </c>
      <c r="C11" s="1"/>
      <c r="D11" s="1"/>
      <c r="E11" s="1"/>
      <c r="F11" s="1" t="s">
        <v>175</v>
      </c>
      <c r="G11" s="1"/>
      <c r="H11" s="1"/>
      <c r="I11" s="1" t="s">
        <v>176</v>
      </c>
      <c r="J11" s="1" t="s">
        <v>177</v>
      </c>
      <c r="K11" s="1"/>
      <c r="L11" s="1"/>
      <c r="M11" s="1"/>
      <c r="N11" s="1"/>
      <c r="O11" s="1"/>
      <c r="P11" s="2"/>
      <c r="Q11" s="1"/>
      <c r="R11" s="1"/>
      <c r="S11" s="1"/>
      <c r="T11" s="1"/>
      <c r="U11" s="1"/>
      <c r="V11" s="1" t="s">
        <v>178</v>
      </c>
      <c r="W11" s="1"/>
      <c r="X11" s="1"/>
      <c r="Y11" s="1"/>
      <c r="Z11" s="1"/>
      <c r="AA11" s="1"/>
      <c r="AB11" s="1"/>
      <c r="AC11" s="1"/>
      <c r="AD11" s="1"/>
      <c r="AE11" s="1"/>
      <c r="AF11" s="1"/>
      <c r="AG11" s="1"/>
      <c r="AH11" s="1"/>
      <c r="AI11" s="1"/>
      <c r="AJ11" s="1"/>
      <c r="AK11" s="1"/>
      <c r="AL11" s="1"/>
      <c r="AM11" s="1"/>
      <c r="AN11" s="1"/>
      <c r="AO11" s="1" t="s">
        <v>179</v>
      </c>
      <c r="AP11" s="1" t="s">
        <v>180</v>
      </c>
      <c r="AQ11" s="1"/>
      <c r="AR11" s="1"/>
      <c r="AS11" s="1"/>
      <c r="AT11" s="1" t="s">
        <v>181</v>
      </c>
      <c r="AU11" s="3">
        <v>2023</v>
      </c>
      <c r="AV11" s="3">
        <v>9</v>
      </c>
      <c r="AW11" s="3">
        <v>32</v>
      </c>
      <c r="AX11" s="2"/>
      <c r="AY11" s="2"/>
      <c r="AZ11" s="1"/>
      <c r="BA11" s="2"/>
      <c r="BB11" s="3">
        <v>37</v>
      </c>
      <c r="BC11" s="3">
        <v>53</v>
      </c>
      <c r="BD11" s="2"/>
      <c r="BE11" s="1" t="s">
        <v>182</v>
      </c>
      <c r="BF11" s="4">
        <f>HYPERLINK("http://dx.doi.org/10.19053/01235095.v9.n32.2023.13680","http://dx.doi.org/10.19053/01235095.v9.n32.2023.13680")</f>
      </c>
      <c r="BG11" s="1"/>
      <c r="BH11" s="1"/>
      <c r="BI11" s="1"/>
      <c r="BJ11" s="1"/>
      <c r="BK11" s="1"/>
      <c r="BL11" s="1"/>
      <c r="BM11" s="1"/>
      <c r="BN11" s="2"/>
      <c r="BO11" s="1"/>
      <c r="BP11" s="1"/>
      <c r="BQ11" s="1"/>
      <c r="BR11" s="1"/>
      <c r="BS11" s="1" t="s">
        <v>183</v>
      </c>
      <c r="BT11" s="5">
        <f>HYPERLINK("https%3A%2F%2Fwww.webofscience.com%2Fwos%2Fwoscc%2Ffull-record%2FWOS:001025117100003","View Full Record in Web of Science")</f>
      </c>
    </row>
    <row x14ac:dyDescent="0.25" r="12" customHeight="1" ht="19.5">
      <c r="A12" s="1" t="s">
        <v>72</v>
      </c>
      <c r="B12" s="1" t="s">
        <v>184</v>
      </c>
      <c r="C12" s="1"/>
      <c r="D12" s="1"/>
      <c r="E12" s="1"/>
      <c r="F12" s="1" t="s">
        <v>185</v>
      </c>
      <c r="G12" s="1"/>
      <c r="H12" s="1"/>
      <c r="I12" s="1" t="s">
        <v>186</v>
      </c>
      <c r="J12" s="1" t="s">
        <v>187</v>
      </c>
      <c r="K12" s="1"/>
      <c r="L12" s="1"/>
      <c r="M12" s="1"/>
      <c r="N12" s="1"/>
      <c r="O12" s="1"/>
      <c r="P12" s="2"/>
      <c r="Q12" s="1"/>
      <c r="R12" s="1"/>
      <c r="S12" s="1"/>
      <c r="T12" s="1"/>
      <c r="U12" s="1"/>
      <c r="V12" s="1" t="s">
        <v>188</v>
      </c>
      <c r="W12" s="1"/>
      <c r="X12" s="1"/>
      <c r="Y12" s="1"/>
      <c r="Z12" s="1"/>
      <c r="AA12" s="1" t="s">
        <v>189</v>
      </c>
      <c r="AB12" s="1" t="s">
        <v>190</v>
      </c>
      <c r="AC12" s="1"/>
      <c r="AD12" s="1"/>
      <c r="AE12" s="1"/>
      <c r="AF12" s="1"/>
      <c r="AG12" s="1"/>
      <c r="AH12" s="1"/>
      <c r="AI12" s="1"/>
      <c r="AJ12" s="1"/>
      <c r="AK12" s="1"/>
      <c r="AL12" s="1"/>
      <c r="AM12" s="1"/>
      <c r="AN12" s="1"/>
      <c r="AO12" s="1"/>
      <c r="AP12" s="1" t="s">
        <v>191</v>
      </c>
      <c r="AQ12" s="1"/>
      <c r="AR12" s="1"/>
      <c r="AS12" s="1"/>
      <c r="AT12" s="1" t="s">
        <v>192</v>
      </c>
      <c r="AU12" s="3">
        <v>2023</v>
      </c>
      <c r="AV12" s="3">
        <v>65</v>
      </c>
      <c r="AW12" s="2"/>
      <c r="AX12" s="2"/>
      <c r="AY12" s="2"/>
      <c r="AZ12" s="1"/>
      <c r="BA12" s="2"/>
      <c r="BB12" s="2"/>
      <c r="BC12" s="2"/>
      <c r="BD12" s="3">
        <v>105758</v>
      </c>
      <c r="BE12" s="1" t="s">
        <v>193</v>
      </c>
      <c r="BF12" s="4">
        <f>HYPERLINK("http://dx.doi.org/10.1016/j.jobe.2022.105758","http://dx.doi.org/10.1016/j.jobe.2022.105758")</f>
      </c>
      <c r="BG12" s="1"/>
      <c r="BH12" s="1" t="s">
        <v>194</v>
      </c>
      <c r="BI12" s="1"/>
      <c r="BJ12" s="1"/>
      <c r="BK12" s="1"/>
      <c r="BL12" s="1"/>
      <c r="BM12" s="1"/>
      <c r="BN12" s="2"/>
      <c r="BO12" s="1"/>
      <c r="BP12" s="1"/>
      <c r="BQ12" s="1"/>
      <c r="BR12" s="1"/>
      <c r="BS12" s="1" t="s">
        <v>195</v>
      </c>
      <c r="BT12" s="5">
        <f>HYPERLINK("https%3A%2F%2Fwww.webofscience.com%2Fwos%2Fwoscc%2Ffull-record%2FWOS:000997352000001","View Full Record in Web of Science")</f>
      </c>
    </row>
    <row x14ac:dyDescent="0.25" r="13" customHeight="1" ht="19.5">
      <c r="A13" s="1" t="s">
        <v>72</v>
      </c>
      <c r="B13" s="1" t="s">
        <v>196</v>
      </c>
      <c r="C13" s="1"/>
      <c r="D13" s="1"/>
      <c r="E13" s="1"/>
      <c r="F13" s="1" t="s">
        <v>197</v>
      </c>
      <c r="G13" s="1"/>
      <c r="H13" s="1"/>
      <c r="I13" s="1" t="s">
        <v>198</v>
      </c>
      <c r="J13" s="1" t="s">
        <v>199</v>
      </c>
      <c r="K13" s="1"/>
      <c r="L13" s="1"/>
      <c r="M13" s="1"/>
      <c r="N13" s="1"/>
      <c r="O13" s="1"/>
      <c r="P13" s="2"/>
      <c r="Q13" s="1"/>
      <c r="R13" s="1"/>
      <c r="S13" s="1"/>
      <c r="T13" s="1"/>
      <c r="U13" s="1"/>
      <c r="V13" s="1" t="s">
        <v>200</v>
      </c>
      <c r="W13" s="1"/>
      <c r="X13" s="1"/>
      <c r="Y13" s="1"/>
      <c r="Z13" s="1"/>
      <c r="AA13" s="1" t="s">
        <v>201</v>
      </c>
      <c r="AB13" s="1" t="s">
        <v>202</v>
      </c>
      <c r="AC13" s="1"/>
      <c r="AD13" s="1"/>
      <c r="AE13" s="1"/>
      <c r="AF13" s="1"/>
      <c r="AG13" s="1"/>
      <c r="AH13" s="1"/>
      <c r="AI13" s="1"/>
      <c r="AJ13" s="1"/>
      <c r="AK13" s="1"/>
      <c r="AL13" s="1"/>
      <c r="AM13" s="1"/>
      <c r="AN13" s="1"/>
      <c r="AO13" s="1"/>
      <c r="AP13" s="1" t="s">
        <v>203</v>
      </c>
      <c r="AQ13" s="1"/>
      <c r="AR13" s="1"/>
      <c r="AS13" s="1"/>
      <c r="AT13" s="1" t="s">
        <v>204</v>
      </c>
      <c r="AU13" s="3">
        <v>2022</v>
      </c>
      <c r="AV13" s="3">
        <v>14</v>
      </c>
      <c r="AW13" s="3">
        <v>12</v>
      </c>
      <c r="AX13" s="2"/>
      <c r="AY13" s="2"/>
      <c r="AZ13" s="1"/>
      <c r="BA13" s="2"/>
      <c r="BB13" s="2"/>
      <c r="BC13" s="2"/>
      <c r="BD13" s="3">
        <v>2529</v>
      </c>
      <c r="BE13" s="1" t="s">
        <v>205</v>
      </c>
      <c r="BF13" s="4">
        <f>HYPERLINK("http://dx.doi.org/10.3390/sym14122529","http://dx.doi.org/10.3390/sym14122529")</f>
      </c>
      <c r="BG13" s="1"/>
      <c r="BH13" s="1"/>
      <c r="BI13" s="1"/>
      <c r="BJ13" s="1"/>
      <c r="BK13" s="1"/>
      <c r="BL13" s="1"/>
      <c r="BM13" s="1"/>
      <c r="BN13" s="2"/>
      <c r="BO13" s="1"/>
      <c r="BP13" s="1"/>
      <c r="BQ13" s="1"/>
      <c r="BR13" s="1"/>
      <c r="BS13" s="1" t="s">
        <v>206</v>
      </c>
      <c r="BT13" s="5">
        <f>HYPERLINK("https%3A%2F%2Fwww.webofscience.com%2Fwos%2Fwoscc%2Ffull-record%2FWOS:000903485200001","View Full Record in Web of Science")</f>
      </c>
    </row>
    <row x14ac:dyDescent="0.25" r="14" customHeight="1" ht="19.5">
      <c r="A14" s="1" t="s">
        <v>72</v>
      </c>
      <c r="B14" s="1" t="s">
        <v>207</v>
      </c>
      <c r="C14" s="1"/>
      <c r="D14" s="1"/>
      <c r="E14" s="1"/>
      <c r="F14" s="1" t="s">
        <v>208</v>
      </c>
      <c r="G14" s="1"/>
      <c r="H14" s="1"/>
      <c r="I14" s="1" t="s">
        <v>209</v>
      </c>
      <c r="J14" s="1" t="s">
        <v>210</v>
      </c>
      <c r="K14" s="1"/>
      <c r="L14" s="1"/>
      <c r="M14" s="1"/>
      <c r="N14" s="1"/>
      <c r="O14" s="1"/>
      <c r="P14" s="2"/>
      <c r="Q14" s="1"/>
      <c r="R14" s="1"/>
      <c r="S14" s="1"/>
      <c r="T14" s="1"/>
      <c r="U14" s="1"/>
      <c r="V14" s="1" t="s">
        <v>211</v>
      </c>
      <c r="W14" s="1"/>
      <c r="X14" s="1"/>
      <c r="Y14" s="1"/>
      <c r="Z14" s="1"/>
      <c r="AA14" s="1" t="s">
        <v>212</v>
      </c>
      <c r="AB14" s="1" t="s">
        <v>213</v>
      </c>
      <c r="AC14" s="1"/>
      <c r="AD14" s="1"/>
      <c r="AE14" s="1"/>
      <c r="AF14" s="1"/>
      <c r="AG14" s="1"/>
      <c r="AH14" s="1"/>
      <c r="AI14" s="1"/>
      <c r="AJ14" s="1"/>
      <c r="AK14" s="1"/>
      <c r="AL14" s="1"/>
      <c r="AM14" s="1"/>
      <c r="AN14" s="1"/>
      <c r="AO14" s="1"/>
      <c r="AP14" s="1" t="s">
        <v>214</v>
      </c>
      <c r="AQ14" s="1"/>
      <c r="AR14" s="1"/>
      <c r="AS14" s="1"/>
      <c r="AT14" s="1" t="s">
        <v>169</v>
      </c>
      <c r="AU14" s="3">
        <v>2022</v>
      </c>
      <c r="AV14" s="3">
        <v>14</v>
      </c>
      <c r="AW14" s="3">
        <v>21</v>
      </c>
      <c r="AX14" s="2"/>
      <c r="AY14" s="2"/>
      <c r="AZ14" s="1"/>
      <c r="BA14" s="2"/>
      <c r="BB14" s="2"/>
      <c r="BC14" s="2"/>
      <c r="BD14" s="3">
        <v>13996</v>
      </c>
      <c r="BE14" s="1" t="s">
        <v>215</v>
      </c>
      <c r="BF14" s="4">
        <f>HYPERLINK("http://dx.doi.org/10.3390/su142113996","http://dx.doi.org/10.3390/su142113996")</f>
      </c>
      <c r="BG14" s="1"/>
      <c r="BH14" s="1"/>
      <c r="BI14" s="1"/>
      <c r="BJ14" s="1"/>
      <c r="BK14" s="1"/>
      <c r="BL14" s="1"/>
      <c r="BM14" s="1"/>
      <c r="BN14" s="2"/>
      <c r="BO14" s="1"/>
      <c r="BP14" s="1"/>
      <c r="BQ14" s="1"/>
      <c r="BR14" s="1"/>
      <c r="BS14" s="1" t="s">
        <v>216</v>
      </c>
      <c r="BT14" s="5">
        <f>HYPERLINK("https%3A%2F%2Fwww.webofscience.com%2Fwos%2Fwoscc%2Ffull-record%2FWOS:000881706500001","View Full Record in Web of Science")</f>
      </c>
    </row>
    <row x14ac:dyDescent="0.25" r="15" customHeight="1" ht="18.75">
      <c r="A15" s="1" t="s">
        <v>72</v>
      </c>
      <c r="B15" s="1" t="s">
        <v>217</v>
      </c>
      <c r="C15" s="1"/>
      <c r="D15" s="1"/>
      <c r="E15" s="1"/>
      <c r="F15" s="1" t="s">
        <v>218</v>
      </c>
      <c r="G15" s="1"/>
      <c r="H15" s="1"/>
      <c r="I15" s="1" t="s">
        <v>219</v>
      </c>
      <c r="J15" s="1" t="s">
        <v>220</v>
      </c>
      <c r="K15" s="1"/>
      <c r="L15" s="1"/>
      <c r="M15" s="1"/>
      <c r="N15" s="1"/>
      <c r="O15" s="1"/>
      <c r="P15" s="2"/>
      <c r="Q15" s="1"/>
      <c r="R15" s="1"/>
      <c r="S15" s="1"/>
      <c r="T15" s="1"/>
      <c r="U15" s="1"/>
      <c r="V15" s="1" t="s">
        <v>221</v>
      </c>
      <c r="W15" s="1"/>
      <c r="X15" s="1"/>
      <c r="Y15" s="1"/>
      <c r="Z15" s="1"/>
      <c r="AA15" s="1" t="s">
        <v>222</v>
      </c>
      <c r="AB15" s="1"/>
      <c r="AC15" s="1"/>
      <c r="AD15" s="1"/>
      <c r="AE15" s="1"/>
      <c r="AF15" s="1"/>
      <c r="AG15" s="1"/>
      <c r="AH15" s="1"/>
      <c r="AI15" s="1"/>
      <c r="AJ15" s="1"/>
      <c r="AK15" s="1"/>
      <c r="AL15" s="1"/>
      <c r="AM15" s="1"/>
      <c r="AN15" s="1"/>
      <c r="AO15" s="1" t="s">
        <v>223</v>
      </c>
      <c r="AP15" s="1" t="s">
        <v>224</v>
      </c>
      <c r="AQ15" s="1"/>
      <c r="AR15" s="1"/>
      <c r="AS15" s="1"/>
      <c r="AT15" s="1" t="s">
        <v>158</v>
      </c>
      <c r="AU15" s="3">
        <v>2022</v>
      </c>
      <c r="AV15" s="3">
        <v>46</v>
      </c>
      <c r="AW15" s="3">
        <v>2</v>
      </c>
      <c r="AX15" s="2"/>
      <c r="AY15" s="2"/>
      <c r="AZ15" s="1"/>
      <c r="BA15" s="2"/>
      <c r="BB15" s="2"/>
      <c r="BC15" s="2"/>
      <c r="BD15" s="2"/>
      <c r="BE15" s="1" t="s">
        <v>225</v>
      </c>
      <c r="BF15" s="4">
        <f>HYPERLINK("http://dx.doi.org/10.15517/revedu.v46i2.47929","http://dx.doi.org/10.15517/revedu.v46i2.47929")</f>
      </c>
      <c r="BG15" s="1"/>
      <c r="BH15" s="1"/>
      <c r="BI15" s="1"/>
      <c r="BJ15" s="1"/>
      <c r="BK15" s="1"/>
      <c r="BL15" s="1"/>
      <c r="BM15" s="1"/>
      <c r="BN15" s="2"/>
      <c r="BO15" s="1"/>
      <c r="BP15" s="1"/>
      <c r="BQ15" s="1"/>
      <c r="BR15" s="1"/>
      <c r="BS15" s="1" t="s">
        <v>226</v>
      </c>
      <c r="BT15" s="5">
        <f>HYPERLINK("https%3A%2F%2Fwww.webofscience.com%2Fwos%2Fwoscc%2Ffull-record%2FWOS:000822501500003","View Full Record in Web of Science")</f>
      </c>
    </row>
    <row x14ac:dyDescent="0.25" r="16" customHeight="1" ht="18.75">
      <c r="A16" s="1" t="s">
        <v>72</v>
      </c>
      <c r="B16" s="1" t="s">
        <v>227</v>
      </c>
      <c r="C16" s="1"/>
      <c r="D16" s="1"/>
      <c r="E16" s="1"/>
      <c r="F16" s="1" t="s">
        <v>228</v>
      </c>
      <c r="G16" s="1"/>
      <c r="H16" s="1"/>
      <c r="I16" s="1" t="s">
        <v>229</v>
      </c>
      <c r="J16" s="1" t="s">
        <v>230</v>
      </c>
      <c r="K16" s="1"/>
      <c r="L16" s="1"/>
      <c r="M16" s="1"/>
      <c r="N16" s="1"/>
      <c r="O16" s="1"/>
      <c r="P16" s="2"/>
      <c r="Q16" s="1"/>
      <c r="R16" s="1"/>
      <c r="S16" s="1"/>
      <c r="T16" s="1"/>
      <c r="U16" s="1"/>
      <c r="V16" s="1" t="s">
        <v>231</v>
      </c>
      <c r="W16" s="1"/>
      <c r="X16" s="1"/>
      <c r="Y16" s="1"/>
      <c r="Z16" s="1"/>
      <c r="AA16" s="1"/>
      <c r="AB16" s="1" t="s">
        <v>232</v>
      </c>
      <c r="AC16" s="1"/>
      <c r="AD16" s="1"/>
      <c r="AE16" s="1"/>
      <c r="AF16" s="1"/>
      <c r="AG16" s="1"/>
      <c r="AH16" s="1"/>
      <c r="AI16" s="1"/>
      <c r="AJ16" s="1"/>
      <c r="AK16" s="1"/>
      <c r="AL16" s="1"/>
      <c r="AM16" s="1"/>
      <c r="AN16" s="1"/>
      <c r="AO16" s="1"/>
      <c r="AP16" s="1" t="s">
        <v>233</v>
      </c>
      <c r="AQ16" s="1"/>
      <c r="AR16" s="1"/>
      <c r="AS16" s="1"/>
      <c r="AT16" s="1" t="s">
        <v>103</v>
      </c>
      <c r="AU16" s="3">
        <v>2022</v>
      </c>
      <c r="AV16" s="3">
        <v>27</v>
      </c>
      <c r="AW16" s="3">
        <v>1</v>
      </c>
      <c r="AX16" s="2"/>
      <c r="AY16" s="2"/>
      <c r="AZ16" s="1"/>
      <c r="BA16" s="2"/>
      <c r="BB16" s="2"/>
      <c r="BC16" s="2"/>
      <c r="BD16" s="3">
        <v>32</v>
      </c>
      <c r="BE16" s="1" t="s">
        <v>234</v>
      </c>
      <c r="BF16" s="4">
        <f>HYPERLINK("http://dx.doi.org/10.3390/molecules27010032","http://dx.doi.org/10.3390/molecules27010032")</f>
      </c>
      <c r="BG16" s="1"/>
      <c r="BH16" s="1"/>
      <c r="BI16" s="1"/>
      <c r="BJ16" s="1"/>
      <c r="BK16" s="1"/>
      <c r="BL16" s="1"/>
      <c r="BM16" s="1"/>
      <c r="BN16" s="3">
        <v>35011264</v>
      </c>
      <c r="BO16" s="1"/>
      <c r="BP16" s="1"/>
      <c r="BQ16" s="1"/>
      <c r="BR16" s="1"/>
      <c r="BS16" s="1" t="s">
        <v>235</v>
      </c>
      <c r="BT16" s="5">
        <f>HYPERLINK("https%3A%2F%2Fwww.webofscience.com%2Fwos%2Fwoscc%2Ffull-record%2FWOS:000749450500001","View Full Record in Web of Science")</f>
      </c>
    </row>
    <row x14ac:dyDescent="0.25" r="17" customHeight="1" ht="18.75">
      <c r="A17" s="1" t="s">
        <v>72</v>
      </c>
      <c r="B17" s="1" t="s">
        <v>236</v>
      </c>
      <c r="C17" s="1"/>
      <c r="D17" s="1"/>
      <c r="E17" s="1"/>
      <c r="F17" s="1" t="s">
        <v>237</v>
      </c>
      <c r="G17" s="1"/>
      <c r="H17" s="1"/>
      <c r="I17" s="1" t="s">
        <v>238</v>
      </c>
      <c r="J17" s="1" t="s">
        <v>239</v>
      </c>
      <c r="K17" s="1"/>
      <c r="L17" s="1"/>
      <c r="M17" s="1"/>
      <c r="N17" s="1"/>
      <c r="O17" s="1"/>
      <c r="P17" s="2"/>
      <c r="Q17" s="1"/>
      <c r="R17" s="1"/>
      <c r="S17" s="1"/>
      <c r="T17" s="1"/>
      <c r="U17" s="1"/>
      <c r="V17" s="1" t="s">
        <v>240</v>
      </c>
      <c r="W17" s="1"/>
      <c r="X17" s="1"/>
      <c r="Y17" s="1"/>
      <c r="Z17" s="1"/>
      <c r="AA17" s="1" t="s">
        <v>241</v>
      </c>
      <c r="AB17" s="1" t="s">
        <v>242</v>
      </c>
      <c r="AC17" s="1"/>
      <c r="AD17" s="1"/>
      <c r="AE17" s="1"/>
      <c r="AF17" s="1"/>
      <c r="AG17" s="1"/>
      <c r="AH17" s="1"/>
      <c r="AI17" s="1"/>
      <c r="AJ17" s="1"/>
      <c r="AK17" s="1"/>
      <c r="AL17" s="1"/>
      <c r="AM17" s="1"/>
      <c r="AN17" s="1"/>
      <c r="AO17" s="1" t="s">
        <v>243</v>
      </c>
      <c r="AP17" s="1"/>
      <c r="AQ17" s="1"/>
      <c r="AR17" s="1"/>
      <c r="AS17" s="1"/>
      <c r="AT17" s="1" t="s">
        <v>244</v>
      </c>
      <c r="AU17" s="3">
        <v>2022</v>
      </c>
      <c r="AV17" s="3">
        <v>22</v>
      </c>
      <c r="AW17" s="3">
        <v>1</v>
      </c>
      <c r="AX17" s="2"/>
      <c r="AY17" s="2"/>
      <c r="AZ17" s="1"/>
      <c r="BA17" s="2"/>
      <c r="BB17" s="2"/>
      <c r="BC17" s="2"/>
      <c r="BD17" s="3">
        <v>2528</v>
      </c>
      <c r="BE17" s="1" t="s">
        <v>245</v>
      </c>
      <c r="BF17" s="4">
        <f>HYPERLINK("http://dx.doi.org/10.5867/medwave.2022.01.002528","http://dx.doi.org/10.5867/medwave.2022.01.002528")</f>
      </c>
      <c r="BG17" s="1"/>
      <c r="BH17" s="1"/>
      <c r="BI17" s="1"/>
      <c r="BJ17" s="1"/>
      <c r="BK17" s="1"/>
      <c r="BL17" s="1"/>
      <c r="BM17" s="1"/>
      <c r="BN17" s="3">
        <v>34979532</v>
      </c>
      <c r="BO17" s="1"/>
      <c r="BP17" s="1"/>
      <c r="BQ17" s="1"/>
      <c r="BR17" s="1"/>
      <c r="BS17" s="1" t="s">
        <v>246</v>
      </c>
      <c r="BT17" s="5">
        <f>HYPERLINK("https%3A%2F%2Fwww.webofscience.com%2Fwos%2Fwoscc%2Ffull-record%2FWOS:000765027100008","View Full Record in Web of Science")</f>
      </c>
    </row>
    <row x14ac:dyDescent="0.25" r="18" customHeight="1" ht="18.75">
      <c r="A18" s="1" t="s">
        <v>72</v>
      </c>
      <c r="B18" s="1" t="s">
        <v>247</v>
      </c>
      <c r="C18" s="1"/>
      <c r="D18" s="1"/>
      <c r="E18" s="1"/>
      <c r="F18" s="1" t="s">
        <v>248</v>
      </c>
      <c r="G18" s="1"/>
      <c r="H18" s="1"/>
      <c r="I18" s="1" t="s">
        <v>249</v>
      </c>
      <c r="J18" s="1" t="s">
        <v>250</v>
      </c>
      <c r="K18" s="1"/>
      <c r="L18" s="1"/>
      <c r="M18" s="1"/>
      <c r="N18" s="1"/>
      <c r="O18" s="1"/>
      <c r="P18" s="2"/>
      <c r="Q18" s="1"/>
      <c r="R18" s="1"/>
      <c r="S18" s="1"/>
      <c r="T18" s="1"/>
      <c r="U18" s="1"/>
      <c r="V18" s="1" t="s">
        <v>251</v>
      </c>
      <c r="W18" s="1"/>
      <c r="X18" s="1"/>
      <c r="Y18" s="1"/>
      <c r="Z18" s="1"/>
      <c r="AA18" s="1"/>
      <c r="AB18" s="1"/>
      <c r="AC18" s="1"/>
      <c r="AD18" s="1"/>
      <c r="AE18" s="1"/>
      <c r="AF18" s="1"/>
      <c r="AG18" s="1"/>
      <c r="AH18" s="1"/>
      <c r="AI18" s="1"/>
      <c r="AJ18" s="1"/>
      <c r="AK18" s="1"/>
      <c r="AL18" s="1"/>
      <c r="AM18" s="1"/>
      <c r="AN18" s="1"/>
      <c r="AO18" s="1" t="s">
        <v>252</v>
      </c>
      <c r="AP18" s="1" t="s">
        <v>253</v>
      </c>
      <c r="AQ18" s="1"/>
      <c r="AR18" s="1"/>
      <c r="AS18" s="1"/>
      <c r="AT18" s="1" t="s">
        <v>254</v>
      </c>
      <c r="AU18" s="3">
        <v>2021</v>
      </c>
      <c r="AV18" s="3">
        <v>343</v>
      </c>
      <c r="AW18" s="2"/>
      <c r="AX18" s="2"/>
      <c r="AY18" s="2"/>
      <c r="AZ18" s="1"/>
      <c r="BA18" s="2"/>
      <c r="BB18" s="2"/>
      <c r="BC18" s="2"/>
      <c r="BD18" s="3">
        <v>117471</v>
      </c>
      <c r="BE18" s="1" t="s">
        <v>255</v>
      </c>
      <c r="BF18" s="4">
        <f>HYPERLINK("http://dx.doi.org/10.1016/j.molliq.2021.117471","http://dx.doi.org/10.1016/j.molliq.2021.117471")</f>
      </c>
      <c r="BG18" s="1"/>
      <c r="BH18" s="1" t="s">
        <v>256</v>
      </c>
      <c r="BI18" s="1"/>
      <c r="BJ18" s="1"/>
      <c r="BK18" s="1"/>
      <c r="BL18" s="1"/>
      <c r="BM18" s="1"/>
      <c r="BN18" s="2"/>
      <c r="BO18" s="1"/>
      <c r="BP18" s="1"/>
      <c r="BQ18" s="1"/>
      <c r="BR18" s="1"/>
      <c r="BS18" s="1" t="s">
        <v>257</v>
      </c>
      <c r="BT18" s="5">
        <f>HYPERLINK("https%3A%2F%2Fwww.webofscience.com%2Fwos%2Fwoscc%2Ffull-record%2FWOS:000708703200004","View Full Record in Web of Science")</f>
      </c>
    </row>
    <row x14ac:dyDescent="0.25" r="19" customHeight="1" ht="18">
      <c r="A19" s="1" t="s">
        <v>72</v>
      </c>
      <c r="B19" s="1" t="s">
        <v>258</v>
      </c>
      <c r="C19" s="1"/>
      <c r="D19" s="1"/>
      <c r="E19" s="1"/>
      <c r="F19" s="1" t="s">
        <v>259</v>
      </c>
      <c r="G19" s="1"/>
      <c r="H19" s="1"/>
      <c r="I19" s="1" t="s">
        <v>260</v>
      </c>
      <c r="J19" s="1" t="s">
        <v>261</v>
      </c>
      <c r="K19" s="1"/>
      <c r="L19" s="1"/>
      <c r="M19" s="1"/>
      <c r="N19" s="1"/>
      <c r="O19" s="1"/>
      <c r="P19" s="2"/>
      <c r="Q19" s="1"/>
      <c r="R19" s="1"/>
      <c r="S19" s="1"/>
      <c r="T19" s="1"/>
      <c r="U19" s="1"/>
      <c r="V19" s="1" t="s">
        <v>262</v>
      </c>
      <c r="W19" s="1"/>
      <c r="X19" s="1"/>
      <c r="Y19" s="1"/>
      <c r="Z19" s="1"/>
      <c r="AA19" s="1"/>
      <c r="AB19" s="1"/>
      <c r="AC19" s="1"/>
      <c r="AD19" s="1"/>
      <c r="AE19" s="1"/>
      <c r="AF19" s="1"/>
      <c r="AG19" s="1"/>
      <c r="AH19" s="1"/>
      <c r="AI19" s="1"/>
      <c r="AJ19" s="1"/>
      <c r="AK19" s="1"/>
      <c r="AL19" s="1"/>
      <c r="AM19" s="1"/>
      <c r="AN19" s="1"/>
      <c r="AO19" s="1" t="s">
        <v>263</v>
      </c>
      <c r="AP19" s="1" t="s">
        <v>264</v>
      </c>
      <c r="AQ19" s="1"/>
      <c r="AR19" s="1"/>
      <c r="AS19" s="1"/>
      <c r="AT19" s="1" t="s">
        <v>265</v>
      </c>
      <c r="AU19" s="3">
        <v>2021</v>
      </c>
      <c r="AV19" s="3">
        <v>38</v>
      </c>
      <c r="AW19" s="3">
        <v>4</v>
      </c>
      <c r="AX19" s="2"/>
      <c r="AY19" s="2"/>
      <c r="AZ19" s="1"/>
      <c r="BA19" s="2"/>
      <c r="BB19" s="3">
        <v>558</v>
      </c>
      <c r="BC19" s="3">
        <v>561</v>
      </c>
      <c r="BD19" s="2"/>
      <c r="BE19" s="1"/>
      <c r="BF19" s="1"/>
      <c r="BG19" s="1"/>
      <c r="BH19" s="1"/>
      <c r="BI19" s="1"/>
      <c r="BJ19" s="1"/>
      <c r="BK19" s="1"/>
      <c r="BL19" s="1"/>
      <c r="BM19" s="1"/>
      <c r="BN19" s="3">
        <v>34652403</v>
      </c>
      <c r="BO19" s="1"/>
      <c r="BP19" s="1"/>
      <c r="BQ19" s="1"/>
      <c r="BR19" s="1"/>
      <c r="BS19" s="1" t="s">
        <v>266</v>
      </c>
      <c r="BT19" s="5">
        <f>HYPERLINK("https%3A%2F%2Fwww.webofscience.com%2Fwos%2Fwoscc%2Ffull-record%2FWOS:000708129800013","View Full Record in Web of Science")</f>
      </c>
    </row>
    <row x14ac:dyDescent="0.25" r="20" customHeight="1" ht="18">
      <c r="A20" s="1" t="s">
        <v>267</v>
      </c>
      <c r="B20" s="1" t="s">
        <v>268</v>
      </c>
      <c r="C20" s="1" t="s">
        <v>268</v>
      </c>
      <c r="D20" s="1"/>
      <c r="E20" s="1"/>
      <c r="F20" s="1" t="s">
        <v>269</v>
      </c>
      <c r="G20" s="1" t="s">
        <v>268</v>
      </c>
      <c r="H20" s="1"/>
      <c r="I20" s="1" t="s">
        <v>270</v>
      </c>
      <c r="J20" s="1" t="s">
        <v>271</v>
      </c>
      <c r="K20" s="1" t="s">
        <v>272</v>
      </c>
      <c r="L20" s="1"/>
      <c r="M20" s="1"/>
      <c r="N20" s="1"/>
      <c r="O20" s="1"/>
      <c r="P20" s="2"/>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t="s">
        <v>273</v>
      </c>
      <c r="AR20" s="1"/>
      <c r="AS20" s="1"/>
      <c r="AT20" s="1"/>
      <c r="AU20" s="3">
        <v>2021</v>
      </c>
      <c r="AV20" s="2"/>
      <c r="AW20" s="2"/>
      <c r="AX20" s="2"/>
      <c r="AY20" s="2"/>
      <c r="AZ20" s="1"/>
      <c r="BA20" s="2"/>
      <c r="BB20" s="3">
        <v>267</v>
      </c>
      <c r="BC20" s="3">
        <v>272</v>
      </c>
      <c r="BD20" s="2"/>
      <c r="BE20" s="1"/>
      <c r="BF20" s="1"/>
      <c r="BG20" s="1" t="s">
        <v>274</v>
      </c>
      <c r="BH20" s="1"/>
      <c r="BI20" s="1"/>
      <c r="BJ20" s="1"/>
      <c r="BK20" s="1"/>
      <c r="BL20" s="1"/>
      <c r="BM20" s="1"/>
      <c r="BN20" s="2"/>
      <c r="BO20" s="1"/>
      <c r="BP20" s="1"/>
      <c r="BQ20" s="1"/>
      <c r="BR20" s="1"/>
      <c r="BS20" s="1" t="s">
        <v>275</v>
      </c>
      <c r="BT20" s="5">
        <f>HYPERLINK("https%3A%2F%2Fwww.webofscience.com%2Fwos%2Fwoscc%2Ffull-record%2FWOS:000807304300008","View Full Record in Web of Science")</f>
      </c>
    </row>
    <row x14ac:dyDescent="0.25" r="21" customHeight="1" ht="18.75">
      <c r="A21" s="1" t="s">
        <v>72</v>
      </c>
      <c r="B21" s="1" t="s">
        <v>276</v>
      </c>
      <c r="C21" s="1"/>
      <c r="D21" s="1"/>
      <c r="E21" s="1"/>
      <c r="F21" s="1" t="s">
        <v>277</v>
      </c>
      <c r="G21" s="1"/>
      <c r="H21" s="1"/>
      <c r="I21" s="1" t="s">
        <v>278</v>
      </c>
      <c r="J21" s="1" t="s">
        <v>279</v>
      </c>
      <c r="K21" s="1"/>
      <c r="L21" s="1"/>
      <c r="M21" s="1"/>
      <c r="N21" s="1"/>
      <c r="O21" s="1"/>
      <c r="P21" s="2"/>
      <c r="Q21" s="1"/>
      <c r="R21" s="1"/>
      <c r="S21" s="1"/>
      <c r="T21" s="1"/>
      <c r="U21" s="1"/>
      <c r="V21" s="1" t="s">
        <v>280</v>
      </c>
      <c r="W21" s="1"/>
      <c r="X21" s="1"/>
      <c r="Y21" s="1"/>
      <c r="Z21" s="1"/>
      <c r="AA21" s="1"/>
      <c r="AB21" s="1"/>
      <c r="AC21" s="1"/>
      <c r="AD21" s="1"/>
      <c r="AE21" s="1"/>
      <c r="AF21" s="1"/>
      <c r="AG21" s="1"/>
      <c r="AH21" s="1"/>
      <c r="AI21" s="1"/>
      <c r="AJ21" s="1"/>
      <c r="AK21" s="1"/>
      <c r="AL21" s="1"/>
      <c r="AM21" s="1"/>
      <c r="AN21" s="1"/>
      <c r="AO21" s="1"/>
      <c r="AP21" s="1" t="s">
        <v>281</v>
      </c>
      <c r="AQ21" s="1"/>
      <c r="AR21" s="1"/>
      <c r="AS21" s="1"/>
      <c r="AT21" s="1" t="s">
        <v>204</v>
      </c>
      <c r="AU21" s="3">
        <v>2020</v>
      </c>
      <c r="AV21" s="3">
        <v>9</v>
      </c>
      <c r="AW21" s="3">
        <v>12</v>
      </c>
      <c r="AX21" s="2"/>
      <c r="AY21" s="2"/>
      <c r="AZ21" s="1"/>
      <c r="BA21" s="2"/>
      <c r="BB21" s="2"/>
      <c r="BC21" s="2"/>
      <c r="BD21" s="3">
        <v>230</v>
      </c>
      <c r="BE21" s="1" t="s">
        <v>282</v>
      </c>
      <c r="BF21" s="4">
        <f>HYPERLINK("http://dx.doi.org/10.3390/socsci9120230","http://dx.doi.org/10.3390/socsci9120230")</f>
      </c>
      <c r="BG21" s="1"/>
      <c r="BH21" s="1"/>
      <c r="BI21" s="1"/>
      <c r="BJ21" s="1"/>
      <c r="BK21" s="1"/>
      <c r="BL21" s="1"/>
      <c r="BM21" s="1"/>
      <c r="BN21" s="2"/>
      <c r="BO21" s="1"/>
      <c r="BP21" s="1"/>
      <c r="BQ21" s="1"/>
      <c r="BR21" s="1"/>
      <c r="BS21" s="1" t="s">
        <v>283</v>
      </c>
      <c r="BT21" s="5">
        <f>HYPERLINK("https%3A%2F%2Fwww.webofscience.com%2Fwos%2Fwoscc%2Ffull-record%2FWOS:000683735900015","View Full Record in Web of Science")</f>
      </c>
    </row>
    <row x14ac:dyDescent="0.25" r="22" customHeight="1" ht="12.75">
      <c r="A22" s="1" t="s">
        <v>72</v>
      </c>
      <c r="B22" s="1" t="s">
        <v>284</v>
      </c>
      <c r="C22" s="1"/>
      <c r="D22" s="1"/>
      <c r="E22" s="1"/>
      <c r="F22" s="1" t="s">
        <v>285</v>
      </c>
      <c r="G22" s="1"/>
      <c r="H22" s="1"/>
      <c r="I22" s="1" t="s">
        <v>286</v>
      </c>
      <c r="J22" s="1" t="s">
        <v>287</v>
      </c>
      <c r="K22" s="1"/>
      <c r="L22" s="1"/>
      <c r="M22" s="1"/>
      <c r="N22" s="1"/>
      <c r="O22" s="1"/>
      <c r="P22" s="2"/>
      <c r="Q22" s="1"/>
      <c r="R22" s="1"/>
      <c r="S22" s="1"/>
      <c r="T22" s="1"/>
      <c r="U22" s="1"/>
      <c r="V22" s="1" t="s">
        <v>288</v>
      </c>
      <c r="W22" s="1"/>
      <c r="X22" s="1"/>
      <c r="Y22" s="1"/>
      <c r="Z22" s="1"/>
      <c r="AA22" s="1" t="s">
        <v>289</v>
      </c>
      <c r="AB22" s="1" t="s">
        <v>290</v>
      </c>
      <c r="AC22" s="1"/>
      <c r="AD22" s="1"/>
      <c r="AE22" s="1"/>
      <c r="AF22" s="1"/>
      <c r="AG22" s="1"/>
      <c r="AH22" s="1"/>
      <c r="AI22" s="1"/>
      <c r="AJ22" s="1"/>
      <c r="AK22" s="1"/>
      <c r="AL22" s="1"/>
      <c r="AM22" s="1"/>
      <c r="AN22" s="1"/>
      <c r="AO22" s="1"/>
      <c r="AP22" s="1" t="s">
        <v>291</v>
      </c>
      <c r="AQ22" s="1"/>
      <c r="AR22" s="1"/>
      <c r="AS22" s="1"/>
      <c r="AT22" s="1" t="s">
        <v>292</v>
      </c>
      <c r="AU22" s="3">
        <v>2020</v>
      </c>
      <c r="AV22" s="3">
        <v>6</v>
      </c>
      <c r="AW22" s="3">
        <v>3</v>
      </c>
      <c r="AX22" s="2"/>
      <c r="AY22" s="2"/>
      <c r="AZ22" s="1"/>
      <c r="BA22" s="2"/>
      <c r="BB22" s="2"/>
      <c r="BC22" s="2"/>
      <c r="BD22" s="3">
        <v>65</v>
      </c>
      <c r="BE22" s="1" t="s">
        <v>293</v>
      </c>
      <c r="BF22" s="4">
        <f>HYPERLINK("http://dx.doi.org/10.3390/fermentation6030065","http://dx.doi.org/10.3390/fermentation6030065")</f>
      </c>
      <c r="BG22" s="1"/>
      <c r="BH22" s="1"/>
      <c r="BI22" s="1"/>
      <c r="BJ22" s="1"/>
      <c r="BK22" s="1"/>
      <c r="BL22" s="1"/>
      <c r="BM22" s="1"/>
      <c r="BN22" s="2"/>
      <c r="BO22" s="1"/>
      <c r="BP22" s="1"/>
      <c r="BQ22" s="1"/>
      <c r="BR22" s="1"/>
      <c r="BS22" s="1" t="s">
        <v>294</v>
      </c>
      <c r="BT22" s="5">
        <f>HYPERLINK("https%3A%2F%2Fwww.webofscience.com%2Fwos%2Fwoscc%2Ffull-record%2FWOS:000578800200001","View Full Record in Web of Science")</f>
      </c>
    </row>
    <row x14ac:dyDescent="0.25" r="23" customHeight="1" ht="12.75">
      <c r="A23" s="1" t="s">
        <v>267</v>
      </c>
      <c r="B23" s="1" t="s">
        <v>295</v>
      </c>
      <c r="C23" s="1"/>
      <c r="D23" s="1" t="s">
        <v>296</v>
      </c>
      <c r="E23" s="1"/>
      <c r="F23" s="1" t="s">
        <v>297</v>
      </c>
      <c r="G23" s="1"/>
      <c r="H23" s="1"/>
      <c r="I23" s="1" t="s">
        <v>298</v>
      </c>
      <c r="J23" s="1" t="s">
        <v>299</v>
      </c>
      <c r="K23" s="1" t="s">
        <v>300</v>
      </c>
      <c r="L23" s="1"/>
      <c r="M23" s="1"/>
      <c r="N23" s="1"/>
      <c r="O23" s="1"/>
      <c r="P23" s="2"/>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t="s">
        <v>301</v>
      </c>
      <c r="AR23" s="1"/>
      <c r="AS23" s="1"/>
      <c r="AT23" s="1"/>
      <c r="AU23" s="3">
        <v>2020</v>
      </c>
      <c r="AV23" s="3">
        <v>8</v>
      </c>
      <c r="AW23" s="2"/>
      <c r="AX23" s="2"/>
      <c r="AY23" s="2"/>
      <c r="AZ23" s="1"/>
      <c r="BA23" s="2"/>
      <c r="BB23" s="3">
        <v>151</v>
      </c>
      <c r="BC23" s="3">
        <v>155</v>
      </c>
      <c r="BD23" s="2"/>
      <c r="BE23" s="1"/>
      <c r="BF23" s="1"/>
      <c r="BG23" s="1"/>
      <c r="BH23" s="1"/>
      <c r="BI23" s="1"/>
      <c r="BJ23" s="1"/>
      <c r="BK23" s="1"/>
      <c r="BL23" s="1"/>
      <c r="BM23" s="1"/>
      <c r="BN23" s="2"/>
      <c r="BO23" s="1"/>
      <c r="BP23" s="1"/>
      <c r="BQ23" s="1"/>
      <c r="BR23" s="1"/>
      <c r="BS23" s="1" t="s">
        <v>302</v>
      </c>
      <c r="BT23" s="5">
        <f>HYPERLINK("https%3A%2F%2Fwww.webofscience.com%2Fwos%2Fwoscc%2Ffull-record%2FWOS:000608865900037","View Full Record in Web of Science")</f>
      </c>
    </row>
    <row x14ac:dyDescent="0.25" r="24" customHeight="1" ht="12.75">
      <c r="A24" s="1" t="s">
        <v>303</v>
      </c>
      <c r="B24" s="1" t="s">
        <v>304</v>
      </c>
      <c r="C24" s="1"/>
      <c r="D24" s="1"/>
      <c r="E24" s="1" t="s">
        <v>305</v>
      </c>
      <c r="F24" s="1" t="s">
        <v>306</v>
      </c>
      <c r="G24" s="1"/>
      <c r="H24" s="1"/>
      <c r="I24" s="1" t="s">
        <v>307</v>
      </c>
      <c r="J24" s="1" t="s">
        <v>308</v>
      </c>
      <c r="K24" s="1" t="s">
        <v>309</v>
      </c>
      <c r="L24" s="1"/>
      <c r="M24" s="1"/>
      <c r="N24" s="1"/>
      <c r="O24" s="1" t="s">
        <v>310</v>
      </c>
      <c r="P24" s="2" t="s">
        <v>311</v>
      </c>
      <c r="Q24" s="1" t="s">
        <v>312</v>
      </c>
      <c r="R24" s="1" t="s">
        <v>313</v>
      </c>
      <c r="S24" s="1"/>
      <c r="T24" s="1"/>
      <c r="U24" s="1"/>
      <c r="V24" s="1" t="s">
        <v>314</v>
      </c>
      <c r="W24" s="1"/>
      <c r="X24" s="1"/>
      <c r="Y24" s="1"/>
      <c r="Z24" s="1"/>
      <c r="AA24" s="1"/>
      <c r="AB24" s="1"/>
      <c r="AC24" s="1"/>
      <c r="AD24" s="1"/>
      <c r="AE24" s="1"/>
      <c r="AF24" s="1"/>
      <c r="AG24" s="1"/>
      <c r="AH24" s="1"/>
      <c r="AI24" s="1"/>
      <c r="AJ24" s="1"/>
      <c r="AK24" s="1"/>
      <c r="AL24" s="1"/>
      <c r="AM24" s="1"/>
      <c r="AN24" s="1"/>
      <c r="AO24" s="1" t="s">
        <v>315</v>
      </c>
      <c r="AP24" s="1"/>
      <c r="AQ24" s="1" t="s">
        <v>316</v>
      </c>
      <c r="AR24" s="1"/>
      <c r="AS24" s="1"/>
      <c r="AT24" s="1"/>
      <c r="AU24" s="3">
        <v>2020</v>
      </c>
      <c r="AV24" s="2"/>
      <c r="AW24" s="2"/>
      <c r="AX24" s="2"/>
      <c r="AY24" s="2"/>
      <c r="AZ24" s="1"/>
      <c r="BA24" s="2"/>
      <c r="BB24" s="2"/>
      <c r="BC24" s="2"/>
      <c r="BD24" s="2"/>
      <c r="BE24" s="1" t="s">
        <v>317</v>
      </c>
      <c r="BF24" s="4">
        <f>HYPERLINK("http://dx.doi.org/10.1109/TDLA47668.2020.9326164","http://dx.doi.org/10.1109/TDLA47668.2020.9326164")</f>
      </c>
      <c r="BG24" s="1"/>
      <c r="BH24" s="1"/>
      <c r="BI24" s="1"/>
      <c r="BJ24" s="1"/>
      <c r="BK24" s="1"/>
      <c r="BL24" s="1"/>
      <c r="BM24" s="1"/>
      <c r="BN24" s="2"/>
      <c r="BO24" s="1"/>
      <c r="BP24" s="1"/>
      <c r="BQ24" s="1"/>
      <c r="BR24" s="1"/>
      <c r="BS24" s="1" t="s">
        <v>318</v>
      </c>
      <c r="BT24" s="5">
        <f>HYPERLINK("https%3A%2F%2Fwww.webofscience.com%2Fwos%2Fwoscc%2Ffull-record%2FWOS:000666965600036","View Full Record in Web of Science")</f>
      </c>
    </row>
    <row x14ac:dyDescent="0.25" r="25" customHeight="1" ht="12.75">
      <c r="A25" s="1" t="s">
        <v>72</v>
      </c>
      <c r="B25" s="1" t="s">
        <v>319</v>
      </c>
      <c r="C25" s="1"/>
      <c r="D25" s="1"/>
      <c r="E25" s="1"/>
      <c r="F25" s="1" t="s">
        <v>320</v>
      </c>
      <c r="G25" s="1"/>
      <c r="H25" s="1"/>
      <c r="I25" s="1" t="s">
        <v>321</v>
      </c>
      <c r="J25" s="1" t="s">
        <v>322</v>
      </c>
      <c r="K25" s="1"/>
      <c r="L25" s="1"/>
      <c r="M25" s="1"/>
      <c r="N25" s="1"/>
      <c r="O25" s="1"/>
      <c r="P25" s="2"/>
      <c r="Q25" s="1"/>
      <c r="R25" s="1"/>
      <c r="S25" s="1"/>
      <c r="T25" s="1"/>
      <c r="U25" s="1"/>
      <c r="V25" s="1" t="s">
        <v>323</v>
      </c>
      <c r="W25" s="1"/>
      <c r="X25" s="1"/>
      <c r="Y25" s="1"/>
      <c r="Z25" s="1"/>
      <c r="AA25" s="1" t="s">
        <v>324</v>
      </c>
      <c r="AB25" s="1"/>
      <c r="AC25" s="1"/>
      <c r="AD25" s="1"/>
      <c r="AE25" s="1"/>
      <c r="AF25" s="1"/>
      <c r="AG25" s="1"/>
      <c r="AH25" s="1"/>
      <c r="AI25" s="1"/>
      <c r="AJ25" s="1"/>
      <c r="AK25" s="1"/>
      <c r="AL25" s="1"/>
      <c r="AM25" s="1"/>
      <c r="AN25" s="1"/>
      <c r="AO25" s="1" t="s">
        <v>325</v>
      </c>
      <c r="AP25" s="1" t="s">
        <v>326</v>
      </c>
      <c r="AQ25" s="1"/>
      <c r="AR25" s="1"/>
      <c r="AS25" s="1"/>
      <c r="AT25" s="1" t="s">
        <v>292</v>
      </c>
      <c r="AU25" s="3">
        <v>2019</v>
      </c>
      <c r="AV25" s="3">
        <v>41</v>
      </c>
      <c r="AW25" s="3">
        <v>4</v>
      </c>
      <c r="AX25" s="2"/>
      <c r="AY25" s="2"/>
      <c r="AZ25" s="1"/>
      <c r="BA25" s="2"/>
      <c r="BB25" s="3">
        <v>673</v>
      </c>
      <c r="BC25" s="3">
        <v>694</v>
      </c>
      <c r="BD25" s="2"/>
      <c r="BE25" s="1" t="s">
        <v>327</v>
      </c>
      <c r="BF25" s="4">
        <f>HYPERLINK("http://dx.doi.org/10.1017/S0272263119000056","http://dx.doi.org/10.1017/S0272263119000056")</f>
      </c>
      <c r="BG25" s="1"/>
      <c r="BH25" s="1"/>
      <c r="BI25" s="1"/>
      <c r="BJ25" s="1"/>
      <c r="BK25" s="1"/>
      <c r="BL25" s="1"/>
      <c r="BM25" s="1"/>
      <c r="BN25" s="2"/>
      <c r="BO25" s="1"/>
      <c r="BP25" s="1"/>
      <c r="BQ25" s="1"/>
      <c r="BR25" s="1"/>
      <c r="BS25" s="1" t="s">
        <v>328</v>
      </c>
      <c r="BT25" s="5">
        <f>HYPERLINK("https%3A%2F%2Fwww.webofscience.com%2Fwos%2Fwoscc%2Ffull-record%2FWOS:000512977600002","View Full Record in Web of Science")</f>
      </c>
    </row>
    <row x14ac:dyDescent="0.25" r="26" customHeight="1" ht="12.75">
      <c r="A26" s="1" t="s">
        <v>72</v>
      </c>
      <c r="B26" s="1" t="s">
        <v>329</v>
      </c>
      <c r="C26" s="1"/>
      <c r="D26" s="1"/>
      <c r="E26" s="1"/>
      <c r="F26" s="1" t="s">
        <v>330</v>
      </c>
      <c r="G26" s="1"/>
      <c r="H26" s="1"/>
      <c r="I26" s="1" t="s">
        <v>331</v>
      </c>
      <c r="J26" s="1" t="s">
        <v>332</v>
      </c>
      <c r="K26" s="1"/>
      <c r="L26" s="1"/>
      <c r="M26" s="1"/>
      <c r="N26" s="1"/>
      <c r="O26" s="1"/>
      <c r="P26" s="2"/>
      <c r="Q26" s="1"/>
      <c r="R26" s="1"/>
      <c r="S26" s="1"/>
      <c r="T26" s="1"/>
      <c r="U26" s="1"/>
      <c r="V26" s="1" t="s">
        <v>333</v>
      </c>
      <c r="W26" s="1"/>
      <c r="X26" s="1"/>
      <c r="Y26" s="1"/>
      <c r="Z26" s="1"/>
      <c r="AA26" s="1" t="s">
        <v>334</v>
      </c>
      <c r="AB26" s="1" t="s">
        <v>335</v>
      </c>
      <c r="AC26" s="1"/>
      <c r="AD26" s="1"/>
      <c r="AE26" s="1"/>
      <c r="AF26" s="1"/>
      <c r="AG26" s="1"/>
      <c r="AH26" s="1"/>
      <c r="AI26" s="1"/>
      <c r="AJ26" s="1"/>
      <c r="AK26" s="1"/>
      <c r="AL26" s="1"/>
      <c r="AM26" s="1"/>
      <c r="AN26" s="1"/>
      <c r="AO26" s="1" t="s">
        <v>336</v>
      </c>
      <c r="AP26" s="1"/>
      <c r="AQ26" s="1"/>
      <c r="AR26" s="1"/>
      <c r="AS26" s="1"/>
      <c r="AT26" s="1" t="s">
        <v>337</v>
      </c>
      <c r="AU26" s="3">
        <v>2019</v>
      </c>
      <c r="AV26" s="3">
        <v>9</v>
      </c>
      <c r="AW26" s="3">
        <v>15</v>
      </c>
      <c r="AX26" s="2"/>
      <c r="AY26" s="2"/>
      <c r="AZ26" s="1"/>
      <c r="BA26" s="2"/>
      <c r="BB26" s="3">
        <v>8546</v>
      </c>
      <c r="BC26" s="3">
        <v>8556</v>
      </c>
      <c r="BD26" s="2"/>
      <c r="BE26" s="1" t="s">
        <v>338</v>
      </c>
      <c r="BF26" s="4">
        <f>HYPERLINK("http://dx.doi.org/10.1039/c8ra09630a","http://dx.doi.org/10.1039/c8ra09630a")</f>
      </c>
      <c r="BG26" s="1"/>
      <c r="BH26" s="1"/>
      <c r="BI26" s="1"/>
      <c r="BJ26" s="1"/>
      <c r="BK26" s="1"/>
      <c r="BL26" s="1"/>
      <c r="BM26" s="1"/>
      <c r="BN26" s="3">
        <v>35518659</v>
      </c>
      <c r="BO26" s="1"/>
      <c r="BP26" s="1"/>
      <c r="BQ26" s="1"/>
      <c r="BR26" s="1"/>
      <c r="BS26" s="1" t="s">
        <v>339</v>
      </c>
      <c r="BT26" s="5">
        <f>HYPERLINK("https%3A%2F%2Fwww.webofscience.com%2Fwos%2Fwoscc%2Ffull-record%2FWOS:000461445300048","View Full Record in Web of Science")</f>
      </c>
    </row>
    <row x14ac:dyDescent="0.25" r="27" customHeight="1" ht="12.75">
      <c r="A27" s="1" t="s">
        <v>72</v>
      </c>
      <c r="B27" s="1" t="s">
        <v>340</v>
      </c>
      <c r="C27" s="1"/>
      <c r="D27" s="1"/>
      <c r="E27" s="1"/>
      <c r="F27" s="1" t="s">
        <v>341</v>
      </c>
      <c r="G27" s="1"/>
      <c r="H27" s="1"/>
      <c r="I27" s="1" t="s">
        <v>342</v>
      </c>
      <c r="J27" s="1" t="s">
        <v>343</v>
      </c>
      <c r="K27" s="1"/>
      <c r="L27" s="1"/>
      <c r="M27" s="1"/>
      <c r="N27" s="1"/>
      <c r="O27" s="1"/>
      <c r="P27" s="2"/>
      <c r="Q27" s="1"/>
      <c r="R27" s="1"/>
      <c r="S27" s="1"/>
      <c r="T27" s="1"/>
      <c r="U27" s="1"/>
      <c r="V27" s="1" t="s">
        <v>344</v>
      </c>
      <c r="W27" s="1"/>
      <c r="X27" s="1"/>
      <c r="Y27" s="1"/>
      <c r="Z27" s="1"/>
      <c r="AA27" s="1"/>
      <c r="AB27" s="1"/>
      <c r="AC27" s="1"/>
      <c r="AD27" s="1"/>
      <c r="AE27" s="1"/>
      <c r="AF27" s="1"/>
      <c r="AG27" s="1"/>
      <c r="AH27" s="1"/>
      <c r="AI27" s="1"/>
      <c r="AJ27" s="1"/>
      <c r="AK27" s="1"/>
      <c r="AL27" s="1"/>
      <c r="AM27" s="1"/>
      <c r="AN27" s="1"/>
      <c r="AO27" s="1" t="s">
        <v>345</v>
      </c>
      <c r="AP27" s="1"/>
      <c r="AQ27" s="1"/>
      <c r="AR27" s="1"/>
      <c r="AS27" s="1"/>
      <c r="AT27" s="1"/>
      <c r="AU27" s="3">
        <v>2019</v>
      </c>
      <c r="AV27" s="3">
        <v>68</v>
      </c>
      <c r="AW27" s="3">
        <v>169</v>
      </c>
      <c r="AX27" s="2"/>
      <c r="AY27" s="2"/>
      <c r="AZ27" s="1"/>
      <c r="BA27" s="2"/>
      <c r="BB27" s="3">
        <v>219</v>
      </c>
      <c r="BC27" s="3">
        <v>240</v>
      </c>
      <c r="BD27" s="2"/>
      <c r="BE27" s="1" t="s">
        <v>346</v>
      </c>
      <c r="BF27" s="4">
        <f>HYPERLINK("http://dx.doi.org/10.15446/ideasyvalores.v68n169.62152","http://dx.doi.org/10.15446/ideasyvalores.v68n169.62152")</f>
      </c>
      <c r="BG27" s="1"/>
      <c r="BH27" s="1"/>
      <c r="BI27" s="1"/>
      <c r="BJ27" s="1"/>
      <c r="BK27" s="1"/>
      <c r="BL27" s="1"/>
      <c r="BM27" s="1"/>
      <c r="BN27" s="2"/>
      <c r="BO27" s="1"/>
      <c r="BP27" s="1"/>
      <c r="BQ27" s="1"/>
      <c r="BR27" s="1"/>
      <c r="BS27" s="1" t="s">
        <v>347</v>
      </c>
      <c r="BT27" s="5">
        <f>HYPERLINK("https%3A%2F%2Fwww.webofscience.com%2Fwos%2Fwoscc%2Ffull-record%2FWOS:000454724100009","View Full Record in Web of Science")</f>
      </c>
    </row>
    <row x14ac:dyDescent="0.25" r="28" customHeight="1" ht="12.75">
      <c r="A28" s="1" t="s">
        <v>72</v>
      </c>
      <c r="B28" s="1" t="s">
        <v>348</v>
      </c>
      <c r="C28" s="1"/>
      <c r="D28" s="1"/>
      <c r="E28" s="1"/>
      <c r="F28" s="1" t="s">
        <v>349</v>
      </c>
      <c r="G28" s="1"/>
      <c r="H28" s="1"/>
      <c r="I28" s="1" t="s">
        <v>350</v>
      </c>
      <c r="J28" s="1" t="s">
        <v>351</v>
      </c>
      <c r="K28" s="1"/>
      <c r="L28" s="1"/>
      <c r="M28" s="1"/>
      <c r="N28" s="1"/>
      <c r="O28" s="1"/>
      <c r="P28" s="2"/>
      <c r="Q28" s="1"/>
      <c r="R28" s="1"/>
      <c r="S28" s="1"/>
      <c r="T28" s="1"/>
      <c r="U28" s="1"/>
      <c r="V28" s="1"/>
      <c r="W28" s="1"/>
      <c r="X28" s="1"/>
      <c r="Y28" s="1"/>
      <c r="Z28" s="1"/>
      <c r="AA28" s="1"/>
      <c r="AB28" s="1"/>
      <c r="AC28" s="1"/>
      <c r="AD28" s="1"/>
      <c r="AE28" s="1"/>
      <c r="AF28" s="1"/>
      <c r="AG28" s="1"/>
      <c r="AH28" s="1"/>
      <c r="AI28" s="1"/>
      <c r="AJ28" s="1"/>
      <c r="AK28" s="1"/>
      <c r="AL28" s="1"/>
      <c r="AM28" s="1"/>
      <c r="AN28" s="1"/>
      <c r="AO28" s="1" t="s">
        <v>352</v>
      </c>
      <c r="AP28" s="1" t="s">
        <v>353</v>
      </c>
      <c r="AQ28" s="1"/>
      <c r="AR28" s="1"/>
      <c r="AS28" s="1"/>
      <c r="AT28" s="1"/>
      <c r="AU28" s="3">
        <v>2019</v>
      </c>
      <c r="AV28" s="2"/>
      <c r="AW28" s="3">
        <v>1</v>
      </c>
      <c r="AX28" s="2"/>
      <c r="AY28" s="2"/>
      <c r="AZ28" s="1"/>
      <c r="BA28" s="2"/>
      <c r="BB28" s="3">
        <v>11</v>
      </c>
      <c r="BC28" s="3">
        <v>23</v>
      </c>
      <c r="BD28" s="2"/>
      <c r="BE28" s="1"/>
      <c r="BF28" s="1"/>
      <c r="BG28" s="1"/>
      <c r="BH28" s="1"/>
      <c r="BI28" s="1"/>
      <c r="BJ28" s="1"/>
      <c r="BK28" s="1"/>
      <c r="BL28" s="1"/>
      <c r="BM28" s="1"/>
      <c r="BN28" s="2"/>
      <c r="BO28" s="1"/>
      <c r="BP28" s="1"/>
      <c r="BQ28" s="1"/>
      <c r="BR28" s="1"/>
      <c r="BS28" s="1" t="s">
        <v>354</v>
      </c>
      <c r="BT28" s="5">
        <f>HYPERLINK("https%3A%2F%2Fwww.webofscience.com%2Fwos%2Fwoscc%2Ffull-record%2FWOS:000460740500002","View Full Record in Web of Science")</f>
      </c>
    </row>
    <row x14ac:dyDescent="0.25" r="29" customHeight="1" ht="12.75">
      <c r="A29" s="1" t="s">
        <v>72</v>
      </c>
      <c r="B29" s="1" t="s">
        <v>355</v>
      </c>
      <c r="C29" s="1"/>
      <c r="D29" s="1"/>
      <c r="E29" s="1"/>
      <c r="F29" s="1" t="s">
        <v>356</v>
      </c>
      <c r="G29" s="1"/>
      <c r="H29" s="1"/>
      <c r="I29" s="1" t="s">
        <v>357</v>
      </c>
      <c r="J29" s="1" t="s">
        <v>358</v>
      </c>
      <c r="K29" s="1"/>
      <c r="L29" s="1"/>
      <c r="M29" s="1"/>
      <c r="N29" s="1"/>
      <c r="O29" s="1"/>
      <c r="P29" s="2"/>
      <c r="Q29" s="1"/>
      <c r="R29" s="1"/>
      <c r="S29" s="1"/>
      <c r="T29" s="1"/>
      <c r="U29" s="1"/>
      <c r="V29" s="1"/>
      <c r="W29" s="1"/>
      <c r="X29" s="1"/>
      <c r="Y29" s="1"/>
      <c r="Z29" s="1"/>
      <c r="AA29" s="1"/>
      <c r="AB29" s="1"/>
      <c r="AC29" s="1"/>
      <c r="AD29" s="1"/>
      <c r="AE29" s="1"/>
      <c r="AF29" s="1"/>
      <c r="AG29" s="1"/>
      <c r="AH29" s="1"/>
      <c r="AI29" s="1"/>
      <c r="AJ29" s="1"/>
      <c r="AK29" s="1"/>
      <c r="AL29" s="1"/>
      <c r="AM29" s="1"/>
      <c r="AN29" s="1"/>
      <c r="AO29" s="1" t="s">
        <v>359</v>
      </c>
      <c r="AP29" s="1"/>
      <c r="AQ29" s="1"/>
      <c r="AR29" s="1"/>
      <c r="AS29" s="1"/>
      <c r="AT29" s="1" t="s">
        <v>181</v>
      </c>
      <c r="AU29" s="3">
        <v>2019</v>
      </c>
      <c r="AV29" s="3">
        <v>52</v>
      </c>
      <c r="AW29" s="3">
        <v>1</v>
      </c>
      <c r="AX29" s="2"/>
      <c r="AY29" s="2"/>
      <c r="AZ29" s="1"/>
      <c r="BA29" s="2"/>
      <c r="BB29" s="3">
        <v>267</v>
      </c>
      <c r="BC29" s="3">
        <v>269</v>
      </c>
      <c r="BD29" s="2"/>
      <c r="BE29" s="1"/>
      <c r="BF29" s="1"/>
      <c r="BG29" s="1"/>
      <c r="BH29" s="1"/>
      <c r="BI29" s="1"/>
      <c r="BJ29" s="1"/>
      <c r="BK29" s="1"/>
      <c r="BL29" s="1"/>
      <c r="BM29" s="1"/>
      <c r="BN29" s="2"/>
      <c r="BO29" s="1"/>
      <c r="BP29" s="1"/>
      <c r="BQ29" s="1"/>
      <c r="BR29" s="1"/>
      <c r="BS29" s="1" t="s">
        <v>360</v>
      </c>
      <c r="BT29" s="5">
        <f>HYPERLINK("https%3A%2F%2Fwww.webofscience.com%2Fwos%2Fwoscc%2Ffull-record%2FWOS:000481651900013","View Full Record in Web of Science")</f>
      </c>
    </row>
    <row x14ac:dyDescent="0.25" r="30" customHeight="1" ht="12.75">
      <c r="A30" s="1" t="s">
        <v>72</v>
      </c>
      <c r="B30" s="1" t="s">
        <v>361</v>
      </c>
      <c r="C30" s="1"/>
      <c r="D30" s="1"/>
      <c r="E30" s="1"/>
      <c r="F30" s="1" t="s">
        <v>362</v>
      </c>
      <c r="G30" s="1"/>
      <c r="H30" s="1"/>
      <c r="I30" s="1" t="s">
        <v>363</v>
      </c>
      <c r="J30" s="1" t="s">
        <v>364</v>
      </c>
      <c r="K30" s="1"/>
      <c r="L30" s="1"/>
      <c r="M30" s="1"/>
      <c r="N30" s="1"/>
      <c r="O30" s="1"/>
      <c r="P30" s="2"/>
      <c r="Q30" s="1"/>
      <c r="R30" s="1"/>
      <c r="S30" s="1"/>
      <c r="T30" s="1"/>
      <c r="U30" s="1"/>
      <c r="V30" s="1" t="s">
        <v>365</v>
      </c>
      <c r="W30" s="1"/>
      <c r="X30" s="1"/>
      <c r="Y30" s="1"/>
      <c r="Z30" s="1"/>
      <c r="AA30" s="1"/>
      <c r="AB30" s="1"/>
      <c r="AC30" s="1"/>
      <c r="AD30" s="1"/>
      <c r="AE30" s="1"/>
      <c r="AF30" s="1"/>
      <c r="AG30" s="1"/>
      <c r="AH30" s="1"/>
      <c r="AI30" s="1"/>
      <c r="AJ30" s="1"/>
      <c r="AK30" s="1"/>
      <c r="AL30" s="1"/>
      <c r="AM30" s="1"/>
      <c r="AN30" s="1"/>
      <c r="AO30" s="1" t="s">
        <v>366</v>
      </c>
      <c r="AP30" s="1" t="s">
        <v>367</v>
      </c>
      <c r="AQ30" s="1"/>
      <c r="AR30" s="1"/>
      <c r="AS30" s="1"/>
      <c r="AT30" s="1"/>
      <c r="AU30" s="3">
        <v>2019</v>
      </c>
      <c r="AV30" s="3">
        <v>76</v>
      </c>
      <c r="AW30" s="2"/>
      <c r="AX30" s="2"/>
      <c r="AY30" s="2"/>
      <c r="AZ30" s="1"/>
      <c r="BA30" s="2"/>
      <c r="BB30" s="3">
        <v>29</v>
      </c>
      <c r="BC30" s="3">
        <v>37</v>
      </c>
      <c r="BD30" s="2"/>
      <c r="BE30" s="1"/>
      <c r="BF30" s="1"/>
      <c r="BG30" s="1"/>
      <c r="BH30" s="1"/>
      <c r="BI30" s="1"/>
      <c r="BJ30" s="1"/>
      <c r="BK30" s="1"/>
      <c r="BL30" s="1"/>
      <c r="BM30" s="1"/>
      <c r="BN30" s="2"/>
      <c r="BO30" s="1"/>
      <c r="BP30" s="1"/>
      <c r="BQ30" s="1"/>
      <c r="BR30" s="1"/>
      <c r="BS30" s="1" t="s">
        <v>368</v>
      </c>
      <c r="BT30" s="5">
        <f>HYPERLINK("https%3A%2F%2Fwww.webofscience.com%2Fwos%2Fwoscc%2Ffull-record%2FWOS:000594488700003","View Full Record in Web of Science")</f>
      </c>
    </row>
    <row x14ac:dyDescent="0.25" r="31" customHeight="1" ht="12.75">
      <c r="A31" s="1" t="s">
        <v>267</v>
      </c>
      <c r="B31" s="1" t="s">
        <v>369</v>
      </c>
      <c r="C31" s="1"/>
      <c r="D31" s="1"/>
      <c r="E31" s="1" t="s">
        <v>370</v>
      </c>
      <c r="F31" s="1" t="s">
        <v>371</v>
      </c>
      <c r="G31" s="1"/>
      <c r="H31" s="1"/>
      <c r="I31" s="1" t="s">
        <v>372</v>
      </c>
      <c r="J31" s="1" t="s">
        <v>373</v>
      </c>
      <c r="K31" s="1"/>
      <c r="L31" s="1"/>
      <c r="M31" s="1"/>
      <c r="N31" s="1"/>
      <c r="O31" s="1"/>
      <c r="P31" s="2"/>
      <c r="Q31" s="1"/>
      <c r="R31" s="1"/>
      <c r="S31" s="1"/>
      <c r="T31" s="1"/>
      <c r="U31" s="1"/>
      <c r="V31" s="1" t="s">
        <v>374</v>
      </c>
      <c r="W31" s="1"/>
      <c r="X31" s="1"/>
      <c r="Y31" s="1"/>
      <c r="Z31" s="1"/>
      <c r="AA31" s="1" t="s">
        <v>375</v>
      </c>
      <c r="AB31" s="1"/>
      <c r="AC31" s="1"/>
      <c r="AD31" s="1"/>
      <c r="AE31" s="1"/>
      <c r="AF31" s="1"/>
      <c r="AG31" s="1"/>
      <c r="AH31" s="1"/>
      <c r="AI31" s="1"/>
      <c r="AJ31" s="1"/>
      <c r="AK31" s="1"/>
      <c r="AL31" s="1"/>
      <c r="AM31" s="1"/>
      <c r="AN31" s="1"/>
      <c r="AO31" s="1"/>
      <c r="AP31" s="1"/>
      <c r="AQ31" s="1" t="s">
        <v>376</v>
      </c>
      <c r="AR31" s="1"/>
      <c r="AS31" s="1"/>
      <c r="AT31" s="1"/>
      <c r="AU31" s="3">
        <v>2018</v>
      </c>
      <c r="AV31" s="2"/>
      <c r="AW31" s="2"/>
      <c r="AX31" s="2"/>
      <c r="AY31" s="2"/>
      <c r="AZ31" s="1"/>
      <c r="BA31" s="2"/>
      <c r="BB31" s="3">
        <v>63</v>
      </c>
      <c r="BC31" s="3">
        <v>79</v>
      </c>
      <c r="BD31" s="2"/>
      <c r="BE31" s="1"/>
      <c r="BF31" s="1"/>
      <c r="BG31" s="1"/>
      <c r="BH31" s="1"/>
      <c r="BI31" s="1"/>
      <c r="BJ31" s="1"/>
      <c r="BK31" s="1"/>
      <c r="BL31" s="1"/>
      <c r="BM31" s="1"/>
      <c r="BN31" s="2"/>
      <c r="BO31" s="1"/>
      <c r="BP31" s="1"/>
      <c r="BQ31" s="1"/>
      <c r="BR31" s="1"/>
      <c r="BS31" s="1" t="s">
        <v>377</v>
      </c>
      <c r="BT31" s="5">
        <f>HYPERLINK("https%3A%2F%2Fwww.webofscience.com%2Fwos%2Fwoscc%2Ffull-record%2FWOS:000480327100005","View Full Record in Web of Science")</f>
      </c>
    </row>
    <row x14ac:dyDescent="0.25" r="32" customHeight="1" ht="12.75">
      <c r="A32" s="1" t="s">
        <v>267</v>
      </c>
      <c r="B32" s="1" t="s">
        <v>378</v>
      </c>
      <c r="C32" s="1"/>
      <c r="D32" s="1" t="s">
        <v>379</v>
      </c>
      <c r="E32" s="1"/>
      <c r="F32" s="1" t="s">
        <v>380</v>
      </c>
      <c r="G32" s="1"/>
      <c r="H32" s="1"/>
      <c r="I32" s="1" t="s">
        <v>381</v>
      </c>
      <c r="J32" s="1" t="s">
        <v>382</v>
      </c>
      <c r="K32" s="1"/>
      <c r="L32" s="1"/>
      <c r="M32" s="1"/>
      <c r="N32" s="1"/>
      <c r="O32" s="1"/>
      <c r="P32" s="2"/>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t="s">
        <v>383</v>
      </c>
      <c r="AR32" s="1"/>
      <c r="AS32" s="1"/>
      <c r="AT32" s="1"/>
      <c r="AU32" s="3">
        <v>2018</v>
      </c>
      <c r="AV32" s="2"/>
      <c r="AW32" s="2"/>
      <c r="AX32" s="2"/>
      <c r="AY32" s="2"/>
      <c r="AZ32" s="1"/>
      <c r="BA32" s="2"/>
      <c r="BB32" s="3">
        <v>125</v>
      </c>
      <c r="BC32" s="3">
        <v>135</v>
      </c>
      <c r="BD32" s="2"/>
      <c r="BE32" s="1"/>
      <c r="BF32" s="1"/>
      <c r="BG32" s="1"/>
      <c r="BH32" s="1"/>
      <c r="BI32" s="1"/>
      <c r="BJ32" s="1"/>
      <c r="BK32" s="1"/>
      <c r="BL32" s="1"/>
      <c r="BM32" s="1"/>
      <c r="BN32" s="2"/>
      <c r="BO32" s="1"/>
      <c r="BP32" s="1"/>
      <c r="BQ32" s="1"/>
      <c r="BR32" s="1"/>
      <c r="BS32" s="1" t="s">
        <v>384</v>
      </c>
      <c r="BT32" s="5">
        <f>HYPERLINK("https%3A%2F%2Fwww.webofscience.com%2Fwos%2Fwoscc%2Ffull-record%2FWOS:000462868900008","View Full Record in Web of Science")</f>
      </c>
    </row>
    <row x14ac:dyDescent="0.25" r="33" customHeight="1" ht="12.75">
      <c r="A33" s="1" t="s">
        <v>267</v>
      </c>
      <c r="B33" s="1" t="s">
        <v>385</v>
      </c>
      <c r="C33" s="1"/>
      <c r="D33" s="1"/>
      <c r="E33" s="1" t="s">
        <v>370</v>
      </c>
      <c r="F33" s="1" t="s">
        <v>386</v>
      </c>
      <c r="G33" s="1"/>
      <c r="H33" s="1"/>
      <c r="I33" s="1" t="s">
        <v>387</v>
      </c>
      <c r="J33" s="1" t="s">
        <v>373</v>
      </c>
      <c r="K33" s="1"/>
      <c r="L33" s="1"/>
      <c r="M33" s="1"/>
      <c r="N33" s="1"/>
      <c r="O33" s="1"/>
      <c r="P33" s="2"/>
      <c r="Q33" s="1"/>
      <c r="R33" s="1"/>
      <c r="S33" s="1"/>
      <c r="T33" s="1"/>
      <c r="U33" s="1"/>
      <c r="V33" s="1" t="s">
        <v>388</v>
      </c>
      <c r="W33" s="1"/>
      <c r="X33" s="1"/>
      <c r="Y33" s="1"/>
      <c r="Z33" s="1"/>
      <c r="AA33" s="1" t="s">
        <v>389</v>
      </c>
      <c r="AB33" s="1"/>
      <c r="AC33" s="1"/>
      <c r="AD33" s="1"/>
      <c r="AE33" s="1"/>
      <c r="AF33" s="1"/>
      <c r="AG33" s="1"/>
      <c r="AH33" s="1"/>
      <c r="AI33" s="1"/>
      <c r="AJ33" s="1"/>
      <c r="AK33" s="1"/>
      <c r="AL33" s="1"/>
      <c r="AM33" s="1"/>
      <c r="AN33" s="1"/>
      <c r="AO33" s="1"/>
      <c r="AP33" s="1"/>
      <c r="AQ33" s="1" t="s">
        <v>376</v>
      </c>
      <c r="AR33" s="1"/>
      <c r="AS33" s="1"/>
      <c r="AT33" s="1"/>
      <c r="AU33" s="3">
        <v>2018</v>
      </c>
      <c r="AV33" s="2"/>
      <c r="AW33" s="2"/>
      <c r="AX33" s="2"/>
      <c r="AY33" s="2"/>
      <c r="AZ33" s="1"/>
      <c r="BA33" s="2"/>
      <c r="BB33" s="3">
        <v>205</v>
      </c>
      <c r="BC33" s="3">
        <v>213</v>
      </c>
      <c r="BD33" s="2"/>
      <c r="BE33" s="1"/>
      <c r="BF33" s="1"/>
      <c r="BG33" s="1"/>
      <c r="BH33" s="1"/>
      <c r="BI33" s="1"/>
      <c r="BJ33" s="1"/>
      <c r="BK33" s="1"/>
      <c r="BL33" s="1"/>
      <c r="BM33" s="1"/>
      <c r="BN33" s="2"/>
      <c r="BO33" s="1"/>
      <c r="BP33" s="1"/>
      <c r="BQ33" s="1"/>
      <c r="BR33" s="1"/>
      <c r="BS33" s="1" t="s">
        <v>390</v>
      </c>
      <c r="BT33" s="5">
        <f>HYPERLINK("https%3A%2F%2Fwww.webofscience.com%2Fwos%2Fwoscc%2Ffull-record%2FWOS:000480327100014","View Full Record in Web of Science")</f>
      </c>
    </row>
    <row x14ac:dyDescent="0.25" r="34" customHeight="1" ht="12.75">
      <c r="A34" s="1" t="s">
        <v>303</v>
      </c>
      <c r="B34" s="1" t="s">
        <v>391</v>
      </c>
      <c r="C34" s="1"/>
      <c r="D34" s="1" t="s">
        <v>392</v>
      </c>
      <c r="E34" s="1"/>
      <c r="F34" s="1" t="s">
        <v>393</v>
      </c>
      <c r="G34" s="1"/>
      <c r="H34" s="1"/>
      <c r="I34" s="1" t="s">
        <v>394</v>
      </c>
      <c r="J34" s="1" t="s">
        <v>395</v>
      </c>
      <c r="K34" s="1"/>
      <c r="L34" s="1"/>
      <c r="M34" s="1"/>
      <c r="N34" s="1"/>
      <c r="O34" s="1" t="s">
        <v>396</v>
      </c>
      <c r="P34" s="2" t="s">
        <v>397</v>
      </c>
      <c r="Q34" s="1" t="s">
        <v>398</v>
      </c>
      <c r="R34" s="1" t="s">
        <v>399</v>
      </c>
      <c r="S34" s="1"/>
      <c r="T34" s="1"/>
      <c r="U34" s="1"/>
      <c r="V34" s="1" t="s">
        <v>400</v>
      </c>
      <c r="W34" s="1"/>
      <c r="X34" s="1"/>
      <c r="Y34" s="1"/>
      <c r="Z34" s="1"/>
      <c r="AA34" s="1"/>
      <c r="AB34" s="1"/>
      <c r="AC34" s="1"/>
      <c r="AD34" s="1"/>
      <c r="AE34" s="1"/>
      <c r="AF34" s="1"/>
      <c r="AG34" s="1"/>
      <c r="AH34" s="1"/>
      <c r="AI34" s="1"/>
      <c r="AJ34" s="1"/>
      <c r="AK34" s="1"/>
      <c r="AL34" s="1"/>
      <c r="AM34" s="1"/>
      <c r="AN34" s="1"/>
      <c r="AO34" s="1"/>
      <c r="AP34" s="1"/>
      <c r="AQ34" s="1" t="s">
        <v>401</v>
      </c>
      <c r="AR34" s="1"/>
      <c r="AS34" s="1"/>
      <c r="AT34" s="1"/>
      <c r="AU34" s="3">
        <v>2018</v>
      </c>
      <c r="AV34" s="2"/>
      <c r="AW34" s="2"/>
      <c r="AX34" s="2"/>
      <c r="AY34" s="2"/>
      <c r="AZ34" s="1"/>
      <c r="BA34" s="2"/>
      <c r="BB34" s="2"/>
      <c r="BC34" s="2"/>
      <c r="BD34" s="2"/>
      <c r="BE34" s="1"/>
      <c r="BF34" s="1"/>
      <c r="BG34" s="1"/>
      <c r="BH34" s="1"/>
      <c r="BI34" s="1"/>
      <c r="BJ34" s="1"/>
      <c r="BK34" s="1"/>
      <c r="BL34" s="1"/>
      <c r="BM34" s="1"/>
      <c r="BN34" s="2"/>
      <c r="BO34" s="1"/>
      <c r="BP34" s="1"/>
      <c r="BQ34" s="1"/>
      <c r="BR34" s="1"/>
      <c r="BS34" s="1" t="s">
        <v>402</v>
      </c>
      <c r="BT34" s="5">
        <f>HYPERLINK("https%3A%2F%2Fwww.webofscience.com%2Fwos%2Fwoscc%2Ffull-record%2FWOS:000458417600100","View Full Record in Web of Science")</f>
      </c>
    </row>
    <row x14ac:dyDescent="0.25" r="35" customHeight="1" ht="12.75">
      <c r="A35" s="1" t="s">
        <v>267</v>
      </c>
      <c r="B35" s="1" t="s">
        <v>403</v>
      </c>
      <c r="C35" s="1"/>
      <c r="D35" s="1" t="s">
        <v>404</v>
      </c>
      <c r="E35" s="1"/>
      <c r="F35" s="1" t="s">
        <v>405</v>
      </c>
      <c r="G35" s="1"/>
      <c r="H35" s="1"/>
      <c r="I35" s="1" t="s">
        <v>406</v>
      </c>
      <c r="J35" s="1" t="s">
        <v>407</v>
      </c>
      <c r="K35" s="1"/>
      <c r="L35" s="1"/>
      <c r="M35" s="1"/>
      <c r="N35" s="1"/>
      <c r="O35" s="1"/>
      <c r="P35" s="2"/>
      <c r="Q35" s="1"/>
      <c r="R35" s="1"/>
      <c r="S35" s="1"/>
      <c r="T35" s="1"/>
      <c r="U35" s="1"/>
      <c r="V35" s="1"/>
      <c r="W35" s="1"/>
      <c r="X35" s="1"/>
      <c r="Y35" s="1"/>
      <c r="Z35" s="1"/>
      <c r="AA35" s="1" t="s">
        <v>408</v>
      </c>
      <c r="AB35" s="1" t="s">
        <v>409</v>
      </c>
      <c r="AC35" s="1"/>
      <c r="AD35" s="1"/>
      <c r="AE35" s="1"/>
      <c r="AF35" s="1"/>
      <c r="AG35" s="1"/>
      <c r="AH35" s="1"/>
      <c r="AI35" s="1"/>
      <c r="AJ35" s="1"/>
      <c r="AK35" s="1"/>
      <c r="AL35" s="1"/>
      <c r="AM35" s="1"/>
      <c r="AN35" s="1"/>
      <c r="AO35" s="1"/>
      <c r="AP35" s="1"/>
      <c r="AQ35" s="1" t="s">
        <v>410</v>
      </c>
      <c r="AR35" s="1"/>
      <c r="AS35" s="1"/>
      <c r="AT35" s="1"/>
      <c r="AU35" s="3">
        <v>2018</v>
      </c>
      <c r="AV35" s="2"/>
      <c r="AW35" s="2"/>
      <c r="AX35" s="2"/>
      <c r="AY35" s="2"/>
      <c r="AZ35" s="1"/>
      <c r="BA35" s="2"/>
      <c r="BB35" s="3">
        <v>393</v>
      </c>
      <c r="BC35" s="3">
        <v>419</v>
      </c>
      <c r="BD35" s="2"/>
      <c r="BE35" s="1" t="s">
        <v>411</v>
      </c>
      <c r="BF35" s="4">
        <f>HYPERLINK("http://dx.doi.org/10.1016/B978-0-12-813160-2.00015-8","http://dx.doi.org/10.1016/B978-0-12-813160-2.00015-8")</f>
      </c>
      <c r="BG35" s="1"/>
      <c r="BH35" s="1"/>
      <c r="BI35" s="1"/>
      <c r="BJ35" s="1"/>
      <c r="BK35" s="1"/>
      <c r="BL35" s="1"/>
      <c r="BM35" s="1"/>
      <c r="BN35" s="2"/>
      <c r="BO35" s="1"/>
      <c r="BP35" s="1"/>
      <c r="BQ35" s="1"/>
      <c r="BR35" s="1"/>
      <c r="BS35" s="1" t="s">
        <v>412</v>
      </c>
      <c r="BT35" s="5">
        <f>HYPERLINK("https%3A%2F%2Fwww.webofscience.com%2Fwos%2Fwoscc%2Ffull-record%2FWOS:000464873400016","View Full Record in Web of Science")</f>
      </c>
    </row>
    <row x14ac:dyDescent="0.25" r="36" customHeight="1" ht="12.75">
      <c r="A36" s="1" t="s">
        <v>72</v>
      </c>
      <c r="B36" s="1" t="s">
        <v>413</v>
      </c>
      <c r="C36" s="1"/>
      <c r="D36" s="1"/>
      <c r="E36" s="1"/>
      <c r="F36" s="1" t="s">
        <v>414</v>
      </c>
      <c r="G36" s="1"/>
      <c r="H36" s="1"/>
      <c r="I36" s="1" t="s">
        <v>415</v>
      </c>
      <c r="J36" s="1" t="s">
        <v>416</v>
      </c>
      <c r="K36" s="1"/>
      <c r="L36" s="1"/>
      <c r="M36" s="1"/>
      <c r="N36" s="1"/>
      <c r="O36" s="1"/>
      <c r="P36" s="2"/>
      <c r="Q36" s="1"/>
      <c r="R36" s="1"/>
      <c r="S36" s="1"/>
      <c r="T36" s="1"/>
      <c r="U36" s="1"/>
      <c r="V36" s="1"/>
      <c r="W36" s="1"/>
      <c r="X36" s="1"/>
      <c r="Y36" s="1"/>
      <c r="Z36" s="1"/>
      <c r="AA36" s="1"/>
      <c r="AB36" s="1" t="s">
        <v>417</v>
      </c>
      <c r="AC36" s="1"/>
      <c r="AD36" s="1"/>
      <c r="AE36" s="1"/>
      <c r="AF36" s="1"/>
      <c r="AG36" s="1"/>
      <c r="AH36" s="1"/>
      <c r="AI36" s="1"/>
      <c r="AJ36" s="1"/>
      <c r="AK36" s="1"/>
      <c r="AL36" s="1"/>
      <c r="AM36" s="1"/>
      <c r="AN36" s="1"/>
      <c r="AO36" s="1" t="s">
        <v>418</v>
      </c>
      <c r="AP36" s="1" t="s">
        <v>419</v>
      </c>
      <c r="AQ36" s="1"/>
      <c r="AR36" s="1"/>
      <c r="AS36" s="1"/>
      <c r="AT36" s="1" t="s">
        <v>103</v>
      </c>
      <c r="AU36" s="3">
        <v>2018</v>
      </c>
      <c r="AV36" s="3">
        <v>41</v>
      </c>
      <c r="AW36" s="3">
        <v>1</v>
      </c>
      <c r="AX36" s="2"/>
      <c r="AY36" s="2"/>
      <c r="AZ36" s="1"/>
      <c r="BA36" s="2"/>
      <c r="BB36" s="3">
        <v>157</v>
      </c>
      <c r="BC36" s="3">
        <v>159</v>
      </c>
      <c r="BD36" s="2"/>
      <c r="BE36" s="1" t="s">
        <v>420</v>
      </c>
      <c r="BF36" s="4">
        <f>HYPERLINK("http://dx.doi.org/10.1111/jfd.12669","http://dx.doi.org/10.1111/jfd.12669")</f>
      </c>
      <c r="BG36" s="1"/>
      <c r="BH36" s="1"/>
      <c r="BI36" s="1"/>
      <c r="BJ36" s="1"/>
      <c r="BK36" s="1"/>
      <c r="BL36" s="1"/>
      <c r="BM36" s="1"/>
      <c r="BN36" s="3">
        <v>28736920</v>
      </c>
      <c r="BO36" s="1"/>
      <c r="BP36" s="1"/>
      <c r="BQ36" s="1"/>
      <c r="BR36" s="1"/>
      <c r="BS36" s="1" t="s">
        <v>421</v>
      </c>
      <c r="BT36" s="5">
        <f>HYPERLINK("https%3A%2F%2Fwww.webofscience.com%2Fwos%2Fwoscc%2Ffull-record%2FWOS:000418245400019","View Full Record in Web of Science")</f>
      </c>
    </row>
    <row x14ac:dyDescent="0.25" r="37" customHeight="1" ht="12.75">
      <c r="A37" s="1" t="s">
        <v>72</v>
      </c>
      <c r="B37" s="1" t="s">
        <v>422</v>
      </c>
      <c r="C37" s="1"/>
      <c r="D37" s="1"/>
      <c r="E37" s="1"/>
      <c r="F37" s="1" t="s">
        <v>423</v>
      </c>
      <c r="G37" s="1"/>
      <c r="H37" s="1"/>
      <c r="I37" s="1" t="s">
        <v>424</v>
      </c>
      <c r="J37" s="1" t="s">
        <v>425</v>
      </c>
      <c r="K37" s="1"/>
      <c r="L37" s="1"/>
      <c r="M37" s="1"/>
      <c r="N37" s="1"/>
      <c r="O37" s="1"/>
      <c r="P37" s="2"/>
      <c r="Q37" s="1"/>
      <c r="R37" s="1"/>
      <c r="S37" s="1"/>
      <c r="T37" s="1"/>
      <c r="U37" s="1"/>
      <c r="V37" s="1" t="s">
        <v>426</v>
      </c>
      <c r="W37" s="1"/>
      <c r="X37" s="1"/>
      <c r="Y37" s="1"/>
      <c r="Z37" s="1"/>
      <c r="AA37" s="1" t="s">
        <v>427</v>
      </c>
      <c r="AB37" s="1" t="s">
        <v>428</v>
      </c>
      <c r="AC37" s="1"/>
      <c r="AD37" s="1"/>
      <c r="AE37" s="1"/>
      <c r="AF37" s="1"/>
      <c r="AG37" s="1"/>
      <c r="AH37" s="1"/>
      <c r="AI37" s="1"/>
      <c r="AJ37" s="1"/>
      <c r="AK37" s="1"/>
      <c r="AL37" s="1"/>
      <c r="AM37" s="1"/>
      <c r="AN37" s="1"/>
      <c r="AO37" s="1" t="s">
        <v>429</v>
      </c>
      <c r="AP37" s="1" t="s">
        <v>430</v>
      </c>
      <c r="AQ37" s="1"/>
      <c r="AR37" s="1"/>
      <c r="AS37" s="1"/>
      <c r="AT37" s="1" t="s">
        <v>431</v>
      </c>
      <c r="AU37" s="3">
        <v>2017</v>
      </c>
      <c r="AV37" s="3">
        <v>39</v>
      </c>
      <c r="AW37" s="3">
        <v>10</v>
      </c>
      <c r="AX37" s="2"/>
      <c r="AY37" s="2"/>
      <c r="AZ37" s="1"/>
      <c r="BA37" s="2"/>
      <c r="BB37" s="3">
        <v>3965</v>
      </c>
      <c r="BC37" s="3">
        <v>3979</v>
      </c>
      <c r="BD37" s="2"/>
      <c r="BE37" s="1" t="s">
        <v>432</v>
      </c>
      <c r="BF37" s="4">
        <f>HYPERLINK("http://dx.doi.org/10.1007/s40430-017-0882-x","http://dx.doi.org/10.1007/s40430-017-0882-x")</f>
      </c>
      <c r="BG37" s="1"/>
      <c r="BH37" s="1"/>
      <c r="BI37" s="1"/>
      <c r="BJ37" s="1"/>
      <c r="BK37" s="1"/>
      <c r="BL37" s="1"/>
      <c r="BM37" s="1"/>
      <c r="BN37" s="2"/>
      <c r="BO37" s="1"/>
      <c r="BP37" s="1"/>
      <c r="BQ37" s="1"/>
      <c r="BR37" s="1"/>
      <c r="BS37" s="1" t="s">
        <v>433</v>
      </c>
      <c r="BT37" s="5">
        <f>HYPERLINK("https%3A%2F%2Fwww.webofscience.com%2Fwos%2Fwoscc%2Ffull-record%2FWOS:000411127300019","View Full Record in Web of Science")</f>
      </c>
    </row>
    <row x14ac:dyDescent="0.25" r="38" customHeight="1" ht="12.75">
      <c r="A38" s="1" t="s">
        <v>72</v>
      </c>
      <c r="B38" s="1" t="s">
        <v>434</v>
      </c>
      <c r="C38" s="1"/>
      <c r="D38" s="1"/>
      <c r="E38" s="1"/>
      <c r="F38" s="1" t="s">
        <v>435</v>
      </c>
      <c r="G38" s="1"/>
      <c r="H38" s="1"/>
      <c r="I38" s="1" t="s">
        <v>436</v>
      </c>
      <c r="J38" s="1" t="s">
        <v>437</v>
      </c>
      <c r="K38" s="1"/>
      <c r="L38" s="1"/>
      <c r="M38" s="1"/>
      <c r="N38" s="1"/>
      <c r="O38" s="1"/>
      <c r="P38" s="2"/>
      <c r="Q38" s="1"/>
      <c r="R38" s="1"/>
      <c r="S38" s="1"/>
      <c r="T38" s="1"/>
      <c r="U38" s="1"/>
      <c r="V38" s="1" t="s">
        <v>438</v>
      </c>
      <c r="W38" s="1"/>
      <c r="X38" s="1"/>
      <c r="Y38" s="1"/>
      <c r="Z38" s="1"/>
      <c r="AA38" s="1" t="s">
        <v>439</v>
      </c>
      <c r="AB38" s="1" t="s">
        <v>440</v>
      </c>
      <c r="AC38" s="1"/>
      <c r="AD38" s="1"/>
      <c r="AE38" s="1"/>
      <c r="AF38" s="1"/>
      <c r="AG38" s="1"/>
      <c r="AH38" s="1"/>
      <c r="AI38" s="1"/>
      <c r="AJ38" s="1"/>
      <c r="AK38" s="1"/>
      <c r="AL38" s="1"/>
      <c r="AM38" s="1"/>
      <c r="AN38" s="1"/>
      <c r="AO38" s="1" t="s">
        <v>441</v>
      </c>
      <c r="AP38" s="1" t="s">
        <v>442</v>
      </c>
      <c r="AQ38" s="1"/>
      <c r="AR38" s="1"/>
      <c r="AS38" s="1"/>
      <c r="AT38" s="1" t="s">
        <v>265</v>
      </c>
      <c r="AU38" s="3">
        <v>2017</v>
      </c>
      <c r="AV38" s="3">
        <v>93</v>
      </c>
      <c r="AW38" s="2"/>
      <c r="AX38" s="2"/>
      <c r="AY38" s="2"/>
      <c r="AZ38" s="1"/>
      <c r="BA38" s="2"/>
      <c r="BB38" s="3">
        <v>294</v>
      </c>
      <c r="BC38" s="3">
        <v>306</v>
      </c>
      <c r="BD38" s="2"/>
      <c r="BE38" s="1" t="s">
        <v>443</v>
      </c>
      <c r="BF38" s="4">
        <f>HYPERLINK("http://dx.doi.org/10.1016/j.eurpolymj.2017.05.049","http://dx.doi.org/10.1016/j.eurpolymj.2017.05.049")</f>
      </c>
      <c r="BG38" s="1"/>
      <c r="BH38" s="1"/>
      <c r="BI38" s="1"/>
      <c r="BJ38" s="1"/>
      <c r="BK38" s="1"/>
      <c r="BL38" s="1"/>
      <c r="BM38" s="1"/>
      <c r="BN38" s="2"/>
      <c r="BO38" s="1"/>
      <c r="BP38" s="1"/>
      <c r="BQ38" s="1"/>
      <c r="BR38" s="1"/>
      <c r="BS38" s="1" t="s">
        <v>444</v>
      </c>
      <c r="BT38" s="5">
        <f>HYPERLINK("https%3A%2F%2Fwww.webofscience.com%2Fwos%2Fwoscc%2Ffull-record%2FWOS:000407186200028","View Full Record in Web of Science")</f>
      </c>
    </row>
    <row x14ac:dyDescent="0.25" r="39" customHeight="1" ht="12.75">
      <c r="A39" s="1" t="s">
        <v>72</v>
      </c>
      <c r="B39" s="1" t="s">
        <v>445</v>
      </c>
      <c r="C39" s="1"/>
      <c r="D39" s="1"/>
      <c r="E39" s="1"/>
      <c r="F39" s="1" t="s">
        <v>446</v>
      </c>
      <c r="G39" s="1"/>
      <c r="H39" s="1"/>
      <c r="I39" s="1" t="s">
        <v>447</v>
      </c>
      <c r="J39" s="1" t="s">
        <v>448</v>
      </c>
      <c r="K39" s="1"/>
      <c r="L39" s="1"/>
      <c r="M39" s="1"/>
      <c r="N39" s="1"/>
      <c r="O39" s="1"/>
      <c r="P39" s="2"/>
      <c r="Q39" s="1"/>
      <c r="R39" s="1"/>
      <c r="S39" s="1"/>
      <c r="T39" s="1"/>
      <c r="U39" s="1"/>
      <c r="V39" s="1" t="s">
        <v>449</v>
      </c>
      <c r="W39" s="1"/>
      <c r="X39" s="1"/>
      <c r="Y39" s="1"/>
      <c r="Z39" s="1"/>
      <c r="AA39" s="1" t="s">
        <v>450</v>
      </c>
      <c r="AB39" s="1"/>
      <c r="AC39" s="1"/>
      <c r="AD39" s="1"/>
      <c r="AE39" s="1"/>
      <c r="AF39" s="1"/>
      <c r="AG39" s="1"/>
      <c r="AH39" s="1"/>
      <c r="AI39" s="1"/>
      <c r="AJ39" s="1"/>
      <c r="AK39" s="1"/>
      <c r="AL39" s="1"/>
      <c r="AM39" s="1"/>
      <c r="AN39" s="1"/>
      <c r="AO39" s="1" t="s">
        <v>451</v>
      </c>
      <c r="AP39" s="1" t="s">
        <v>452</v>
      </c>
      <c r="AQ39" s="1"/>
      <c r="AR39" s="1"/>
      <c r="AS39" s="1"/>
      <c r="AT39" s="1" t="s">
        <v>126</v>
      </c>
      <c r="AU39" s="3">
        <v>2017</v>
      </c>
      <c r="AV39" s="3">
        <v>36</v>
      </c>
      <c r="AW39" s="3">
        <v>3</v>
      </c>
      <c r="AX39" s="2"/>
      <c r="AY39" s="2"/>
      <c r="AZ39" s="1" t="s">
        <v>170</v>
      </c>
      <c r="BA39" s="2"/>
      <c r="BB39" s="3">
        <v>354</v>
      </c>
      <c r="BC39" s="3">
        <v>369</v>
      </c>
      <c r="BD39" s="2"/>
      <c r="BE39" s="1" t="s">
        <v>453</v>
      </c>
      <c r="BF39" s="4">
        <f>HYPERLINK("http://dx.doi.org/10.1111/blar.12482","http://dx.doi.org/10.1111/blar.12482")</f>
      </c>
      <c r="BG39" s="1"/>
      <c r="BH39" s="1"/>
      <c r="BI39" s="1"/>
      <c r="BJ39" s="1"/>
      <c r="BK39" s="1"/>
      <c r="BL39" s="1"/>
      <c r="BM39" s="1"/>
      <c r="BN39" s="2"/>
      <c r="BO39" s="1"/>
      <c r="BP39" s="1"/>
      <c r="BQ39" s="1"/>
      <c r="BR39" s="1"/>
      <c r="BS39" s="1" t="s">
        <v>454</v>
      </c>
      <c r="BT39" s="5">
        <f>HYPERLINK("https%3A%2F%2Fwww.webofscience.com%2Fwos%2Fwoscc%2Ffull-record%2FWOS:000402673600007","View Full Record in Web of Science")</f>
      </c>
    </row>
    <row x14ac:dyDescent="0.25" r="40" customHeight="1" ht="12.75">
      <c r="A40" s="1" t="s">
        <v>72</v>
      </c>
      <c r="B40" s="1" t="s">
        <v>455</v>
      </c>
      <c r="C40" s="1"/>
      <c r="D40" s="1"/>
      <c r="E40" s="1"/>
      <c r="F40" s="1" t="s">
        <v>456</v>
      </c>
      <c r="G40" s="1"/>
      <c r="H40" s="1"/>
      <c r="I40" s="1" t="s">
        <v>457</v>
      </c>
      <c r="J40" s="1" t="s">
        <v>458</v>
      </c>
      <c r="K40" s="1"/>
      <c r="L40" s="1"/>
      <c r="M40" s="1"/>
      <c r="N40" s="1"/>
      <c r="O40" s="1"/>
      <c r="P40" s="2"/>
      <c r="Q40" s="1"/>
      <c r="R40" s="1"/>
      <c r="S40" s="1"/>
      <c r="T40" s="1"/>
      <c r="U40" s="1"/>
      <c r="V40" s="1" t="s">
        <v>459</v>
      </c>
      <c r="W40" s="1"/>
      <c r="X40" s="1"/>
      <c r="Y40" s="1"/>
      <c r="Z40" s="1"/>
      <c r="AA40" s="1" t="s">
        <v>460</v>
      </c>
      <c r="AB40" s="1" t="s">
        <v>461</v>
      </c>
      <c r="AC40" s="1"/>
      <c r="AD40" s="1"/>
      <c r="AE40" s="1"/>
      <c r="AF40" s="1"/>
      <c r="AG40" s="1"/>
      <c r="AH40" s="1"/>
      <c r="AI40" s="1"/>
      <c r="AJ40" s="1"/>
      <c r="AK40" s="1"/>
      <c r="AL40" s="1"/>
      <c r="AM40" s="1"/>
      <c r="AN40" s="1"/>
      <c r="AO40" s="1" t="s">
        <v>462</v>
      </c>
      <c r="AP40" s="1" t="s">
        <v>463</v>
      </c>
      <c r="AQ40" s="1"/>
      <c r="AR40" s="1"/>
      <c r="AS40" s="1"/>
      <c r="AT40" s="1" t="s">
        <v>464</v>
      </c>
      <c r="AU40" s="3">
        <v>2017</v>
      </c>
      <c r="AV40" s="3">
        <v>34</v>
      </c>
      <c r="AW40" s="3">
        <v>2</v>
      </c>
      <c r="AX40" s="2"/>
      <c r="AY40" s="2"/>
      <c r="AZ40" s="1"/>
      <c r="BA40" s="2"/>
      <c r="BB40" s="3">
        <v>567</v>
      </c>
      <c r="BC40" s="3">
        <v>581</v>
      </c>
      <c r="BD40" s="2"/>
      <c r="BE40" s="1" t="s">
        <v>465</v>
      </c>
      <c r="BF40" s="4">
        <f>HYPERLINK("http://dx.doi.org/10.1590/0104-6632.20170342s20150631","http://dx.doi.org/10.1590/0104-6632.20170342s20150631")</f>
      </c>
      <c r="BG40" s="1"/>
      <c r="BH40" s="1"/>
      <c r="BI40" s="1"/>
      <c r="BJ40" s="1"/>
      <c r="BK40" s="1"/>
      <c r="BL40" s="1"/>
      <c r="BM40" s="1"/>
      <c r="BN40" s="2"/>
      <c r="BO40" s="1"/>
      <c r="BP40" s="1"/>
      <c r="BQ40" s="1"/>
      <c r="BR40" s="1"/>
      <c r="BS40" s="1" t="s">
        <v>466</v>
      </c>
      <c r="BT40" s="5">
        <f>HYPERLINK("https%3A%2F%2Fwww.webofscience.com%2Fwos%2Fwoscc%2Ffull-record%2FWOS:000412663500018","View Full Record in Web of Science")</f>
      </c>
    </row>
    <row x14ac:dyDescent="0.25" r="41" customHeight="1" ht="12.75">
      <c r="A41" s="1" t="s">
        <v>72</v>
      </c>
      <c r="B41" s="1" t="s">
        <v>467</v>
      </c>
      <c r="C41" s="1"/>
      <c r="D41" s="1"/>
      <c r="E41" s="1"/>
      <c r="F41" s="1" t="s">
        <v>468</v>
      </c>
      <c r="G41" s="1"/>
      <c r="H41" s="1"/>
      <c r="I41" s="1" t="s">
        <v>469</v>
      </c>
      <c r="J41" s="1" t="s">
        <v>470</v>
      </c>
      <c r="K41" s="1"/>
      <c r="L41" s="1"/>
      <c r="M41" s="1"/>
      <c r="N41" s="1"/>
      <c r="O41" s="1"/>
      <c r="P41" s="2"/>
      <c r="Q41" s="1"/>
      <c r="R41" s="1"/>
      <c r="S41" s="1"/>
      <c r="T41" s="1"/>
      <c r="U41" s="1"/>
      <c r="V41" s="1" t="s">
        <v>471</v>
      </c>
      <c r="W41" s="1"/>
      <c r="X41" s="1"/>
      <c r="Y41" s="1"/>
      <c r="Z41" s="1"/>
      <c r="AA41" s="1" t="s">
        <v>472</v>
      </c>
      <c r="AB41" s="1" t="s">
        <v>473</v>
      </c>
      <c r="AC41" s="1"/>
      <c r="AD41" s="1"/>
      <c r="AE41" s="1"/>
      <c r="AF41" s="1"/>
      <c r="AG41" s="1"/>
      <c r="AH41" s="1"/>
      <c r="AI41" s="1"/>
      <c r="AJ41" s="1"/>
      <c r="AK41" s="1"/>
      <c r="AL41" s="1"/>
      <c r="AM41" s="1"/>
      <c r="AN41" s="1"/>
      <c r="AO41" s="1" t="s">
        <v>474</v>
      </c>
      <c r="AP41" s="1" t="s">
        <v>475</v>
      </c>
      <c r="AQ41" s="1"/>
      <c r="AR41" s="1"/>
      <c r="AS41" s="1"/>
      <c r="AT41" s="1"/>
      <c r="AU41" s="3">
        <v>2017</v>
      </c>
      <c r="AV41" s="3">
        <v>35</v>
      </c>
      <c r="AW41" s="3">
        <v>6</v>
      </c>
      <c r="AX41" s="2"/>
      <c r="AY41" s="2"/>
      <c r="AZ41" s="1"/>
      <c r="BA41" s="2"/>
      <c r="BB41" s="3">
        <v>651</v>
      </c>
      <c r="BC41" s="3">
        <v>665</v>
      </c>
      <c r="BD41" s="2"/>
      <c r="BE41" s="1" t="s">
        <v>476</v>
      </c>
      <c r="BF41" s="4">
        <f>HYPERLINK("http://dx.doi.org/10.1080/07373937.2016.1212063","http://dx.doi.org/10.1080/07373937.2016.1212063")</f>
      </c>
      <c r="BG41" s="1"/>
      <c r="BH41" s="1"/>
      <c r="BI41" s="1"/>
      <c r="BJ41" s="1"/>
      <c r="BK41" s="1"/>
      <c r="BL41" s="1"/>
      <c r="BM41" s="1"/>
      <c r="BN41" s="2"/>
      <c r="BO41" s="1"/>
      <c r="BP41" s="1"/>
      <c r="BQ41" s="1"/>
      <c r="BR41" s="1"/>
      <c r="BS41" s="1" t="s">
        <v>477</v>
      </c>
      <c r="BT41" s="5">
        <f>HYPERLINK("https%3A%2F%2Fwww.webofscience.com%2Fwos%2Fwoscc%2Ffull-record%2FWOS:000399654200001","View Full Record in Web of Science")</f>
      </c>
    </row>
    <row x14ac:dyDescent="0.25" r="42" customHeight="1" ht="12.75">
      <c r="A42" s="1" t="s">
        <v>303</v>
      </c>
      <c r="B42" s="1" t="s">
        <v>478</v>
      </c>
      <c r="C42" s="1"/>
      <c r="D42" s="1"/>
      <c r="E42" s="1" t="s">
        <v>305</v>
      </c>
      <c r="F42" s="1" t="s">
        <v>479</v>
      </c>
      <c r="G42" s="1"/>
      <c r="H42" s="1"/>
      <c r="I42" s="1" t="s">
        <v>480</v>
      </c>
      <c r="J42" s="1" t="s">
        <v>481</v>
      </c>
      <c r="K42" s="1"/>
      <c r="L42" s="1"/>
      <c r="M42" s="1"/>
      <c r="N42" s="1"/>
      <c r="O42" s="1" t="s">
        <v>482</v>
      </c>
      <c r="P42" s="2" t="s">
        <v>483</v>
      </c>
      <c r="Q42" s="1" t="s">
        <v>484</v>
      </c>
      <c r="R42" s="1" t="s">
        <v>485</v>
      </c>
      <c r="S42" s="1"/>
      <c r="T42" s="1"/>
      <c r="U42" s="1"/>
      <c r="V42" s="1" t="s">
        <v>486</v>
      </c>
      <c r="W42" s="1"/>
      <c r="X42" s="1"/>
      <c r="Y42" s="1"/>
      <c r="Z42" s="1"/>
      <c r="AA42" s="1"/>
      <c r="AB42" s="1" t="s">
        <v>487</v>
      </c>
      <c r="AC42" s="1"/>
      <c r="AD42" s="1"/>
      <c r="AE42" s="1"/>
      <c r="AF42" s="1"/>
      <c r="AG42" s="1"/>
      <c r="AH42" s="1"/>
      <c r="AI42" s="1"/>
      <c r="AJ42" s="1"/>
      <c r="AK42" s="1"/>
      <c r="AL42" s="1"/>
      <c r="AM42" s="1"/>
      <c r="AN42" s="1"/>
      <c r="AO42" s="1"/>
      <c r="AP42" s="1"/>
      <c r="AQ42" s="1" t="s">
        <v>488</v>
      </c>
      <c r="AR42" s="1"/>
      <c r="AS42" s="1"/>
      <c r="AT42" s="1"/>
      <c r="AU42" s="3">
        <v>2017</v>
      </c>
      <c r="AV42" s="2"/>
      <c r="AW42" s="2"/>
      <c r="AX42" s="2"/>
      <c r="AY42" s="2"/>
      <c r="AZ42" s="1"/>
      <c r="BA42" s="2"/>
      <c r="BB42" s="2"/>
      <c r="BC42" s="2"/>
      <c r="BD42" s="2"/>
      <c r="BE42" s="1"/>
      <c r="BF42" s="1"/>
      <c r="BG42" s="1"/>
      <c r="BH42" s="1"/>
      <c r="BI42" s="1"/>
      <c r="BJ42" s="1"/>
      <c r="BK42" s="1"/>
      <c r="BL42" s="1"/>
      <c r="BM42" s="1"/>
      <c r="BN42" s="2"/>
      <c r="BO42" s="1"/>
      <c r="BP42" s="1"/>
      <c r="BQ42" s="1"/>
      <c r="BR42" s="1"/>
      <c r="BS42" s="1" t="s">
        <v>489</v>
      </c>
      <c r="BT42" s="5">
        <f>HYPERLINK("https%3A%2F%2Fwww.webofscience.com%2Fwos%2Fwoscc%2Ffull-record%2FWOS:000425925000090","View Full Record in Web of Science")</f>
      </c>
    </row>
    <row x14ac:dyDescent="0.25" r="43" customHeight="1" ht="12.75">
      <c r="A43" s="1" t="s">
        <v>72</v>
      </c>
      <c r="B43" s="1" t="s">
        <v>490</v>
      </c>
      <c r="C43" s="1"/>
      <c r="D43" s="1"/>
      <c r="E43" s="1"/>
      <c r="F43" s="1" t="s">
        <v>491</v>
      </c>
      <c r="G43" s="1"/>
      <c r="H43" s="1"/>
      <c r="I43" s="1" t="s">
        <v>492</v>
      </c>
      <c r="J43" s="1" t="s">
        <v>493</v>
      </c>
      <c r="K43" s="1"/>
      <c r="L43" s="1"/>
      <c r="M43" s="1"/>
      <c r="N43" s="1"/>
      <c r="O43" s="1"/>
      <c r="P43" s="2"/>
      <c r="Q43" s="1"/>
      <c r="R43" s="1"/>
      <c r="S43" s="1"/>
      <c r="T43" s="1"/>
      <c r="U43" s="1"/>
      <c r="V43" s="1" t="s">
        <v>494</v>
      </c>
      <c r="W43" s="1"/>
      <c r="X43" s="1"/>
      <c r="Y43" s="1"/>
      <c r="Z43" s="1"/>
      <c r="AA43" s="1" t="s">
        <v>495</v>
      </c>
      <c r="AB43" s="1"/>
      <c r="AC43" s="1"/>
      <c r="AD43" s="1"/>
      <c r="AE43" s="1"/>
      <c r="AF43" s="1"/>
      <c r="AG43" s="1"/>
      <c r="AH43" s="1"/>
      <c r="AI43" s="1"/>
      <c r="AJ43" s="1"/>
      <c r="AK43" s="1"/>
      <c r="AL43" s="1"/>
      <c r="AM43" s="1"/>
      <c r="AN43" s="1"/>
      <c r="AO43" s="1" t="s">
        <v>496</v>
      </c>
      <c r="AP43" s="1" t="s">
        <v>497</v>
      </c>
      <c r="AQ43" s="1"/>
      <c r="AR43" s="1"/>
      <c r="AS43" s="1"/>
      <c r="AT43" s="1" t="s">
        <v>498</v>
      </c>
      <c r="AU43" s="3">
        <v>2017</v>
      </c>
      <c r="AV43" s="2"/>
      <c r="AW43" s="3">
        <v>63</v>
      </c>
      <c r="AX43" s="2"/>
      <c r="AY43" s="2"/>
      <c r="AZ43" s="1"/>
      <c r="BA43" s="2"/>
      <c r="BB43" s="3">
        <v>159</v>
      </c>
      <c r="BC43" s="3">
        <v>179</v>
      </c>
      <c r="BD43" s="2"/>
      <c r="BE43" s="1" t="s">
        <v>499</v>
      </c>
      <c r="BF43" s="4">
        <f>HYPERLINK("http://dx.doi.org/10.7440/histcrit63.2017.08","http://dx.doi.org/10.7440/histcrit63.2017.08")</f>
      </c>
      <c r="BG43" s="1"/>
      <c r="BH43" s="1"/>
      <c r="BI43" s="1"/>
      <c r="BJ43" s="1"/>
      <c r="BK43" s="1"/>
      <c r="BL43" s="1"/>
      <c r="BM43" s="1"/>
      <c r="BN43" s="2"/>
      <c r="BO43" s="1"/>
      <c r="BP43" s="1"/>
      <c r="BQ43" s="1"/>
      <c r="BR43" s="1"/>
      <c r="BS43" s="1" t="s">
        <v>500</v>
      </c>
      <c r="BT43" s="5">
        <f>HYPERLINK("https%3A%2F%2Fwww.webofscience.com%2Fwos%2Fwoscc%2Ffull-record%2FWOS:000394630700009","View Full Record in Web of Science")</f>
      </c>
    </row>
    <row x14ac:dyDescent="0.25" r="44" customHeight="1" ht="12.75">
      <c r="A44" s="1" t="s">
        <v>303</v>
      </c>
      <c r="B44" s="1" t="s">
        <v>501</v>
      </c>
      <c r="C44" s="1"/>
      <c r="D44" s="1"/>
      <c r="E44" s="1" t="s">
        <v>305</v>
      </c>
      <c r="F44" s="1" t="s">
        <v>502</v>
      </c>
      <c r="G44" s="1"/>
      <c r="H44" s="1"/>
      <c r="I44" s="1" t="s">
        <v>503</v>
      </c>
      <c r="J44" s="1" t="s">
        <v>504</v>
      </c>
      <c r="K44" s="1"/>
      <c r="L44" s="1"/>
      <c r="M44" s="1"/>
      <c r="N44" s="1"/>
      <c r="O44" s="1" t="s">
        <v>505</v>
      </c>
      <c r="P44" s="2" t="s">
        <v>506</v>
      </c>
      <c r="Q44" s="1" t="s">
        <v>507</v>
      </c>
      <c r="R44" s="1" t="s">
        <v>508</v>
      </c>
      <c r="S44" s="1"/>
      <c r="T44" s="1"/>
      <c r="U44" s="1"/>
      <c r="V44" s="1" t="s">
        <v>509</v>
      </c>
      <c r="W44" s="1"/>
      <c r="X44" s="1"/>
      <c r="Y44" s="1"/>
      <c r="Z44" s="1"/>
      <c r="AA44" s="1" t="s">
        <v>510</v>
      </c>
      <c r="AB44" s="1" t="s">
        <v>511</v>
      </c>
      <c r="AC44" s="1"/>
      <c r="AD44" s="1"/>
      <c r="AE44" s="1"/>
      <c r="AF44" s="1"/>
      <c r="AG44" s="1"/>
      <c r="AH44" s="1"/>
      <c r="AI44" s="1"/>
      <c r="AJ44" s="1"/>
      <c r="AK44" s="1"/>
      <c r="AL44" s="1"/>
      <c r="AM44" s="1"/>
      <c r="AN44" s="1"/>
      <c r="AO44" s="1"/>
      <c r="AP44" s="1"/>
      <c r="AQ44" s="1" t="s">
        <v>512</v>
      </c>
      <c r="AR44" s="1"/>
      <c r="AS44" s="1"/>
      <c r="AT44" s="1"/>
      <c r="AU44" s="3">
        <v>2017</v>
      </c>
      <c r="AV44" s="2"/>
      <c r="AW44" s="2"/>
      <c r="AX44" s="2"/>
      <c r="AY44" s="2"/>
      <c r="AZ44" s="1"/>
      <c r="BA44" s="2"/>
      <c r="BB44" s="3">
        <v>55</v>
      </c>
      <c r="BC44" s="3">
        <v>60</v>
      </c>
      <c r="BD44" s="2"/>
      <c r="BE44" s="1"/>
      <c r="BF44" s="1"/>
      <c r="BG44" s="1"/>
      <c r="BH44" s="1"/>
      <c r="BI44" s="1"/>
      <c r="BJ44" s="1"/>
      <c r="BK44" s="1"/>
      <c r="BL44" s="1"/>
      <c r="BM44" s="1"/>
      <c r="BN44" s="2"/>
      <c r="BO44" s="1"/>
      <c r="BP44" s="1"/>
      <c r="BQ44" s="1"/>
      <c r="BR44" s="1"/>
      <c r="BS44" s="1" t="s">
        <v>513</v>
      </c>
      <c r="BT44" s="5">
        <f>HYPERLINK("https%3A%2F%2Fwww.webofscience.com%2Fwos%2Fwoscc%2Ffull-record%2FWOS:000428142700002","View Full Record in Web of Science")</f>
      </c>
    </row>
    <row x14ac:dyDescent="0.25" r="45" customHeight="1" ht="12.75">
      <c r="A45" s="1" t="s">
        <v>303</v>
      </c>
      <c r="B45" s="1" t="s">
        <v>514</v>
      </c>
      <c r="C45" s="1"/>
      <c r="D45" s="1" t="s">
        <v>515</v>
      </c>
      <c r="E45" s="1"/>
      <c r="F45" s="1" t="s">
        <v>516</v>
      </c>
      <c r="G45" s="1"/>
      <c r="H45" s="1"/>
      <c r="I45" s="1" t="s">
        <v>517</v>
      </c>
      <c r="J45" s="1" t="s">
        <v>518</v>
      </c>
      <c r="K45" s="1" t="s">
        <v>519</v>
      </c>
      <c r="L45" s="1"/>
      <c r="M45" s="1"/>
      <c r="N45" s="1"/>
      <c r="O45" s="1" t="s">
        <v>520</v>
      </c>
      <c r="P45" s="2" t="s">
        <v>521</v>
      </c>
      <c r="Q45" s="1" t="s">
        <v>522</v>
      </c>
      <c r="R45" s="1"/>
      <c r="S45" s="1"/>
      <c r="T45" s="1"/>
      <c r="U45" s="1"/>
      <c r="V45" s="1" t="s">
        <v>523</v>
      </c>
      <c r="W45" s="1"/>
      <c r="X45" s="1"/>
      <c r="Y45" s="1"/>
      <c r="Z45" s="1"/>
      <c r="AA45" s="1" t="s">
        <v>524</v>
      </c>
      <c r="AB45" s="1" t="s">
        <v>525</v>
      </c>
      <c r="AC45" s="1"/>
      <c r="AD45" s="1"/>
      <c r="AE45" s="1"/>
      <c r="AF45" s="1"/>
      <c r="AG45" s="1"/>
      <c r="AH45" s="1"/>
      <c r="AI45" s="1"/>
      <c r="AJ45" s="1"/>
      <c r="AK45" s="1"/>
      <c r="AL45" s="1"/>
      <c r="AM45" s="1"/>
      <c r="AN45" s="1"/>
      <c r="AO45" s="1" t="s">
        <v>526</v>
      </c>
      <c r="AP45" s="1" t="s">
        <v>527</v>
      </c>
      <c r="AQ45" s="1" t="s">
        <v>528</v>
      </c>
      <c r="AR45" s="1"/>
      <c r="AS45" s="1"/>
      <c r="AT45" s="1"/>
      <c r="AU45" s="3">
        <v>2016</v>
      </c>
      <c r="AV45" s="3">
        <v>620</v>
      </c>
      <c r="AW45" s="2"/>
      <c r="AX45" s="2"/>
      <c r="AY45" s="2"/>
      <c r="AZ45" s="1"/>
      <c r="BA45" s="2"/>
      <c r="BB45" s="3">
        <v>25</v>
      </c>
      <c r="BC45" s="3">
        <v>38</v>
      </c>
      <c r="BD45" s="2"/>
      <c r="BE45" s="1" t="s">
        <v>529</v>
      </c>
      <c r="BF45" s="4">
        <f>HYPERLINK("http://dx.doi.org/10.1007/978-3-319-42147-6_3","http://dx.doi.org/10.1007/978-3-319-42147-6_3")</f>
      </c>
      <c r="BG45" s="1"/>
      <c r="BH45" s="1"/>
      <c r="BI45" s="1"/>
      <c r="BJ45" s="1"/>
      <c r="BK45" s="1"/>
      <c r="BL45" s="1"/>
      <c r="BM45" s="1"/>
      <c r="BN45" s="2"/>
      <c r="BO45" s="1"/>
      <c r="BP45" s="1"/>
      <c r="BQ45" s="1"/>
      <c r="BR45" s="1"/>
      <c r="BS45" s="1" t="s">
        <v>530</v>
      </c>
      <c r="BT45" s="5">
        <f>HYPERLINK("https%3A%2F%2Fwww.webofscience.com%2Fwos%2Fwoscc%2Ffull-record%2FWOS:000387432000003","View Full Record in Web of Science")</f>
      </c>
    </row>
    <row x14ac:dyDescent="0.25" r="46" customHeight="1" ht="12.75">
      <c r="A46" s="1" t="s">
        <v>72</v>
      </c>
      <c r="B46" s="1" t="s">
        <v>531</v>
      </c>
      <c r="C46" s="1"/>
      <c r="D46" s="1"/>
      <c r="E46" s="1"/>
      <c r="F46" s="1" t="s">
        <v>532</v>
      </c>
      <c r="G46" s="1"/>
      <c r="H46" s="1"/>
      <c r="I46" s="1" t="s">
        <v>533</v>
      </c>
      <c r="J46" s="1" t="s">
        <v>534</v>
      </c>
      <c r="K46" s="1"/>
      <c r="L46" s="1"/>
      <c r="M46" s="1"/>
      <c r="N46" s="1"/>
      <c r="O46" s="1"/>
      <c r="P46" s="2"/>
      <c r="Q46" s="1"/>
      <c r="R46" s="1"/>
      <c r="S46" s="1"/>
      <c r="T46" s="1"/>
      <c r="U46" s="1"/>
      <c r="V46" s="1" t="s">
        <v>535</v>
      </c>
      <c r="W46" s="1"/>
      <c r="X46" s="1"/>
      <c r="Y46" s="1"/>
      <c r="Z46" s="1"/>
      <c r="AA46" s="1"/>
      <c r="AB46" s="1"/>
      <c r="AC46" s="1"/>
      <c r="AD46" s="1"/>
      <c r="AE46" s="1"/>
      <c r="AF46" s="1"/>
      <c r="AG46" s="1"/>
      <c r="AH46" s="1"/>
      <c r="AI46" s="1"/>
      <c r="AJ46" s="1"/>
      <c r="AK46" s="1"/>
      <c r="AL46" s="1"/>
      <c r="AM46" s="1"/>
      <c r="AN46" s="1"/>
      <c r="AO46" s="1" t="s">
        <v>536</v>
      </c>
      <c r="AP46" s="1" t="s">
        <v>537</v>
      </c>
      <c r="AQ46" s="1"/>
      <c r="AR46" s="1"/>
      <c r="AS46" s="1"/>
      <c r="AT46" s="1" t="s">
        <v>538</v>
      </c>
      <c r="AU46" s="3">
        <v>2016</v>
      </c>
      <c r="AV46" s="3">
        <v>42</v>
      </c>
      <c r="AW46" s="3">
        <v>1</v>
      </c>
      <c r="AX46" s="2"/>
      <c r="AY46" s="2"/>
      <c r="AZ46" s="1"/>
      <c r="BA46" s="2"/>
      <c r="BB46" s="3">
        <v>308</v>
      </c>
      <c r="BC46" s="3">
        <v>326</v>
      </c>
      <c r="BD46" s="2"/>
      <c r="BE46" s="1" t="s">
        <v>539</v>
      </c>
      <c r="BF46" s="4">
        <f>HYPERLINK("http://dx.doi.org/10.15448/1980-864X.2016.1.21647","http://dx.doi.org/10.15448/1980-864X.2016.1.21647")</f>
      </c>
      <c r="BG46" s="1"/>
      <c r="BH46" s="1"/>
      <c r="BI46" s="1"/>
      <c r="BJ46" s="1"/>
      <c r="BK46" s="1"/>
      <c r="BL46" s="1"/>
      <c r="BM46" s="1"/>
      <c r="BN46" s="2"/>
      <c r="BO46" s="1"/>
      <c r="BP46" s="1"/>
      <c r="BQ46" s="1"/>
      <c r="BR46" s="1"/>
      <c r="BS46" s="1" t="s">
        <v>540</v>
      </c>
      <c r="BT46" s="5">
        <f>HYPERLINK("https%3A%2F%2Fwww.webofscience.com%2Fwos%2Fwoscc%2Ffull-record%2FWOS:000383557300017","View Full Record in Web of Science")</f>
      </c>
    </row>
    <row x14ac:dyDescent="0.25" r="47" customHeight="1" ht="12.75">
      <c r="A47" s="1" t="s">
        <v>72</v>
      </c>
      <c r="B47" s="1" t="s">
        <v>541</v>
      </c>
      <c r="C47" s="1"/>
      <c r="D47" s="1"/>
      <c r="E47" s="1"/>
      <c r="F47" s="1" t="s">
        <v>542</v>
      </c>
      <c r="G47" s="1"/>
      <c r="H47" s="1"/>
      <c r="I47" s="1" t="s">
        <v>543</v>
      </c>
      <c r="J47" s="1" t="s">
        <v>544</v>
      </c>
      <c r="K47" s="1"/>
      <c r="L47" s="1"/>
      <c r="M47" s="1"/>
      <c r="N47" s="1"/>
      <c r="O47" s="1"/>
      <c r="P47" s="2"/>
      <c r="Q47" s="1"/>
      <c r="R47" s="1"/>
      <c r="S47" s="1"/>
      <c r="T47" s="1"/>
      <c r="U47" s="1"/>
      <c r="V47" s="1" t="s">
        <v>545</v>
      </c>
      <c r="W47" s="1"/>
      <c r="X47" s="1"/>
      <c r="Y47" s="1"/>
      <c r="Z47" s="1"/>
      <c r="AA47" s="1"/>
      <c r="AB47" s="1"/>
      <c r="AC47" s="1"/>
      <c r="AD47" s="1"/>
      <c r="AE47" s="1"/>
      <c r="AF47" s="1"/>
      <c r="AG47" s="1"/>
      <c r="AH47" s="1"/>
      <c r="AI47" s="1"/>
      <c r="AJ47" s="1"/>
      <c r="AK47" s="1"/>
      <c r="AL47" s="1"/>
      <c r="AM47" s="1"/>
      <c r="AN47" s="1"/>
      <c r="AO47" s="1" t="s">
        <v>546</v>
      </c>
      <c r="AP47" s="1"/>
      <c r="AQ47" s="1"/>
      <c r="AR47" s="1"/>
      <c r="AS47" s="1"/>
      <c r="AT47" s="1"/>
      <c r="AU47" s="3">
        <v>2016</v>
      </c>
      <c r="AV47" s="2"/>
      <c r="AW47" s="3">
        <v>59</v>
      </c>
      <c r="AX47" s="2"/>
      <c r="AY47" s="2"/>
      <c r="AZ47" s="1"/>
      <c r="BA47" s="2"/>
      <c r="BB47" s="3">
        <v>125</v>
      </c>
      <c r="BC47" s="3">
        <v>133</v>
      </c>
      <c r="BD47" s="2"/>
      <c r="BE47" s="1"/>
      <c r="BF47" s="1"/>
      <c r="BG47" s="1"/>
      <c r="BH47" s="1"/>
      <c r="BI47" s="1"/>
      <c r="BJ47" s="1"/>
      <c r="BK47" s="1"/>
      <c r="BL47" s="1"/>
      <c r="BM47" s="1"/>
      <c r="BN47" s="2"/>
      <c r="BO47" s="1"/>
      <c r="BP47" s="1"/>
      <c r="BQ47" s="1"/>
      <c r="BR47" s="1"/>
      <c r="BS47" s="1" t="s">
        <v>547</v>
      </c>
      <c r="BT47" s="5">
        <f>HYPERLINK("https%3A%2F%2Fwww.webofscience.com%2Fwos%2Fwoscc%2Ffull-record%2FWOS:000390071800008","View Full Record in Web of Science")</f>
      </c>
    </row>
    <row x14ac:dyDescent="0.25" r="48" customHeight="1" ht="12.75">
      <c r="A48" s="1" t="s">
        <v>72</v>
      </c>
      <c r="B48" s="1" t="s">
        <v>548</v>
      </c>
      <c r="C48" s="1"/>
      <c r="D48" s="1"/>
      <c r="E48" s="1"/>
      <c r="F48" s="1" t="s">
        <v>549</v>
      </c>
      <c r="G48" s="1"/>
      <c r="H48" s="1"/>
      <c r="I48" s="1" t="s">
        <v>550</v>
      </c>
      <c r="J48" s="1" t="s">
        <v>551</v>
      </c>
      <c r="K48" s="1"/>
      <c r="L48" s="1"/>
      <c r="M48" s="1"/>
      <c r="N48" s="1"/>
      <c r="O48" s="1"/>
      <c r="P48" s="2"/>
      <c r="Q48" s="1"/>
      <c r="R48" s="1"/>
      <c r="S48" s="1"/>
      <c r="T48" s="1"/>
      <c r="U48" s="1"/>
      <c r="V48" s="1" t="s">
        <v>552</v>
      </c>
      <c r="W48" s="1"/>
      <c r="X48" s="1"/>
      <c r="Y48" s="1"/>
      <c r="Z48" s="1"/>
      <c r="AA48" s="1"/>
      <c r="AB48" s="1"/>
      <c r="AC48" s="1"/>
      <c r="AD48" s="1"/>
      <c r="AE48" s="1"/>
      <c r="AF48" s="1"/>
      <c r="AG48" s="1"/>
      <c r="AH48" s="1"/>
      <c r="AI48" s="1"/>
      <c r="AJ48" s="1"/>
      <c r="AK48" s="1"/>
      <c r="AL48" s="1"/>
      <c r="AM48" s="1"/>
      <c r="AN48" s="1"/>
      <c r="AO48" s="1" t="s">
        <v>553</v>
      </c>
      <c r="AP48" s="1"/>
      <c r="AQ48" s="1"/>
      <c r="AR48" s="1"/>
      <c r="AS48" s="1"/>
      <c r="AT48" s="1"/>
      <c r="AU48" s="3">
        <v>2016</v>
      </c>
      <c r="AV48" s="2"/>
      <c r="AW48" s="3">
        <v>514</v>
      </c>
      <c r="AX48" s="2"/>
      <c r="AY48" s="2"/>
      <c r="AZ48" s="1"/>
      <c r="BA48" s="2"/>
      <c r="BB48" s="3">
        <v>13</v>
      </c>
      <c r="BC48" s="3">
        <v>29</v>
      </c>
      <c r="BD48" s="2"/>
      <c r="BE48" s="1"/>
      <c r="BF48" s="1"/>
      <c r="BG48" s="1"/>
      <c r="BH48" s="1"/>
      <c r="BI48" s="1"/>
      <c r="BJ48" s="1"/>
      <c r="BK48" s="1"/>
      <c r="BL48" s="1"/>
      <c r="BM48" s="1"/>
      <c r="BN48" s="2"/>
      <c r="BO48" s="1"/>
      <c r="BP48" s="1"/>
      <c r="BQ48" s="1"/>
      <c r="BR48" s="1"/>
      <c r="BS48" s="1" t="s">
        <v>554</v>
      </c>
      <c r="BT48" s="5">
        <f>HYPERLINK("https%3A%2F%2Fwww.webofscience.com%2Fwos%2Fwoscc%2Ffull-record%2FWOS:000397838700002","View Full Record in Web of Science")</f>
      </c>
    </row>
    <row x14ac:dyDescent="0.25" r="49" customHeight="1" ht="12.75">
      <c r="A49" s="1" t="s">
        <v>72</v>
      </c>
      <c r="B49" s="1" t="s">
        <v>555</v>
      </c>
      <c r="C49" s="1"/>
      <c r="D49" s="1"/>
      <c r="E49" s="1"/>
      <c r="F49" s="1" t="s">
        <v>556</v>
      </c>
      <c r="G49" s="1"/>
      <c r="H49" s="1"/>
      <c r="I49" s="1" t="s">
        <v>557</v>
      </c>
      <c r="J49" s="1" t="s">
        <v>493</v>
      </c>
      <c r="K49" s="1"/>
      <c r="L49" s="1"/>
      <c r="M49" s="1"/>
      <c r="N49" s="1"/>
      <c r="O49" s="1"/>
      <c r="P49" s="2"/>
      <c r="Q49" s="1"/>
      <c r="R49" s="1"/>
      <c r="S49" s="1"/>
      <c r="T49" s="1"/>
      <c r="U49" s="1"/>
      <c r="V49" s="1" t="s">
        <v>558</v>
      </c>
      <c r="W49" s="1"/>
      <c r="X49" s="1"/>
      <c r="Y49" s="1"/>
      <c r="Z49" s="1"/>
      <c r="AA49" s="1"/>
      <c r="AB49" s="1" t="s">
        <v>559</v>
      </c>
      <c r="AC49" s="1"/>
      <c r="AD49" s="1"/>
      <c r="AE49" s="1"/>
      <c r="AF49" s="1"/>
      <c r="AG49" s="1"/>
      <c r="AH49" s="1"/>
      <c r="AI49" s="1"/>
      <c r="AJ49" s="1"/>
      <c r="AK49" s="1"/>
      <c r="AL49" s="1"/>
      <c r="AM49" s="1"/>
      <c r="AN49" s="1"/>
      <c r="AO49" s="1" t="s">
        <v>496</v>
      </c>
      <c r="AP49" s="1"/>
      <c r="AQ49" s="1"/>
      <c r="AR49" s="1"/>
      <c r="AS49" s="1"/>
      <c r="AT49" s="1" t="s">
        <v>464</v>
      </c>
      <c r="AU49" s="3">
        <v>2015</v>
      </c>
      <c r="AV49" s="2"/>
      <c r="AW49" s="3">
        <v>56</v>
      </c>
      <c r="AX49" s="2"/>
      <c r="AY49" s="2"/>
      <c r="AZ49" s="1"/>
      <c r="BA49" s="2"/>
      <c r="BB49" s="3">
        <v>61</v>
      </c>
      <c r="BC49" s="3">
        <v>84</v>
      </c>
      <c r="BD49" s="2"/>
      <c r="BE49" s="1" t="s">
        <v>560</v>
      </c>
      <c r="BF49" s="4">
        <f>HYPERLINK("http://dx.doi.org/10.7440/histcrit56.2015.03","http://dx.doi.org/10.7440/histcrit56.2015.03")</f>
      </c>
      <c r="BG49" s="1"/>
      <c r="BH49" s="1"/>
      <c r="BI49" s="1"/>
      <c r="BJ49" s="1"/>
      <c r="BK49" s="1"/>
      <c r="BL49" s="1"/>
      <c r="BM49" s="1"/>
      <c r="BN49" s="2"/>
      <c r="BO49" s="1"/>
      <c r="BP49" s="1"/>
      <c r="BQ49" s="1"/>
      <c r="BR49" s="1"/>
      <c r="BS49" s="1" t="s">
        <v>561</v>
      </c>
      <c r="BT49" s="5">
        <f>HYPERLINK("https%3A%2F%2Fwww.webofscience.com%2Fwos%2Fwoscc%2Ffull-record%2FWOS:000356752700004","View Full Record in Web of Science")</f>
      </c>
    </row>
    <row x14ac:dyDescent="0.25" r="50" customHeight="1" ht="12.75">
      <c r="A50" s="1" t="s">
        <v>72</v>
      </c>
      <c r="B50" s="1" t="s">
        <v>562</v>
      </c>
      <c r="C50" s="1"/>
      <c r="D50" s="1"/>
      <c r="E50" s="1"/>
      <c r="F50" s="1" t="s">
        <v>563</v>
      </c>
      <c r="G50" s="1"/>
      <c r="H50" s="1"/>
      <c r="I50" s="1" t="s">
        <v>564</v>
      </c>
      <c r="J50" s="1" t="s">
        <v>565</v>
      </c>
      <c r="K50" s="1"/>
      <c r="L50" s="1"/>
      <c r="M50" s="1"/>
      <c r="N50" s="1"/>
      <c r="O50" s="1"/>
      <c r="P50" s="2"/>
      <c r="Q50" s="1"/>
      <c r="R50" s="1"/>
      <c r="S50" s="1"/>
      <c r="T50" s="1"/>
      <c r="U50" s="1"/>
      <c r="V50" s="1"/>
      <c r="W50" s="1"/>
      <c r="X50" s="1"/>
      <c r="Y50" s="1"/>
      <c r="Z50" s="1"/>
      <c r="AA50" s="1"/>
      <c r="AB50" s="1"/>
      <c r="AC50" s="1"/>
      <c r="AD50" s="1"/>
      <c r="AE50" s="1"/>
      <c r="AF50" s="1"/>
      <c r="AG50" s="1"/>
      <c r="AH50" s="1"/>
      <c r="AI50" s="1"/>
      <c r="AJ50" s="1"/>
      <c r="AK50" s="1"/>
      <c r="AL50" s="1"/>
      <c r="AM50" s="1"/>
      <c r="AN50" s="1"/>
      <c r="AO50" s="1" t="s">
        <v>566</v>
      </c>
      <c r="AP50" s="1"/>
      <c r="AQ50" s="1"/>
      <c r="AR50" s="1"/>
      <c r="AS50" s="1"/>
      <c r="AT50" s="1" t="s">
        <v>567</v>
      </c>
      <c r="AU50" s="3">
        <v>2015</v>
      </c>
      <c r="AV50" s="2"/>
      <c r="AW50" s="3">
        <v>89</v>
      </c>
      <c r="AX50" s="2"/>
      <c r="AY50" s="2"/>
      <c r="AZ50" s="1"/>
      <c r="BA50" s="2"/>
      <c r="BB50" s="3">
        <v>287</v>
      </c>
      <c r="BC50" s="3">
        <v>293</v>
      </c>
      <c r="BD50" s="2"/>
      <c r="BE50" s="1" t="s">
        <v>568</v>
      </c>
      <c r="BF50" s="4">
        <f>HYPERLINK("http://dx.doi.org/10.4067/S0718-22952015000100014","http://dx.doi.org/10.4067/S0718-22952015000100014")</f>
      </c>
      <c r="BG50" s="1"/>
      <c r="BH50" s="1"/>
      <c r="BI50" s="1"/>
      <c r="BJ50" s="1"/>
      <c r="BK50" s="1"/>
      <c r="BL50" s="1"/>
      <c r="BM50" s="1"/>
      <c r="BN50" s="2"/>
      <c r="BO50" s="1"/>
      <c r="BP50" s="1"/>
      <c r="BQ50" s="1"/>
      <c r="BR50" s="1"/>
      <c r="BS50" s="1" t="s">
        <v>569</v>
      </c>
      <c r="BT50" s="5">
        <f>HYPERLINK("https%3A%2F%2Fwww.webofscience.com%2Fwos%2Fwoscc%2Ffull-record%2FWOS:000369753700014","View Full Record in Web of Science")</f>
      </c>
    </row>
    <row x14ac:dyDescent="0.25" r="51" customHeight="1" ht="12.75">
      <c r="A51" s="1" t="s">
        <v>303</v>
      </c>
      <c r="B51" s="1" t="s">
        <v>570</v>
      </c>
      <c r="C51" s="1"/>
      <c r="D51" s="1"/>
      <c r="E51" s="1" t="s">
        <v>571</v>
      </c>
      <c r="F51" s="1" t="s">
        <v>572</v>
      </c>
      <c r="G51" s="1"/>
      <c r="H51" s="1"/>
      <c r="I51" s="1" t="s">
        <v>573</v>
      </c>
      <c r="J51" s="1" t="s">
        <v>574</v>
      </c>
      <c r="K51" s="1"/>
      <c r="L51" s="1"/>
      <c r="M51" s="1"/>
      <c r="N51" s="1"/>
      <c r="O51" s="1" t="s">
        <v>575</v>
      </c>
      <c r="P51" s="2" t="s">
        <v>576</v>
      </c>
      <c r="Q51" s="1" t="s">
        <v>577</v>
      </c>
      <c r="R51" s="1" t="s">
        <v>571</v>
      </c>
      <c r="S51" s="1"/>
      <c r="T51" s="1"/>
      <c r="U51" s="1"/>
      <c r="V51" s="1" t="s">
        <v>578</v>
      </c>
      <c r="W51" s="1"/>
      <c r="X51" s="1"/>
      <c r="Y51" s="1"/>
      <c r="Z51" s="1"/>
      <c r="AA51" s="1"/>
      <c r="AB51" s="1"/>
      <c r="AC51" s="1"/>
      <c r="AD51" s="1"/>
      <c r="AE51" s="1"/>
      <c r="AF51" s="1"/>
      <c r="AG51" s="1"/>
      <c r="AH51" s="1"/>
      <c r="AI51" s="1"/>
      <c r="AJ51" s="1"/>
      <c r="AK51" s="1"/>
      <c r="AL51" s="1"/>
      <c r="AM51" s="1"/>
      <c r="AN51" s="1"/>
      <c r="AO51" s="1"/>
      <c r="AP51" s="1"/>
      <c r="AQ51" s="1" t="s">
        <v>579</v>
      </c>
      <c r="AR51" s="1"/>
      <c r="AS51" s="1"/>
      <c r="AT51" s="1"/>
      <c r="AU51" s="3">
        <v>2014</v>
      </c>
      <c r="AV51" s="2"/>
      <c r="AW51" s="2"/>
      <c r="AX51" s="2"/>
      <c r="AY51" s="2"/>
      <c r="AZ51" s="1"/>
      <c r="BA51" s="2"/>
      <c r="BB51" s="2"/>
      <c r="BC51" s="2"/>
      <c r="BD51" s="2" t="s">
        <v>580</v>
      </c>
      <c r="BE51" s="1"/>
      <c r="BF51" s="1"/>
      <c r="BG51" s="1"/>
      <c r="BH51" s="1"/>
      <c r="BI51" s="1"/>
      <c r="BJ51" s="1"/>
      <c r="BK51" s="1"/>
      <c r="BL51" s="1"/>
      <c r="BM51" s="1"/>
      <c r="BN51" s="2"/>
      <c r="BO51" s="1"/>
      <c r="BP51" s="1"/>
      <c r="BQ51" s="1"/>
      <c r="BR51" s="1"/>
      <c r="BS51" s="1" t="s">
        <v>581</v>
      </c>
      <c r="BT51" s="5">
        <f>HYPERLINK("https%3A%2F%2Fwww.webofscience.com%2Fwos%2Fwoscc%2Ffull-record%2FWOS:000359959700023","View Full Record in Web of Science")</f>
      </c>
    </row>
    <row x14ac:dyDescent="0.25" r="52" customHeight="1" ht="12.75">
      <c r="A52" s="1" t="s">
        <v>72</v>
      </c>
      <c r="B52" s="1" t="s">
        <v>582</v>
      </c>
      <c r="C52" s="1"/>
      <c r="D52" s="1"/>
      <c r="E52" s="1"/>
      <c r="F52" s="1" t="s">
        <v>583</v>
      </c>
      <c r="G52" s="1"/>
      <c r="H52" s="1"/>
      <c r="I52" s="1" t="s">
        <v>584</v>
      </c>
      <c r="J52" s="1" t="s">
        <v>585</v>
      </c>
      <c r="K52" s="1"/>
      <c r="L52" s="1"/>
      <c r="M52" s="1"/>
      <c r="N52" s="1"/>
      <c r="O52" s="1"/>
      <c r="P52" s="2"/>
      <c r="Q52" s="1"/>
      <c r="R52" s="1"/>
      <c r="S52" s="1"/>
      <c r="T52" s="1"/>
      <c r="U52" s="1"/>
      <c r="V52" s="1" t="s">
        <v>586</v>
      </c>
      <c r="W52" s="1"/>
      <c r="X52" s="1"/>
      <c r="Y52" s="1"/>
      <c r="Z52" s="1"/>
      <c r="AA52" s="1" t="s">
        <v>587</v>
      </c>
      <c r="AB52" s="1" t="s">
        <v>588</v>
      </c>
      <c r="AC52" s="1"/>
      <c r="AD52" s="1"/>
      <c r="AE52" s="1"/>
      <c r="AF52" s="1"/>
      <c r="AG52" s="1"/>
      <c r="AH52" s="1"/>
      <c r="AI52" s="1"/>
      <c r="AJ52" s="1"/>
      <c r="AK52" s="1"/>
      <c r="AL52" s="1"/>
      <c r="AM52" s="1"/>
      <c r="AN52" s="1"/>
      <c r="AO52" s="1" t="s">
        <v>589</v>
      </c>
      <c r="AP52" s="1"/>
      <c r="AQ52" s="1"/>
      <c r="AR52" s="1"/>
      <c r="AS52" s="1"/>
      <c r="AT52" s="1" t="s">
        <v>126</v>
      </c>
      <c r="AU52" s="3">
        <v>2012</v>
      </c>
      <c r="AV52" s="3">
        <v>11</v>
      </c>
      <c r="AW52" s="3">
        <v>4</v>
      </c>
      <c r="AX52" s="2"/>
      <c r="AY52" s="2"/>
      <c r="AZ52" s="1"/>
      <c r="BA52" s="2"/>
      <c r="BB52" s="3">
        <v>377</v>
      </c>
      <c r="BC52" s="3">
        <v>384</v>
      </c>
      <c r="BD52" s="2"/>
      <c r="BE52" s="1"/>
      <c r="BF52" s="1"/>
      <c r="BG52" s="1"/>
      <c r="BH52" s="1"/>
      <c r="BI52" s="1"/>
      <c r="BJ52" s="1"/>
      <c r="BK52" s="1"/>
      <c r="BL52" s="1"/>
      <c r="BM52" s="1"/>
      <c r="BN52" s="2"/>
      <c r="BO52" s="1"/>
      <c r="BP52" s="1"/>
      <c r="BQ52" s="1"/>
      <c r="BR52" s="1"/>
      <c r="BS52" s="1" t="s">
        <v>590</v>
      </c>
      <c r="BT52" s="5">
        <f>HYPERLINK("https%3A%2F%2Fwww.webofscience.com%2Fwos%2Fwoscc%2Ffull-record%2FWOS:000306704900010","View Full Record in Web of Science")</f>
      </c>
    </row>
    <row x14ac:dyDescent="0.25" r="53" customHeight="1" ht="12.75">
      <c r="A53" s="1" t="s">
        <v>72</v>
      </c>
      <c r="B53" s="1" t="s">
        <v>591</v>
      </c>
      <c r="C53" s="1"/>
      <c r="D53" s="1"/>
      <c r="E53" s="1"/>
      <c r="F53" s="1" t="s">
        <v>592</v>
      </c>
      <c r="G53" s="1"/>
      <c r="H53" s="1"/>
      <c r="I53" s="1" t="s">
        <v>593</v>
      </c>
      <c r="J53" s="1" t="s">
        <v>565</v>
      </c>
      <c r="K53" s="1"/>
      <c r="L53" s="1"/>
      <c r="M53" s="1"/>
      <c r="N53" s="1"/>
      <c r="O53" s="1"/>
      <c r="P53" s="2"/>
      <c r="Q53" s="1"/>
      <c r="R53" s="1"/>
      <c r="S53" s="1"/>
      <c r="T53" s="1"/>
      <c r="U53" s="1"/>
      <c r="V53" s="1"/>
      <c r="W53" s="1"/>
      <c r="X53" s="1"/>
      <c r="Y53" s="1"/>
      <c r="Z53" s="1"/>
      <c r="AA53" s="1"/>
      <c r="AB53" s="1"/>
      <c r="AC53" s="1"/>
      <c r="AD53" s="1"/>
      <c r="AE53" s="1"/>
      <c r="AF53" s="1"/>
      <c r="AG53" s="1"/>
      <c r="AH53" s="1"/>
      <c r="AI53" s="1"/>
      <c r="AJ53" s="1"/>
      <c r="AK53" s="1"/>
      <c r="AL53" s="1"/>
      <c r="AM53" s="1"/>
      <c r="AN53" s="1"/>
      <c r="AO53" s="1" t="s">
        <v>594</v>
      </c>
      <c r="AP53" s="1"/>
      <c r="AQ53" s="1"/>
      <c r="AR53" s="1"/>
      <c r="AS53" s="1"/>
      <c r="AT53" s="1" t="s">
        <v>567</v>
      </c>
      <c r="AU53" s="3">
        <v>2012</v>
      </c>
      <c r="AV53" s="2"/>
      <c r="AW53" s="3">
        <v>81</v>
      </c>
      <c r="AX53" s="2"/>
      <c r="AY53" s="2"/>
      <c r="AZ53" s="1"/>
      <c r="BA53" s="2"/>
      <c r="BB53" s="3">
        <v>145</v>
      </c>
      <c r="BC53" s="3">
        <v>159</v>
      </c>
      <c r="BD53" s="2"/>
      <c r="BE53" s="1"/>
      <c r="BF53" s="1"/>
      <c r="BG53" s="1"/>
      <c r="BH53" s="1"/>
      <c r="BI53" s="1"/>
      <c r="BJ53" s="1"/>
      <c r="BK53" s="1"/>
      <c r="BL53" s="1"/>
      <c r="BM53" s="1"/>
      <c r="BN53" s="2"/>
      <c r="BO53" s="1"/>
      <c r="BP53" s="1"/>
      <c r="BQ53" s="1"/>
      <c r="BR53" s="1"/>
      <c r="BS53" s="1" t="s">
        <v>595</v>
      </c>
      <c r="BT53" s="5">
        <f>HYPERLINK("https%3A%2F%2Fwww.webofscience.com%2Fwos%2Fwoscc%2Ffull-record%2FWOS:000310816900009","View Full Record in Web of Science")</f>
      </c>
    </row>
    <row x14ac:dyDescent="0.25" r="54" customHeight="1" ht="12.75">
      <c r="A54" s="1" t="s">
        <v>72</v>
      </c>
      <c r="B54" s="1" t="s">
        <v>596</v>
      </c>
      <c r="C54" s="1"/>
      <c r="D54" s="1"/>
      <c r="E54" s="1"/>
      <c r="F54" s="1" t="s">
        <v>597</v>
      </c>
      <c r="G54" s="1"/>
      <c r="H54" s="1"/>
      <c r="I54" s="1" t="s">
        <v>598</v>
      </c>
      <c r="J54" s="1" t="s">
        <v>599</v>
      </c>
      <c r="K54" s="1"/>
      <c r="L54" s="1"/>
      <c r="M54" s="1"/>
      <c r="N54" s="1"/>
      <c r="O54" s="1"/>
      <c r="P54" s="2"/>
      <c r="Q54" s="1"/>
      <c r="R54" s="1"/>
      <c r="S54" s="1"/>
      <c r="T54" s="1"/>
      <c r="U54" s="1"/>
      <c r="V54" s="1" t="s">
        <v>600</v>
      </c>
      <c r="W54" s="1"/>
      <c r="X54" s="1"/>
      <c r="Y54" s="1"/>
      <c r="Z54" s="1"/>
      <c r="AA54" s="1" t="s">
        <v>601</v>
      </c>
      <c r="AB54" s="1" t="s">
        <v>602</v>
      </c>
      <c r="AC54" s="1"/>
      <c r="AD54" s="1"/>
      <c r="AE54" s="1"/>
      <c r="AF54" s="1"/>
      <c r="AG54" s="1"/>
      <c r="AH54" s="1"/>
      <c r="AI54" s="1"/>
      <c r="AJ54" s="1"/>
      <c r="AK54" s="1"/>
      <c r="AL54" s="1"/>
      <c r="AM54" s="1"/>
      <c r="AN54" s="1"/>
      <c r="AO54" s="1" t="s">
        <v>603</v>
      </c>
      <c r="AP54" s="1" t="s">
        <v>604</v>
      </c>
      <c r="AQ54" s="1"/>
      <c r="AR54" s="1"/>
      <c r="AS54" s="1"/>
      <c r="AT54" s="1" t="s">
        <v>605</v>
      </c>
      <c r="AU54" s="3">
        <v>2012</v>
      </c>
      <c r="AV54" s="3">
        <v>86</v>
      </c>
      <c r="AW54" s="3">
        <v>10</v>
      </c>
      <c r="AX54" s="2"/>
      <c r="AY54" s="2"/>
      <c r="AZ54" s="1"/>
      <c r="BA54" s="2"/>
      <c r="BB54" s="3">
        <v>1035</v>
      </c>
      <c r="BC54" s="3">
        <v>1039</v>
      </c>
      <c r="BD54" s="2"/>
      <c r="BE54" s="1" t="s">
        <v>606</v>
      </c>
      <c r="BF54" s="4">
        <f>HYPERLINK("http://dx.doi.org/10.1016/j.chemosphere.2011.11.046","http://dx.doi.org/10.1016/j.chemosphere.2011.11.046")</f>
      </c>
      <c r="BG54" s="1"/>
      <c r="BH54" s="1"/>
      <c r="BI54" s="1"/>
      <c r="BJ54" s="1"/>
      <c r="BK54" s="1"/>
      <c r="BL54" s="1"/>
      <c r="BM54" s="1"/>
      <c r="BN54" s="3">
        <v>22178376</v>
      </c>
      <c r="BO54" s="1"/>
      <c r="BP54" s="1"/>
      <c r="BQ54" s="1"/>
      <c r="BR54" s="1"/>
      <c r="BS54" s="1" t="s">
        <v>607</v>
      </c>
      <c r="BT54" s="5">
        <f>HYPERLINK("https%3A%2F%2Fwww.webofscience.com%2Fwos%2Fwoscc%2Ffull-record%2FWOS:000302277600010","View Full Record in Web of Science")</f>
      </c>
    </row>
    <row x14ac:dyDescent="0.25" r="55" customHeight="1" ht="12.75">
      <c r="A55" s="1" t="s">
        <v>303</v>
      </c>
      <c r="B55" s="1" t="s">
        <v>608</v>
      </c>
      <c r="C55" s="1"/>
      <c r="D55" s="1"/>
      <c r="E55" s="1" t="s">
        <v>571</v>
      </c>
      <c r="F55" s="1" t="s">
        <v>609</v>
      </c>
      <c r="G55" s="1"/>
      <c r="H55" s="1"/>
      <c r="I55" s="1" t="s">
        <v>610</v>
      </c>
      <c r="J55" s="1" t="s">
        <v>611</v>
      </c>
      <c r="K55" s="1"/>
      <c r="L55" s="1"/>
      <c r="M55" s="1"/>
      <c r="N55" s="1"/>
      <c r="O55" s="1" t="s">
        <v>612</v>
      </c>
      <c r="P55" s="2" t="s">
        <v>613</v>
      </c>
      <c r="Q55" s="1" t="s">
        <v>614</v>
      </c>
      <c r="R55" s="1" t="s">
        <v>615</v>
      </c>
      <c r="S55" s="1"/>
      <c r="T55" s="1"/>
      <c r="U55" s="1"/>
      <c r="V55" s="1" t="s">
        <v>616</v>
      </c>
      <c r="W55" s="1"/>
      <c r="X55" s="1"/>
      <c r="Y55" s="1"/>
      <c r="Z55" s="1"/>
      <c r="AA55" s="1"/>
      <c r="AB55" s="1"/>
      <c r="AC55" s="1"/>
      <c r="AD55" s="1"/>
      <c r="AE55" s="1"/>
      <c r="AF55" s="1"/>
      <c r="AG55" s="1"/>
      <c r="AH55" s="1"/>
      <c r="AI55" s="1"/>
      <c r="AJ55" s="1"/>
      <c r="AK55" s="1"/>
      <c r="AL55" s="1"/>
      <c r="AM55" s="1"/>
      <c r="AN55" s="1"/>
      <c r="AO55" s="1"/>
      <c r="AP55" s="1"/>
      <c r="AQ55" s="1" t="s">
        <v>617</v>
      </c>
      <c r="AR55" s="1"/>
      <c r="AS55" s="1"/>
      <c r="AT55" s="1"/>
      <c r="AU55" s="3">
        <v>2012</v>
      </c>
      <c r="AV55" s="2"/>
      <c r="AW55" s="2"/>
      <c r="AX55" s="2"/>
      <c r="AY55" s="2"/>
      <c r="AZ55" s="1"/>
      <c r="BA55" s="2"/>
      <c r="BB55" s="3">
        <v>211</v>
      </c>
      <c r="BC55" s="3">
        <v>216</v>
      </c>
      <c r="BD55" s="2"/>
      <c r="BE55" s="1"/>
      <c r="BF55" s="1"/>
      <c r="BG55" s="1"/>
      <c r="BH55" s="1"/>
      <c r="BI55" s="1"/>
      <c r="BJ55" s="1"/>
      <c r="BK55" s="1"/>
      <c r="BL55" s="1"/>
      <c r="BM55" s="1"/>
      <c r="BN55" s="2"/>
      <c r="BO55" s="1"/>
      <c r="BP55" s="1"/>
      <c r="BQ55" s="1"/>
      <c r="BR55" s="1"/>
      <c r="BS55" s="1" t="s">
        <v>618</v>
      </c>
      <c r="BT55" s="5">
        <f>HYPERLINK("https%3A%2F%2Fwww.webofscience.com%2Fwos%2Fwoscc%2Ffull-record%2FWOS:000324959400026","View Full Record in Web of Science")</f>
      </c>
    </row>
    <row x14ac:dyDescent="0.25" r="56" customHeight="1" ht="12.75">
      <c r="A56" s="1" t="s">
        <v>72</v>
      </c>
      <c r="B56" s="1" t="s">
        <v>619</v>
      </c>
      <c r="C56" s="1"/>
      <c r="D56" s="1"/>
      <c r="E56" s="1"/>
      <c r="F56" s="1" t="s">
        <v>620</v>
      </c>
      <c r="G56" s="1"/>
      <c r="H56" s="1"/>
      <c r="I56" s="1" t="s">
        <v>621</v>
      </c>
      <c r="J56" s="1" t="s">
        <v>98</v>
      </c>
      <c r="K56" s="1"/>
      <c r="L56" s="1"/>
      <c r="M56" s="1"/>
      <c r="N56" s="1"/>
      <c r="O56" s="1"/>
      <c r="P56" s="2"/>
      <c r="Q56" s="1"/>
      <c r="R56" s="1"/>
      <c r="S56" s="1"/>
      <c r="T56" s="1"/>
      <c r="U56" s="1"/>
      <c r="V56" s="1" t="s">
        <v>622</v>
      </c>
      <c r="W56" s="1"/>
      <c r="X56" s="1"/>
      <c r="Y56" s="1"/>
      <c r="Z56" s="1"/>
      <c r="AA56" s="1"/>
      <c r="AB56" s="1"/>
      <c r="AC56" s="1"/>
      <c r="AD56" s="1"/>
      <c r="AE56" s="1"/>
      <c r="AF56" s="1"/>
      <c r="AG56" s="1"/>
      <c r="AH56" s="1"/>
      <c r="AI56" s="1"/>
      <c r="AJ56" s="1"/>
      <c r="AK56" s="1"/>
      <c r="AL56" s="1"/>
      <c r="AM56" s="1"/>
      <c r="AN56" s="1"/>
      <c r="AO56" s="1" t="s">
        <v>101</v>
      </c>
      <c r="AP56" s="1" t="s">
        <v>102</v>
      </c>
      <c r="AQ56" s="1"/>
      <c r="AR56" s="1"/>
      <c r="AS56" s="1"/>
      <c r="AT56" s="1" t="s">
        <v>126</v>
      </c>
      <c r="AU56" s="3">
        <v>2011</v>
      </c>
      <c r="AV56" s="3">
        <v>74</v>
      </c>
      <c r="AW56" s="3">
        <v>10</v>
      </c>
      <c r="AX56" s="2"/>
      <c r="AY56" s="2"/>
      <c r="AZ56" s="1"/>
      <c r="BA56" s="2"/>
      <c r="BB56" s="3">
        <v>3333</v>
      </c>
      <c r="BC56" s="3">
        <v>3352</v>
      </c>
      <c r="BD56" s="2"/>
      <c r="BE56" s="1" t="s">
        <v>623</v>
      </c>
      <c r="BF56" s="4">
        <f>HYPERLINK("http://dx.doi.org/10.1016/j.na.2011.02.010","http://dx.doi.org/10.1016/j.na.2011.02.010")</f>
      </c>
      <c r="BG56" s="1"/>
      <c r="BH56" s="1"/>
      <c r="BI56" s="1"/>
      <c r="BJ56" s="1"/>
      <c r="BK56" s="1"/>
      <c r="BL56" s="1"/>
      <c r="BM56" s="1"/>
      <c r="BN56" s="2"/>
      <c r="BO56" s="1"/>
      <c r="BP56" s="1"/>
      <c r="BQ56" s="1"/>
      <c r="BR56" s="1"/>
      <c r="BS56" s="1" t="s">
        <v>624</v>
      </c>
      <c r="BT56" s="5">
        <f>HYPERLINK("https%3A%2F%2Fwww.webofscience.com%2Fwos%2Fwoscc%2Ffull-record%2FWOS:000289191800022","View Full Record in Web of Science")</f>
      </c>
    </row>
    <row x14ac:dyDescent="0.25" r="57" customHeight="1" ht="12.75">
      <c r="A57" s="1" t="s">
        <v>72</v>
      </c>
      <c r="B57" s="1" t="s">
        <v>625</v>
      </c>
      <c r="C57" s="1"/>
      <c r="D57" s="1"/>
      <c r="E57" s="1"/>
      <c r="F57" s="1" t="s">
        <v>626</v>
      </c>
      <c r="G57" s="1"/>
      <c r="H57" s="1"/>
      <c r="I57" s="1" t="s">
        <v>627</v>
      </c>
      <c r="J57" s="1" t="s">
        <v>534</v>
      </c>
      <c r="K57" s="1"/>
      <c r="L57" s="1"/>
      <c r="M57" s="1"/>
      <c r="N57" s="1"/>
      <c r="O57" s="1"/>
      <c r="P57" s="2"/>
      <c r="Q57" s="1"/>
      <c r="R57" s="1"/>
      <c r="S57" s="1"/>
      <c r="T57" s="1"/>
      <c r="U57" s="1"/>
      <c r="V57" s="1" t="s">
        <v>628</v>
      </c>
      <c r="W57" s="1"/>
      <c r="X57" s="1"/>
      <c r="Y57" s="1"/>
      <c r="Z57" s="1"/>
      <c r="AA57" s="1"/>
      <c r="AB57" s="1" t="s">
        <v>629</v>
      </c>
      <c r="AC57" s="1"/>
      <c r="AD57" s="1"/>
      <c r="AE57" s="1"/>
      <c r="AF57" s="1"/>
      <c r="AG57" s="1"/>
      <c r="AH57" s="1"/>
      <c r="AI57" s="1"/>
      <c r="AJ57" s="1"/>
      <c r="AK57" s="1"/>
      <c r="AL57" s="1"/>
      <c r="AM57" s="1"/>
      <c r="AN57" s="1"/>
      <c r="AO57" s="1" t="s">
        <v>536</v>
      </c>
      <c r="AP57" s="1" t="s">
        <v>537</v>
      </c>
      <c r="AQ57" s="1"/>
      <c r="AR57" s="1"/>
      <c r="AS57" s="1"/>
      <c r="AT57" s="1" t="s">
        <v>181</v>
      </c>
      <c r="AU57" s="3">
        <v>2011</v>
      </c>
      <c r="AV57" s="3">
        <v>37</v>
      </c>
      <c r="AW57" s="3">
        <v>1</v>
      </c>
      <c r="AX57" s="2"/>
      <c r="AY57" s="2"/>
      <c r="AZ57" s="1"/>
      <c r="BA57" s="2"/>
      <c r="BB57" s="3">
        <v>62</v>
      </c>
      <c r="BC57" s="3">
        <v>85</v>
      </c>
      <c r="BD57" s="2"/>
      <c r="BE57" s="1"/>
      <c r="BF57" s="1"/>
      <c r="BG57" s="1"/>
      <c r="BH57" s="1"/>
      <c r="BI57" s="1"/>
      <c r="BJ57" s="1"/>
      <c r="BK57" s="1"/>
      <c r="BL57" s="1"/>
      <c r="BM57" s="1"/>
      <c r="BN57" s="2"/>
      <c r="BO57" s="1"/>
      <c r="BP57" s="1"/>
      <c r="BQ57" s="1"/>
      <c r="BR57" s="1"/>
      <c r="BS57" s="1" t="s">
        <v>630</v>
      </c>
      <c r="BT57" s="5">
        <f>HYPERLINK("https%3A%2F%2Fwww.webofscience.com%2Fwos%2Fwoscc%2Ffull-record%2FWOS:000301627200005","View Full Record in Web of Science")</f>
      </c>
    </row>
    <row x14ac:dyDescent="0.25" r="58" customHeight="1" ht="12.75">
      <c r="A58" s="1" t="s">
        <v>72</v>
      </c>
      <c r="B58" s="1" t="s">
        <v>631</v>
      </c>
      <c r="C58" s="1"/>
      <c r="D58" s="1"/>
      <c r="E58" s="1"/>
      <c r="F58" s="1" t="s">
        <v>632</v>
      </c>
      <c r="G58" s="1"/>
      <c r="H58" s="1"/>
      <c r="I58" s="1" t="s">
        <v>633</v>
      </c>
      <c r="J58" s="1" t="s">
        <v>634</v>
      </c>
      <c r="K58" s="1"/>
      <c r="L58" s="1"/>
      <c r="M58" s="1"/>
      <c r="N58" s="1"/>
      <c r="O58" s="1"/>
      <c r="P58" s="2"/>
      <c r="Q58" s="1"/>
      <c r="R58" s="1"/>
      <c r="S58" s="1"/>
      <c r="T58" s="1"/>
      <c r="U58" s="1"/>
      <c r="V58" s="1" t="s">
        <v>635</v>
      </c>
      <c r="W58" s="1"/>
      <c r="X58" s="1"/>
      <c r="Y58" s="1"/>
      <c r="Z58" s="1"/>
      <c r="AA58" s="1"/>
      <c r="AB58" s="1"/>
      <c r="AC58" s="1"/>
      <c r="AD58" s="1"/>
      <c r="AE58" s="1"/>
      <c r="AF58" s="1"/>
      <c r="AG58" s="1"/>
      <c r="AH58" s="1"/>
      <c r="AI58" s="1"/>
      <c r="AJ58" s="1"/>
      <c r="AK58" s="1"/>
      <c r="AL58" s="1"/>
      <c r="AM58" s="1"/>
      <c r="AN58" s="1"/>
      <c r="AO58" s="1" t="s">
        <v>636</v>
      </c>
      <c r="AP58" s="1" t="s">
        <v>637</v>
      </c>
      <c r="AQ58" s="1"/>
      <c r="AR58" s="1"/>
      <c r="AS58" s="1"/>
      <c r="AT58" s="1" t="s">
        <v>126</v>
      </c>
      <c r="AU58" s="3">
        <v>2010</v>
      </c>
      <c r="AV58" s="3">
        <v>62</v>
      </c>
      <c r="AW58" s="3">
        <v>3</v>
      </c>
      <c r="AX58" s="2"/>
      <c r="AY58" s="2"/>
      <c r="AZ58" s="1"/>
      <c r="BA58" s="2"/>
      <c r="BB58" s="3">
        <v>504</v>
      </c>
      <c r="BC58" s="3">
        <v>528</v>
      </c>
      <c r="BD58" s="2"/>
      <c r="BE58" s="1" t="s">
        <v>638</v>
      </c>
      <c r="BF58" s="4">
        <f>HYPERLINK("http://dx.doi.org/10.1093/oep/gpp028","http://dx.doi.org/10.1093/oep/gpp028")</f>
      </c>
      <c r="BG58" s="1"/>
      <c r="BH58" s="1"/>
      <c r="BI58" s="1"/>
      <c r="BJ58" s="1"/>
      <c r="BK58" s="1"/>
      <c r="BL58" s="1"/>
      <c r="BM58" s="1"/>
      <c r="BN58" s="2"/>
      <c r="BO58" s="1"/>
      <c r="BP58" s="1"/>
      <c r="BQ58" s="1"/>
      <c r="BR58" s="1"/>
      <c r="BS58" s="1" t="s">
        <v>639</v>
      </c>
      <c r="BT58" s="5">
        <f>HYPERLINK("https%3A%2F%2Fwww.webofscience.com%2Fwos%2Fwoscc%2Ffull-record%2FWOS:000279582900004","View Full Record in Web of Science")</f>
      </c>
    </row>
    <row x14ac:dyDescent="0.25" r="59" customHeight="1" ht="12.75">
      <c r="A59" s="1" t="s">
        <v>72</v>
      </c>
      <c r="B59" s="1" t="s">
        <v>640</v>
      </c>
      <c r="C59" s="1"/>
      <c r="D59" s="1"/>
      <c r="E59" s="1"/>
      <c r="F59" s="1" t="s">
        <v>641</v>
      </c>
      <c r="G59" s="1"/>
      <c r="H59" s="1"/>
      <c r="I59" s="1" t="s">
        <v>642</v>
      </c>
      <c r="J59" s="1" t="s">
        <v>643</v>
      </c>
      <c r="K59" s="1"/>
      <c r="L59" s="1"/>
      <c r="M59" s="1"/>
      <c r="N59" s="1"/>
      <c r="O59" s="1"/>
      <c r="P59" s="2"/>
      <c r="Q59" s="1"/>
      <c r="R59" s="1"/>
      <c r="S59" s="1"/>
      <c r="T59" s="1"/>
      <c r="U59" s="1"/>
      <c r="V59" s="1" t="s">
        <v>644</v>
      </c>
      <c r="W59" s="1"/>
      <c r="X59" s="1"/>
      <c r="Y59" s="1"/>
      <c r="Z59" s="1"/>
      <c r="AA59" s="1" t="s">
        <v>645</v>
      </c>
      <c r="AB59" s="1"/>
      <c r="AC59" s="1"/>
      <c r="AD59" s="1"/>
      <c r="AE59" s="1"/>
      <c r="AF59" s="1"/>
      <c r="AG59" s="1"/>
      <c r="AH59" s="1"/>
      <c r="AI59" s="1"/>
      <c r="AJ59" s="1"/>
      <c r="AK59" s="1"/>
      <c r="AL59" s="1"/>
      <c r="AM59" s="1"/>
      <c r="AN59" s="1"/>
      <c r="AO59" s="1" t="s">
        <v>646</v>
      </c>
      <c r="AP59" s="1" t="s">
        <v>647</v>
      </c>
      <c r="AQ59" s="1"/>
      <c r="AR59" s="1"/>
      <c r="AS59" s="1"/>
      <c r="AT59" s="1" t="s">
        <v>648</v>
      </c>
      <c r="AU59" s="3">
        <v>2010</v>
      </c>
      <c r="AV59" s="3">
        <v>27</v>
      </c>
      <c r="AW59" s="3">
        <v>3</v>
      </c>
      <c r="AX59" s="2"/>
      <c r="AY59" s="2"/>
      <c r="AZ59" s="1"/>
      <c r="BA59" s="2"/>
      <c r="BB59" s="3">
        <v>319</v>
      </c>
      <c r="BC59" s="3">
        <v>335</v>
      </c>
      <c r="BD59" s="2"/>
      <c r="BE59" s="1" t="s">
        <v>649</v>
      </c>
      <c r="BF59" s="4">
        <f>HYPERLINK("http://dx.doi.org/10.1002/sres.1009","http://dx.doi.org/10.1002/sres.1009")</f>
      </c>
      <c r="BG59" s="1"/>
      <c r="BH59" s="1"/>
      <c r="BI59" s="1"/>
      <c r="BJ59" s="1"/>
      <c r="BK59" s="1"/>
      <c r="BL59" s="1"/>
      <c r="BM59" s="1"/>
      <c r="BN59" s="2"/>
      <c r="BO59" s="1"/>
      <c r="BP59" s="1"/>
      <c r="BQ59" s="1"/>
      <c r="BR59" s="1"/>
      <c r="BS59" s="1" t="s">
        <v>650</v>
      </c>
      <c r="BT59" s="5">
        <f>HYPERLINK("https%3A%2F%2Fwww.webofscience.com%2Fwos%2Fwoscc%2Ffull-record%2FWOS:000280912900006","View Full Record in Web of Science")</f>
      </c>
    </row>
    <row x14ac:dyDescent="0.25" r="60" customHeight="1" ht="12.75">
      <c r="A60" s="1" t="s">
        <v>72</v>
      </c>
      <c r="B60" s="1" t="s">
        <v>651</v>
      </c>
      <c r="C60" s="1"/>
      <c r="D60" s="1"/>
      <c r="E60" s="1"/>
      <c r="F60" s="1" t="s">
        <v>652</v>
      </c>
      <c r="G60" s="1"/>
      <c r="H60" s="1"/>
      <c r="I60" s="1" t="s">
        <v>653</v>
      </c>
      <c r="J60" s="1" t="s">
        <v>654</v>
      </c>
      <c r="K60" s="1"/>
      <c r="L60" s="1"/>
      <c r="M60" s="1"/>
      <c r="N60" s="1"/>
      <c r="O60" s="1"/>
      <c r="P60" s="2"/>
      <c r="Q60" s="1"/>
      <c r="R60" s="1"/>
      <c r="S60" s="1"/>
      <c r="T60" s="1"/>
      <c r="U60" s="1"/>
      <c r="V60" s="1" t="s">
        <v>655</v>
      </c>
      <c r="W60" s="1"/>
      <c r="X60" s="1"/>
      <c r="Y60" s="1"/>
      <c r="Z60" s="1"/>
      <c r="AA60" s="1"/>
      <c r="AB60" s="1"/>
      <c r="AC60" s="1"/>
      <c r="AD60" s="1"/>
      <c r="AE60" s="1"/>
      <c r="AF60" s="1"/>
      <c r="AG60" s="1"/>
      <c r="AH60" s="1"/>
      <c r="AI60" s="1"/>
      <c r="AJ60" s="1"/>
      <c r="AK60" s="1"/>
      <c r="AL60" s="1"/>
      <c r="AM60" s="1"/>
      <c r="AN60" s="1"/>
      <c r="AO60" s="1" t="s">
        <v>656</v>
      </c>
      <c r="AP60" s="1"/>
      <c r="AQ60" s="1"/>
      <c r="AR60" s="1"/>
      <c r="AS60" s="1"/>
      <c r="AT60" s="1" t="s">
        <v>567</v>
      </c>
      <c r="AU60" s="3">
        <v>2009</v>
      </c>
      <c r="AV60" s="3">
        <v>15</v>
      </c>
      <c r="AW60" s="3">
        <v>2</v>
      </c>
      <c r="AX60" s="2"/>
      <c r="AY60" s="2"/>
      <c r="AZ60" s="1"/>
      <c r="BA60" s="2"/>
      <c r="BB60" s="3">
        <v>159</v>
      </c>
      <c r="BC60" s="3">
        <v>168</v>
      </c>
      <c r="BD60" s="2"/>
      <c r="BE60" s="1" t="s">
        <v>657</v>
      </c>
      <c r="BF60" s="4">
        <f>HYPERLINK("http://dx.doi.org/10.1177/1082013208106207","http://dx.doi.org/10.1177/1082013208106207")</f>
      </c>
      <c r="BG60" s="1"/>
      <c r="BH60" s="1"/>
      <c r="BI60" s="1"/>
      <c r="BJ60" s="1"/>
      <c r="BK60" s="1"/>
      <c r="BL60" s="1"/>
      <c r="BM60" s="1"/>
      <c r="BN60" s="2"/>
      <c r="BO60" s="1"/>
      <c r="BP60" s="1"/>
      <c r="BQ60" s="1"/>
      <c r="BR60" s="1"/>
      <c r="BS60" s="1" t="s">
        <v>658</v>
      </c>
      <c r="BT60" s="5">
        <f>HYPERLINK("https%3A%2F%2Fwww.webofscience.com%2Fwos%2Fwoscc%2Ffull-record%2FWOS:000267440100006","View Full Record in Web of Science")</f>
      </c>
    </row>
    <row x14ac:dyDescent="0.25" r="61" customHeight="1" ht="12.75">
      <c r="A61" s="1" t="s">
        <v>303</v>
      </c>
      <c r="B61" s="1" t="s">
        <v>659</v>
      </c>
      <c r="C61" s="1"/>
      <c r="D61" s="1"/>
      <c r="E61" s="1" t="s">
        <v>660</v>
      </c>
      <c r="F61" s="1" t="s">
        <v>661</v>
      </c>
      <c r="G61" s="1"/>
      <c r="H61" s="1"/>
      <c r="I61" s="1" t="s">
        <v>662</v>
      </c>
      <c r="J61" s="1" t="s">
        <v>663</v>
      </c>
      <c r="K61" s="1"/>
      <c r="L61" s="1"/>
      <c r="M61" s="1"/>
      <c r="N61" s="1"/>
      <c r="O61" s="1" t="s">
        <v>664</v>
      </c>
      <c r="P61" s="2" t="s">
        <v>665</v>
      </c>
      <c r="Q61" s="1" t="s">
        <v>666</v>
      </c>
      <c r="R61" s="1" t="s">
        <v>667</v>
      </c>
      <c r="S61" s="1" t="s">
        <v>668</v>
      </c>
      <c r="T61" s="1"/>
      <c r="U61" s="1"/>
      <c r="V61" s="1" t="s">
        <v>669</v>
      </c>
      <c r="W61" s="1"/>
      <c r="X61" s="1"/>
      <c r="Y61" s="1"/>
      <c r="Z61" s="1"/>
      <c r="AA61" s="1" t="s">
        <v>670</v>
      </c>
      <c r="AB61" s="1" t="s">
        <v>671</v>
      </c>
      <c r="AC61" s="1"/>
      <c r="AD61" s="1"/>
      <c r="AE61" s="1"/>
      <c r="AF61" s="1"/>
      <c r="AG61" s="1"/>
      <c r="AH61" s="1"/>
      <c r="AI61" s="1"/>
      <c r="AJ61" s="1"/>
      <c r="AK61" s="1"/>
      <c r="AL61" s="1"/>
      <c r="AM61" s="1"/>
      <c r="AN61" s="1"/>
      <c r="AO61" s="1"/>
      <c r="AP61" s="1"/>
      <c r="AQ61" s="1" t="s">
        <v>672</v>
      </c>
      <c r="AR61" s="1"/>
      <c r="AS61" s="1"/>
      <c r="AT61" s="1"/>
      <c r="AU61" s="3">
        <v>2009</v>
      </c>
      <c r="AV61" s="2"/>
      <c r="AW61" s="2"/>
      <c r="AX61" s="2"/>
      <c r="AY61" s="2"/>
      <c r="AZ61" s="1"/>
      <c r="BA61" s="2"/>
      <c r="BB61" s="3">
        <v>27</v>
      </c>
      <c r="BC61" s="3">
        <v>38</v>
      </c>
      <c r="BD61" s="2"/>
      <c r="BE61" s="1"/>
      <c r="BF61" s="1"/>
      <c r="BG61" s="1"/>
      <c r="BH61" s="1"/>
      <c r="BI61" s="1"/>
      <c r="BJ61" s="1"/>
      <c r="BK61" s="1"/>
      <c r="BL61" s="1"/>
      <c r="BM61" s="1"/>
      <c r="BN61" s="2"/>
      <c r="BO61" s="1"/>
      <c r="BP61" s="1"/>
      <c r="BQ61" s="1"/>
      <c r="BR61" s="1"/>
      <c r="BS61" s="1" t="s">
        <v>673</v>
      </c>
      <c r="BT61" s="5">
        <f>HYPERLINK("https%3A%2F%2Fwww.webofscience.com%2Fwos%2Fwoscc%2Ffull-record%2FWOS:000275120700003","View Full Record in Web of Science")</f>
      </c>
    </row>
    <row x14ac:dyDescent="0.25" r="62" customHeight="1" ht="12.75">
      <c r="A62" s="1" t="s">
        <v>72</v>
      </c>
      <c r="B62" s="1" t="s">
        <v>674</v>
      </c>
      <c r="C62" s="1"/>
      <c r="D62" s="1"/>
      <c r="E62" s="1"/>
      <c r="F62" s="1" t="s">
        <v>675</v>
      </c>
      <c r="G62" s="1"/>
      <c r="H62" s="1"/>
      <c r="I62" s="1" t="s">
        <v>676</v>
      </c>
      <c r="J62" s="1" t="s">
        <v>677</v>
      </c>
      <c r="K62" s="1"/>
      <c r="L62" s="1"/>
      <c r="M62" s="1"/>
      <c r="N62" s="1"/>
      <c r="O62" s="1"/>
      <c r="P62" s="2"/>
      <c r="Q62" s="1"/>
      <c r="R62" s="1"/>
      <c r="S62" s="1"/>
      <c r="T62" s="1"/>
      <c r="U62" s="1"/>
      <c r="V62" s="1" t="s">
        <v>678</v>
      </c>
      <c r="W62" s="1"/>
      <c r="X62" s="1"/>
      <c r="Y62" s="1"/>
      <c r="Z62" s="1"/>
      <c r="AA62" s="1" t="s">
        <v>679</v>
      </c>
      <c r="AB62" s="1" t="s">
        <v>680</v>
      </c>
      <c r="AC62" s="1"/>
      <c r="AD62" s="1"/>
      <c r="AE62" s="1"/>
      <c r="AF62" s="1"/>
      <c r="AG62" s="1"/>
      <c r="AH62" s="1"/>
      <c r="AI62" s="1"/>
      <c r="AJ62" s="1"/>
      <c r="AK62" s="1"/>
      <c r="AL62" s="1"/>
      <c r="AM62" s="1"/>
      <c r="AN62" s="1"/>
      <c r="AO62" s="1" t="s">
        <v>681</v>
      </c>
      <c r="AP62" s="1" t="s">
        <v>682</v>
      </c>
      <c r="AQ62" s="1"/>
      <c r="AR62" s="1"/>
      <c r="AS62" s="1"/>
      <c r="AT62" s="1" t="s">
        <v>683</v>
      </c>
      <c r="AU62" s="3">
        <v>2008</v>
      </c>
      <c r="AV62" s="3">
        <v>57</v>
      </c>
      <c r="AW62" s="3">
        <v>5</v>
      </c>
      <c r="AX62" s="2"/>
      <c r="AY62" s="2"/>
      <c r="AZ62" s="1"/>
      <c r="BA62" s="2"/>
      <c r="BB62" s="3">
        <v>744</v>
      </c>
      <c r="BC62" s="3">
        <v>749</v>
      </c>
      <c r="BD62" s="2"/>
      <c r="BE62" s="1" t="s">
        <v>684</v>
      </c>
      <c r="BF62" s="4">
        <f>HYPERLINK("http://dx.doi.org/10.1002/pi.2404","http://dx.doi.org/10.1002/pi.2404")</f>
      </c>
      <c r="BG62" s="1"/>
      <c r="BH62" s="1"/>
      <c r="BI62" s="1"/>
      <c r="BJ62" s="1"/>
      <c r="BK62" s="1"/>
      <c r="BL62" s="1"/>
      <c r="BM62" s="1"/>
      <c r="BN62" s="2"/>
      <c r="BO62" s="1"/>
      <c r="BP62" s="1"/>
      <c r="BQ62" s="1"/>
      <c r="BR62" s="1"/>
      <c r="BS62" s="1" t="s">
        <v>685</v>
      </c>
      <c r="BT62" s="5">
        <f>HYPERLINK("https%3A%2F%2Fwww.webofscience.com%2Fwos%2Fwoscc%2Ffull-record%2FWOS:000255313300011","View Full Record in Web of Science")</f>
      </c>
    </row>
    <row x14ac:dyDescent="0.25" r="63" customHeight="1" ht="12.75">
      <c r="A63" s="1" t="s">
        <v>72</v>
      </c>
      <c r="B63" s="1" t="s">
        <v>686</v>
      </c>
      <c r="C63" s="1"/>
      <c r="D63" s="1"/>
      <c r="E63" s="1"/>
      <c r="F63" s="1" t="s">
        <v>687</v>
      </c>
      <c r="G63" s="1"/>
      <c r="H63" s="1"/>
      <c r="I63" s="1" t="s">
        <v>688</v>
      </c>
      <c r="J63" s="1" t="s">
        <v>689</v>
      </c>
      <c r="K63" s="1"/>
      <c r="L63" s="1"/>
      <c r="M63" s="1"/>
      <c r="N63" s="1"/>
      <c r="O63" s="1"/>
      <c r="P63" s="2"/>
      <c r="Q63" s="1"/>
      <c r="R63" s="1"/>
      <c r="S63" s="1"/>
      <c r="T63" s="1"/>
      <c r="U63" s="1"/>
      <c r="V63" s="1" t="s">
        <v>690</v>
      </c>
      <c r="W63" s="1"/>
      <c r="X63" s="1"/>
      <c r="Y63" s="1"/>
      <c r="Z63" s="1"/>
      <c r="AA63" s="1" t="s">
        <v>691</v>
      </c>
      <c r="AB63" s="1" t="s">
        <v>692</v>
      </c>
      <c r="AC63" s="1"/>
      <c r="AD63" s="1"/>
      <c r="AE63" s="1"/>
      <c r="AF63" s="1"/>
      <c r="AG63" s="1"/>
      <c r="AH63" s="1"/>
      <c r="AI63" s="1"/>
      <c r="AJ63" s="1"/>
      <c r="AK63" s="1"/>
      <c r="AL63" s="1"/>
      <c r="AM63" s="1"/>
      <c r="AN63" s="1"/>
      <c r="AO63" s="1" t="s">
        <v>693</v>
      </c>
      <c r="AP63" s="1" t="s">
        <v>694</v>
      </c>
      <c r="AQ63" s="1"/>
      <c r="AR63" s="1"/>
      <c r="AS63" s="1"/>
      <c r="AT63" s="1" t="s">
        <v>431</v>
      </c>
      <c r="AU63" s="3">
        <v>2007</v>
      </c>
      <c r="AV63" s="3">
        <v>82</v>
      </c>
      <c r="AW63" s="3">
        <v>4</v>
      </c>
      <c r="AX63" s="2"/>
      <c r="AY63" s="2"/>
      <c r="AZ63" s="1"/>
      <c r="BA63" s="2"/>
      <c r="BB63" s="3">
        <v>577</v>
      </c>
      <c r="BC63" s="3">
        <v>584</v>
      </c>
      <c r="BD63" s="2"/>
      <c r="BE63" s="1" t="s">
        <v>695</v>
      </c>
      <c r="BF63" s="4">
        <f>HYPERLINK("http://dx.doi.org/10.1016/j.jfoodeng.2007.03.015","http://dx.doi.org/10.1016/j.jfoodeng.2007.03.015")</f>
      </c>
      <c r="BG63" s="1"/>
      <c r="BH63" s="1"/>
      <c r="BI63" s="1"/>
      <c r="BJ63" s="1"/>
      <c r="BK63" s="1"/>
      <c r="BL63" s="1"/>
      <c r="BM63" s="1"/>
      <c r="BN63" s="2"/>
      <c r="BO63" s="1"/>
      <c r="BP63" s="1"/>
      <c r="BQ63" s="1"/>
      <c r="BR63" s="1"/>
      <c r="BS63" s="1" t="s">
        <v>696</v>
      </c>
      <c r="BT63" s="5">
        <f>HYPERLINK("https%3A%2F%2Fwww.webofscience.com%2Fwos%2Fwoscc%2Ffull-record%2FWOS:000247169600020","View Full Record in Web of Science")</f>
      </c>
    </row>
    <row x14ac:dyDescent="0.25" r="64" customHeight="1" ht="12.75">
      <c r="A64" s="1" t="s">
        <v>72</v>
      </c>
      <c r="B64" s="1" t="s">
        <v>697</v>
      </c>
      <c r="C64" s="1"/>
      <c r="D64" s="1"/>
      <c r="E64" s="1"/>
      <c r="F64" s="1" t="s">
        <v>698</v>
      </c>
      <c r="G64" s="1"/>
      <c r="H64" s="1"/>
      <c r="I64" s="1" t="s">
        <v>699</v>
      </c>
      <c r="J64" s="1" t="s">
        <v>700</v>
      </c>
      <c r="K64" s="1"/>
      <c r="L64" s="1"/>
      <c r="M64" s="1"/>
      <c r="N64" s="1"/>
      <c r="O64" s="1"/>
      <c r="P64" s="2"/>
      <c r="Q64" s="1"/>
      <c r="R64" s="1"/>
      <c r="S64" s="1"/>
      <c r="T64" s="1"/>
      <c r="U64" s="1"/>
      <c r="V64" s="1" t="s">
        <v>701</v>
      </c>
      <c r="W64" s="1"/>
      <c r="X64" s="1"/>
      <c r="Y64" s="1"/>
      <c r="Z64" s="1"/>
      <c r="AA64" s="1" t="s">
        <v>702</v>
      </c>
      <c r="AB64" s="1" t="s">
        <v>703</v>
      </c>
      <c r="AC64" s="1"/>
      <c r="AD64" s="1"/>
      <c r="AE64" s="1"/>
      <c r="AF64" s="1"/>
      <c r="AG64" s="1"/>
      <c r="AH64" s="1"/>
      <c r="AI64" s="1"/>
      <c r="AJ64" s="1"/>
      <c r="AK64" s="1"/>
      <c r="AL64" s="1"/>
      <c r="AM64" s="1"/>
      <c r="AN64" s="1"/>
      <c r="AO64" s="1" t="s">
        <v>704</v>
      </c>
      <c r="AP64" s="1" t="s">
        <v>705</v>
      </c>
      <c r="AQ64" s="1"/>
      <c r="AR64" s="1"/>
      <c r="AS64" s="1"/>
      <c r="AT64" s="1" t="s">
        <v>706</v>
      </c>
      <c r="AU64" s="3">
        <v>2007</v>
      </c>
      <c r="AV64" s="3">
        <v>40</v>
      </c>
      <c r="AW64" s="3">
        <v>17</v>
      </c>
      <c r="AX64" s="2"/>
      <c r="AY64" s="2"/>
      <c r="AZ64" s="1"/>
      <c r="BA64" s="2"/>
      <c r="BB64" s="3">
        <v>4467</v>
      </c>
      <c r="BC64" s="3">
        <v>4476</v>
      </c>
      <c r="BD64" s="2"/>
      <c r="BE64" s="1" t="s">
        <v>707</v>
      </c>
      <c r="BF64" s="4">
        <f>HYPERLINK("http://dx.doi.org/10.1088/1751-8113/40/17/004","http://dx.doi.org/10.1088/1751-8113/40/17/004")</f>
      </c>
      <c r="BG64" s="1"/>
      <c r="BH64" s="1"/>
      <c r="BI64" s="1"/>
      <c r="BJ64" s="1"/>
      <c r="BK64" s="1"/>
      <c r="BL64" s="1"/>
      <c r="BM64" s="1"/>
      <c r="BN64" s="2"/>
      <c r="BO64" s="1"/>
      <c r="BP64" s="1"/>
      <c r="BQ64" s="1"/>
      <c r="BR64" s="1"/>
      <c r="BS64" s="1" t="s">
        <v>708</v>
      </c>
      <c r="BT64" s="5">
        <f>HYPERLINK("https%3A%2F%2Fwww.webofscience.com%2Fwos%2Fwoscc%2Ffull-record%2FWOS:000246085400010","View Full Record in Web of Science")</f>
      </c>
    </row>
    <row x14ac:dyDescent="0.25" r="65" customHeight="1" ht="12.75">
      <c r="A65" s="1" t="s">
        <v>303</v>
      </c>
      <c r="B65" s="1" t="s">
        <v>709</v>
      </c>
      <c r="C65" s="1"/>
      <c r="D65" s="1" t="s">
        <v>710</v>
      </c>
      <c r="E65" s="1"/>
      <c r="F65" s="1" t="s">
        <v>711</v>
      </c>
      <c r="G65" s="1"/>
      <c r="H65" s="1"/>
      <c r="I65" s="1" t="s">
        <v>712</v>
      </c>
      <c r="J65" s="1" t="s">
        <v>713</v>
      </c>
      <c r="K65" s="1" t="s">
        <v>714</v>
      </c>
      <c r="L65" s="1"/>
      <c r="M65" s="1"/>
      <c r="N65" s="1"/>
      <c r="O65" s="1" t="s">
        <v>715</v>
      </c>
      <c r="P65" s="2" t="s">
        <v>716</v>
      </c>
      <c r="Q65" s="1" t="s">
        <v>717</v>
      </c>
      <c r="R65" s="1" t="s">
        <v>718</v>
      </c>
      <c r="S65" s="1"/>
      <c r="T65" s="1"/>
      <c r="U65" s="1"/>
      <c r="V65" s="1" t="s">
        <v>719</v>
      </c>
      <c r="W65" s="1"/>
      <c r="X65" s="1"/>
      <c r="Y65" s="1"/>
      <c r="Z65" s="1"/>
      <c r="AA65" s="1"/>
      <c r="AB65" s="1"/>
      <c r="AC65" s="1"/>
      <c r="AD65" s="1"/>
      <c r="AE65" s="1"/>
      <c r="AF65" s="1"/>
      <c r="AG65" s="1"/>
      <c r="AH65" s="1"/>
      <c r="AI65" s="1"/>
      <c r="AJ65" s="1"/>
      <c r="AK65" s="1"/>
      <c r="AL65" s="1"/>
      <c r="AM65" s="1"/>
      <c r="AN65" s="1"/>
      <c r="AO65" s="1"/>
      <c r="AP65" s="1"/>
      <c r="AQ65" s="1" t="s">
        <v>720</v>
      </c>
      <c r="AR65" s="1"/>
      <c r="AS65" s="1"/>
      <c r="AT65" s="1"/>
      <c r="AU65" s="3">
        <v>2007</v>
      </c>
      <c r="AV65" s="2"/>
      <c r="AW65" s="2"/>
      <c r="AX65" s="2"/>
      <c r="AY65" s="2"/>
      <c r="AZ65" s="1"/>
      <c r="BA65" s="2"/>
      <c r="BB65" s="3">
        <v>259</v>
      </c>
      <c r="BC65" s="3">
        <v>264</v>
      </c>
      <c r="BD65" s="2"/>
      <c r="BE65" s="1"/>
      <c r="BF65" s="1"/>
      <c r="BG65" s="1"/>
      <c r="BH65" s="1"/>
      <c r="BI65" s="1"/>
      <c r="BJ65" s="1"/>
      <c r="BK65" s="1"/>
      <c r="BL65" s="1"/>
      <c r="BM65" s="1"/>
      <c r="BN65" s="2"/>
      <c r="BO65" s="1"/>
      <c r="BP65" s="1"/>
      <c r="BQ65" s="1"/>
      <c r="BR65" s="1"/>
      <c r="BS65" s="1" t="s">
        <v>721</v>
      </c>
      <c r="BT65" s="5">
        <f>HYPERLINK("https%3A%2F%2Fwww.webofscience.com%2Fwos%2Fwoscc%2Ffull-record%2FWOS:000254146000042","View Full Record in Web of Science")</f>
      </c>
    </row>
    <row x14ac:dyDescent="0.25" r="66" customHeight="1" ht="12.75">
      <c r="A66" s="1" t="s">
        <v>72</v>
      </c>
      <c r="B66" s="1" t="s">
        <v>722</v>
      </c>
      <c r="C66" s="1"/>
      <c r="D66" s="1"/>
      <c r="E66" s="1"/>
      <c r="F66" s="1" t="s">
        <v>723</v>
      </c>
      <c r="G66" s="1"/>
      <c r="H66" s="1"/>
      <c r="I66" s="1" t="s">
        <v>724</v>
      </c>
      <c r="J66" s="1" t="s">
        <v>725</v>
      </c>
      <c r="K66" s="1"/>
      <c r="L66" s="1"/>
      <c r="M66" s="1"/>
      <c r="N66" s="1"/>
      <c r="O66" s="1"/>
      <c r="P66" s="2"/>
      <c r="Q66" s="1"/>
      <c r="R66" s="1"/>
      <c r="S66" s="1"/>
      <c r="T66" s="1"/>
      <c r="U66" s="1"/>
      <c r="V66" s="1" t="s">
        <v>726</v>
      </c>
      <c r="W66" s="1"/>
      <c r="X66" s="1"/>
      <c r="Y66" s="1"/>
      <c r="Z66" s="1"/>
      <c r="AA66" s="1"/>
      <c r="AB66" s="1"/>
      <c r="AC66" s="1"/>
      <c r="AD66" s="1"/>
      <c r="AE66" s="1"/>
      <c r="AF66" s="1"/>
      <c r="AG66" s="1"/>
      <c r="AH66" s="1"/>
      <c r="AI66" s="1"/>
      <c r="AJ66" s="1"/>
      <c r="AK66" s="1"/>
      <c r="AL66" s="1"/>
      <c r="AM66" s="1"/>
      <c r="AN66" s="1"/>
      <c r="AO66" s="1" t="s">
        <v>727</v>
      </c>
      <c r="AP66" s="1" t="s">
        <v>728</v>
      </c>
      <c r="AQ66" s="1"/>
      <c r="AR66" s="1"/>
      <c r="AS66" s="1"/>
      <c r="AT66" s="1" t="s">
        <v>292</v>
      </c>
      <c r="AU66" s="3">
        <v>2006</v>
      </c>
      <c r="AV66" s="2"/>
      <c r="AW66" s="3">
        <v>41</v>
      </c>
      <c r="AX66" s="2"/>
      <c r="AY66" s="2"/>
      <c r="AZ66" s="1"/>
      <c r="BA66" s="2"/>
      <c r="BB66" s="3">
        <v>251</v>
      </c>
      <c r="BC66" s="3">
        <v>265</v>
      </c>
      <c r="BD66" s="2"/>
      <c r="BE66" s="1"/>
      <c r="BF66" s="1"/>
      <c r="BG66" s="1"/>
      <c r="BH66" s="1"/>
      <c r="BI66" s="1"/>
      <c r="BJ66" s="1"/>
      <c r="BK66" s="1"/>
      <c r="BL66" s="1"/>
      <c r="BM66" s="1"/>
      <c r="BN66" s="2"/>
      <c r="BO66" s="1"/>
      <c r="BP66" s="1"/>
      <c r="BQ66" s="1"/>
      <c r="BR66" s="1"/>
      <c r="BS66" s="1" t="s">
        <v>729</v>
      </c>
      <c r="BT66" s="5">
        <f>HYPERLINK("https%3A%2F%2Fwww.webofscience.com%2Fwos%2Fwoscc%2Ffull-record%2FWOS:000240853700015","View Full Record in Web of Science")</f>
      </c>
    </row>
    <row x14ac:dyDescent="0.25" r="67" customHeight="1" ht="12.75">
      <c r="A67" s="1" t="s">
        <v>303</v>
      </c>
      <c r="B67" s="1" t="s">
        <v>730</v>
      </c>
      <c r="C67" s="1"/>
      <c r="D67" s="1" t="s">
        <v>731</v>
      </c>
      <c r="E67" s="1"/>
      <c r="F67" s="1" t="s">
        <v>730</v>
      </c>
      <c r="G67" s="1"/>
      <c r="H67" s="1"/>
      <c r="I67" s="1" t="s">
        <v>732</v>
      </c>
      <c r="J67" s="1" t="s">
        <v>733</v>
      </c>
      <c r="K67" s="1"/>
      <c r="L67" s="1"/>
      <c r="M67" s="1"/>
      <c r="N67" s="1"/>
      <c r="O67" s="1" t="s">
        <v>734</v>
      </c>
      <c r="P67" s="3">
        <v>2004</v>
      </c>
      <c r="Q67" s="1" t="s">
        <v>735</v>
      </c>
      <c r="R67" s="1" t="s">
        <v>736</v>
      </c>
      <c r="S67" s="1" t="s">
        <v>737</v>
      </c>
      <c r="T67" s="1"/>
      <c r="U67" s="1"/>
      <c r="V67" s="1" t="s">
        <v>738</v>
      </c>
      <c r="W67" s="1"/>
      <c r="X67" s="1"/>
      <c r="Y67" s="1"/>
      <c r="Z67" s="1"/>
      <c r="AA67" s="1" t="s">
        <v>739</v>
      </c>
      <c r="AB67" s="1"/>
      <c r="AC67" s="1"/>
      <c r="AD67" s="1"/>
      <c r="AE67" s="1"/>
      <c r="AF67" s="1"/>
      <c r="AG67" s="1"/>
      <c r="AH67" s="1"/>
      <c r="AI67" s="1"/>
      <c r="AJ67" s="1"/>
      <c r="AK67" s="1"/>
      <c r="AL67" s="1"/>
      <c r="AM67" s="1"/>
      <c r="AN67" s="1"/>
      <c r="AO67" s="1"/>
      <c r="AP67" s="1"/>
      <c r="AQ67" s="1" t="s">
        <v>740</v>
      </c>
      <c r="AR67" s="1"/>
      <c r="AS67" s="1"/>
      <c r="AT67" s="1"/>
      <c r="AU67" s="3">
        <v>2004</v>
      </c>
      <c r="AV67" s="2"/>
      <c r="AW67" s="2"/>
      <c r="AX67" s="2"/>
      <c r="AY67" s="2"/>
      <c r="AZ67" s="1"/>
      <c r="BA67" s="2"/>
      <c r="BB67" s="3">
        <v>173</v>
      </c>
      <c r="BC67" s="3">
        <v>183</v>
      </c>
      <c r="BD67" s="2"/>
      <c r="BE67" s="1" t="s">
        <v>741</v>
      </c>
      <c r="BF67" s="4">
        <f>HYPERLINK("http://dx.doi.org/10.1007/978-0-85729-338-1_15","http://dx.doi.org/10.1007/978-0-85729-338-1_15")</f>
      </c>
      <c r="BG67" s="1"/>
      <c r="BH67" s="1"/>
      <c r="BI67" s="1"/>
      <c r="BJ67" s="1"/>
      <c r="BK67" s="1"/>
      <c r="BL67" s="1"/>
      <c r="BM67" s="1"/>
      <c r="BN67" s="2"/>
      <c r="BO67" s="1"/>
      <c r="BP67" s="1"/>
      <c r="BQ67" s="1"/>
      <c r="BR67" s="1"/>
      <c r="BS67" s="1" t="s">
        <v>742</v>
      </c>
      <c r="BT67" s="5">
        <f>HYPERLINK("https%3A%2F%2Fwww.webofscience.com%2Fwos%2Fwoscc%2Ffull-record%2FWOS:000189506200015","View Full Record in Web of Science")</f>
      </c>
    </row>
    <row x14ac:dyDescent="0.25" r="68" customHeight="1" ht="12.75">
      <c r="A68" s="1" t="s">
        <v>72</v>
      </c>
      <c r="B68" s="1" t="s">
        <v>743</v>
      </c>
      <c r="C68" s="1"/>
      <c r="D68" s="1"/>
      <c r="E68" s="1"/>
      <c r="F68" s="1" t="s">
        <v>743</v>
      </c>
      <c r="G68" s="1"/>
      <c r="H68" s="1"/>
      <c r="I68" s="1" t="s">
        <v>744</v>
      </c>
      <c r="J68" s="1" t="s">
        <v>745</v>
      </c>
      <c r="K68" s="1"/>
      <c r="L68" s="1"/>
      <c r="M68" s="1"/>
      <c r="N68" s="1"/>
      <c r="O68" s="1"/>
      <c r="P68" s="2"/>
      <c r="Q68" s="1"/>
      <c r="R68" s="1"/>
      <c r="S68" s="1"/>
      <c r="T68" s="1"/>
      <c r="U68" s="1"/>
      <c r="V68" s="1" t="s">
        <v>746</v>
      </c>
      <c r="W68" s="1"/>
      <c r="X68" s="1"/>
      <c r="Y68" s="1"/>
      <c r="Z68" s="1"/>
      <c r="AA68" s="1" t="s">
        <v>747</v>
      </c>
      <c r="AB68" s="1" t="s">
        <v>748</v>
      </c>
      <c r="AC68" s="1"/>
      <c r="AD68" s="1"/>
      <c r="AE68" s="1"/>
      <c r="AF68" s="1"/>
      <c r="AG68" s="1"/>
      <c r="AH68" s="1"/>
      <c r="AI68" s="1"/>
      <c r="AJ68" s="1"/>
      <c r="AK68" s="1"/>
      <c r="AL68" s="1"/>
      <c r="AM68" s="1"/>
      <c r="AN68" s="1"/>
      <c r="AO68" s="1" t="s">
        <v>749</v>
      </c>
      <c r="AP68" s="1"/>
      <c r="AQ68" s="1"/>
      <c r="AR68" s="1"/>
      <c r="AS68" s="1"/>
      <c r="AT68" s="1" t="s">
        <v>204</v>
      </c>
      <c r="AU68" s="3">
        <v>2003</v>
      </c>
      <c r="AV68" s="3">
        <v>36</v>
      </c>
      <c r="AW68" s="3">
        <v>8</v>
      </c>
      <c r="AX68" s="2"/>
      <c r="AY68" s="2"/>
      <c r="AZ68" s="1"/>
      <c r="BA68" s="2"/>
      <c r="BB68" s="3">
        <v>587</v>
      </c>
      <c r="BC68" s="3">
        <v>599</v>
      </c>
      <c r="BD68" s="2"/>
      <c r="BE68" s="1" t="s">
        <v>750</v>
      </c>
      <c r="BF68" s="4">
        <f>HYPERLINK("http://dx.doi.org/10.1016/S0963-8695(03)00084-7","http://dx.doi.org/10.1016/S0963-8695(03)00084-7")</f>
      </c>
      <c r="BG68" s="1"/>
      <c r="BH68" s="1"/>
      <c r="BI68" s="1"/>
      <c r="BJ68" s="1"/>
      <c r="BK68" s="1"/>
      <c r="BL68" s="1"/>
      <c r="BM68" s="1"/>
      <c r="BN68" s="2"/>
      <c r="BO68" s="1"/>
      <c r="BP68" s="1"/>
      <c r="BQ68" s="1"/>
      <c r="BR68" s="1"/>
      <c r="BS68" s="1" t="s">
        <v>751</v>
      </c>
      <c r="BT68" s="5">
        <f>HYPERLINK("https%3A%2F%2Fwww.webofscience.com%2Fwos%2Fwoscc%2Ffull-record%2FWOS:000185662900006","View Full Record in Web of Science")</f>
      </c>
    </row>
    <row x14ac:dyDescent="0.25" r="69" customHeight="1" ht="12.75">
      <c r="A69" s="1" t="s">
        <v>72</v>
      </c>
      <c r="B69" s="1" t="s">
        <v>752</v>
      </c>
      <c r="C69" s="1"/>
      <c r="D69" s="1"/>
      <c r="E69" s="1"/>
      <c r="F69" s="1" t="s">
        <v>752</v>
      </c>
      <c r="G69" s="1"/>
      <c r="H69" s="1"/>
      <c r="I69" s="1" t="s">
        <v>753</v>
      </c>
      <c r="J69" s="1" t="s">
        <v>754</v>
      </c>
      <c r="K69" s="1"/>
      <c r="L69" s="1"/>
      <c r="M69" s="1"/>
      <c r="N69" s="1"/>
      <c r="O69" s="1"/>
      <c r="P69" s="2"/>
      <c r="Q69" s="1"/>
      <c r="R69" s="1"/>
      <c r="S69" s="1"/>
      <c r="T69" s="1"/>
      <c r="U69" s="1"/>
      <c r="V69" s="1" t="s">
        <v>755</v>
      </c>
      <c r="W69" s="1"/>
      <c r="X69" s="1"/>
      <c r="Y69" s="1"/>
      <c r="Z69" s="1"/>
      <c r="AA69" s="1"/>
      <c r="AB69" s="1"/>
      <c r="AC69" s="1"/>
      <c r="AD69" s="1"/>
      <c r="AE69" s="1"/>
      <c r="AF69" s="1"/>
      <c r="AG69" s="1"/>
      <c r="AH69" s="1"/>
      <c r="AI69" s="1"/>
      <c r="AJ69" s="1"/>
      <c r="AK69" s="1"/>
      <c r="AL69" s="1"/>
      <c r="AM69" s="1"/>
      <c r="AN69" s="1"/>
      <c r="AO69" s="1" t="s">
        <v>756</v>
      </c>
      <c r="AP69" s="1"/>
      <c r="AQ69" s="1"/>
      <c r="AR69" s="1"/>
      <c r="AS69" s="1"/>
      <c r="AT69" s="1" t="s">
        <v>757</v>
      </c>
      <c r="AU69" s="3">
        <v>2003</v>
      </c>
      <c r="AV69" s="3">
        <v>20</v>
      </c>
      <c r="AW69" s="3">
        <v>1</v>
      </c>
      <c r="AX69" s="2"/>
      <c r="AY69" s="2"/>
      <c r="AZ69" s="1"/>
      <c r="BA69" s="2"/>
      <c r="BB69" s="3">
        <v>127</v>
      </c>
      <c r="BC69" s="3">
        <v>140</v>
      </c>
      <c r="BD69" s="2"/>
      <c r="BE69" s="1"/>
      <c r="BF69" s="1"/>
      <c r="BG69" s="1"/>
      <c r="BH69" s="1"/>
      <c r="BI69" s="1"/>
      <c r="BJ69" s="1"/>
      <c r="BK69" s="1"/>
      <c r="BL69" s="1"/>
      <c r="BM69" s="1"/>
      <c r="BN69" s="2"/>
      <c r="BO69" s="1"/>
      <c r="BP69" s="1"/>
      <c r="BQ69" s="1"/>
      <c r="BR69" s="1"/>
      <c r="BS69" s="1" t="s">
        <v>758</v>
      </c>
      <c r="BT69" s="5">
        <f>HYPERLINK("https%3A%2F%2Fwww.webofscience.com%2Fwos%2Fwoscc%2Ffull-record%2FWOS:000183589900010","View Full Record in Web of Science")</f>
      </c>
    </row>
    <row x14ac:dyDescent="0.25" r="70" customHeight="1" ht="12.75">
      <c r="A70" s="1" t="s">
        <v>72</v>
      </c>
      <c r="B70" s="1" t="s">
        <v>759</v>
      </c>
      <c r="C70" s="1"/>
      <c r="D70" s="1"/>
      <c r="E70" s="1"/>
      <c r="F70" s="1" t="s">
        <v>759</v>
      </c>
      <c r="G70" s="1"/>
      <c r="H70" s="1"/>
      <c r="I70" s="1" t="s">
        <v>760</v>
      </c>
      <c r="J70" s="1" t="s">
        <v>761</v>
      </c>
      <c r="K70" s="1"/>
      <c r="L70" s="1"/>
      <c r="M70" s="1"/>
      <c r="N70" s="1"/>
      <c r="O70" s="1"/>
      <c r="P70" s="2"/>
      <c r="Q70" s="1"/>
      <c r="R70" s="1"/>
      <c r="S70" s="1"/>
      <c r="T70" s="1"/>
      <c r="U70" s="1"/>
      <c r="V70" s="1"/>
      <c r="W70" s="1"/>
      <c r="X70" s="1"/>
      <c r="Y70" s="1"/>
      <c r="Z70" s="1"/>
      <c r="AA70" s="1"/>
      <c r="AB70" s="1"/>
      <c r="AC70" s="1"/>
      <c r="AD70" s="1"/>
      <c r="AE70" s="1"/>
      <c r="AF70" s="1"/>
      <c r="AG70" s="1"/>
      <c r="AH70" s="1"/>
      <c r="AI70" s="1"/>
      <c r="AJ70" s="1"/>
      <c r="AK70" s="1"/>
      <c r="AL70" s="1"/>
      <c r="AM70" s="1"/>
      <c r="AN70" s="1"/>
      <c r="AO70" s="1" t="s">
        <v>762</v>
      </c>
      <c r="AP70" s="1"/>
      <c r="AQ70" s="1"/>
      <c r="AR70" s="1"/>
      <c r="AS70" s="1"/>
      <c r="AT70" s="1" t="s">
        <v>763</v>
      </c>
      <c r="AU70" s="3">
        <v>2003</v>
      </c>
      <c r="AV70" s="3">
        <v>36</v>
      </c>
      <c r="AW70" s="3">
        <v>4</v>
      </c>
      <c r="AX70" s="2"/>
      <c r="AY70" s="2"/>
      <c r="AZ70" s="1"/>
      <c r="BA70" s="2"/>
      <c r="BB70" s="3">
        <v>398</v>
      </c>
      <c r="BC70" s="3">
        <v>398</v>
      </c>
      <c r="BD70" s="2"/>
      <c r="BE70" s="1" t="s">
        <v>764</v>
      </c>
      <c r="BF70" s="4">
        <f>HYPERLINK("http://dx.doi.org/10.33588/rn.3604.2002422","http://dx.doi.org/10.33588/rn.3604.2002422")</f>
      </c>
      <c r="BG70" s="1"/>
      <c r="BH70" s="1"/>
      <c r="BI70" s="1"/>
      <c r="BJ70" s="1"/>
      <c r="BK70" s="1"/>
      <c r="BL70" s="1"/>
      <c r="BM70" s="1"/>
      <c r="BN70" s="3">
        <v>12599144</v>
      </c>
      <c r="BO70" s="1"/>
      <c r="BP70" s="1"/>
      <c r="BQ70" s="1"/>
      <c r="BR70" s="1"/>
      <c r="BS70" s="1" t="s">
        <v>765</v>
      </c>
      <c r="BT70" s="5">
        <f>HYPERLINK("https%3A%2F%2Fwww.webofscience.com%2Fwos%2Fwoscc%2Ffull-record%2FWOS:000181268000022","View Full Record in Web of Science")</f>
      </c>
    </row>
    <row x14ac:dyDescent="0.25" r="71" customHeight="1" ht="12.75">
      <c r="A71" s="1" t="s">
        <v>72</v>
      </c>
      <c r="B71" s="1" t="s">
        <v>766</v>
      </c>
      <c r="C71" s="1"/>
      <c r="D71" s="1"/>
      <c r="E71" s="1"/>
      <c r="F71" s="1" t="s">
        <v>766</v>
      </c>
      <c r="G71" s="1"/>
      <c r="H71" s="1"/>
      <c r="I71" s="1" t="s">
        <v>767</v>
      </c>
      <c r="J71" s="1" t="s">
        <v>689</v>
      </c>
      <c r="K71" s="1"/>
      <c r="L71" s="1"/>
      <c r="M71" s="1"/>
      <c r="N71" s="1"/>
      <c r="O71" s="1" t="s">
        <v>768</v>
      </c>
      <c r="P71" s="2" t="s">
        <v>769</v>
      </c>
      <c r="Q71" s="1" t="s">
        <v>770</v>
      </c>
      <c r="R71" s="1"/>
      <c r="S71" s="1"/>
      <c r="T71" s="1"/>
      <c r="U71" s="1"/>
      <c r="V71" s="1" t="s">
        <v>771</v>
      </c>
      <c r="W71" s="1"/>
      <c r="X71" s="1"/>
      <c r="Y71" s="1"/>
      <c r="Z71" s="1"/>
      <c r="AA71" s="1" t="s">
        <v>772</v>
      </c>
      <c r="AB71" s="1" t="s">
        <v>773</v>
      </c>
      <c r="AC71" s="1"/>
      <c r="AD71" s="1"/>
      <c r="AE71" s="1"/>
      <c r="AF71" s="1"/>
      <c r="AG71" s="1"/>
      <c r="AH71" s="1"/>
      <c r="AI71" s="1"/>
      <c r="AJ71" s="1"/>
      <c r="AK71" s="1"/>
      <c r="AL71" s="1"/>
      <c r="AM71" s="1"/>
      <c r="AN71" s="1"/>
      <c r="AO71" s="1" t="s">
        <v>693</v>
      </c>
      <c r="AP71" s="1"/>
      <c r="AQ71" s="1"/>
      <c r="AR71" s="1"/>
      <c r="AS71" s="1"/>
      <c r="AT71" s="1" t="s">
        <v>137</v>
      </c>
      <c r="AU71" s="3">
        <v>2003</v>
      </c>
      <c r="AV71" s="3">
        <v>56</v>
      </c>
      <c r="AW71" s="2" t="s">
        <v>774</v>
      </c>
      <c r="AX71" s="2"/>
      <c r="AY71" s="2"/>
      <c r="AZ71" s="1"/>
      <c r="BA71" s="2"/>
      <c r="BB71" s="3">
        <v>289</v>
      </c>
      <c r="BC71" s="3">
        <v>293</v>
      </c>
      <c r="BD71" s="2" t="s">
        <v>775</v>
      </c>
      <c r="BE71" s="1" t="s">
        <v>776</v>
      </c>
      <c r="BF71" s="4">
        <f>HYPERLINK("http://dx.doi.org/10.1016/S0260-8774(02)00272-8","http://dx.doi.org/10.1016/S0260-8774(02)00272-8")</f>
      </c>
      <c r="BG71" s="1"/>
      <c r="BH71" s="1"/>
      <c r="BI71" s="1"/>
      <c r="BJ71" s="1"/>
      <c r="BK71" s="1"/>
      <c r="BL71" s="1"/>
      <c r="BM71" s="1"/>
      <c r="BN71" s="2"/>
      <c r="BO71" s="1"/>
      <c r="BP71" s="1"/>
      <c r="BQ71" s="1"/>
      <c r="BR71" s="1"/>
      <c r="BS71" s="1" t="s">
        <v>777</v>
      </c>
      <c r="BT71" s="5">
        <f>HYPERLINK("https%3A%2F%2Fwww.webofscience.com%2Fwos%2Fwoscc%2Ffull-record%2FWOS:000179507400034","View Full Record in Web of Science")</f>
      </c>
    </row>
    <row x14ac:dyDescent="0.25" r="72" customHeight="1" ht="12.75">
      <c r="A72" s="1" t="s">
        <v>778</v>
      </c>
      <c r="B72" s="1" t="s">
        <v>779</v>
      </c>
      <c r="C72" s="1"/>
      <c r="D72" s="1" t="s">
        <v>780</v>
      </c>
      <c r="E72" s="1"/>
      <c r="F72" s="1" t="s">
        <v>779</v>
      </c>
      <c r="G72" s="1"/>
      <c r="H72" s="1"/>
      <c r="I72" s="1" t="s">
        <v>781</v>
      </c>
      <c r="J72" s="1" t="s">
        <v>782</v>
      </c>
      <c r="K72" s="1" t="s">
        <v>783</v>
      </c>
      <c r="L72" s="1"/>
      <c r="M72" s="1"/>
      <c r="N72" s="1"/>
      <c r="O72" s="1" t="s">
        <v>784</v>
      </c>
      <c r="P72" s="2" t="s">
        <v>785</v>
      </c>
      <c r="Q72" s="1" t="s">
        <v>786</v>
      </c>
      <c r="R72" s="1" t="s">
        <v>787</v>
      </c>
      <c r="S72" s="1"/>
      <c r="T72" s="1"/>
      <c r="U72" s="1"/>
      <c r="V72" s="1"/>
      <c r="W72" s="1"/>
      <c r="X72" s="1"/>
      <c r="Y72" s="1"/>
      <c r="Z72" s="1"/>
      <c r="AA72" s="1"/>
      <c r="AB72" s="1"/>
      <c r="AC72" s="1"/>
      <c r="AD72" s="1"/>
      <c r="AE72" s="1"/>
      <c r="AF72" s="1"/>
      <c r="AG72" s="1"/>
      <c r="AH72" s="1"/>
      <c r="AI72" s="1"/>
      <c r="AJ72" s="1"/>
      <c r="AK72" s="1"/>
      <c r="AL72" s="1"/>
      <c r="AM72" s="1"/>
      <c r="AN72" s="1"/>
      <c r="AO72" s="1" t="s">
        <v>788</v>
      </c>
      <c r="AP72" s="1"/>
      <c r="AQ72" s="1" t="s">
        <v>789</v>
      </c>
      <c r="AR72" s="1"/>
      <c r="AS72" s="1"/>
      <c r="AT72" s="1"/>
      <c r="AU72" s="3">
        <v>2003</v>
      </c>
      <c r="AV72" s="3">
        <v>536</v>
      </c>
      <c r="AW72" s="2"/>
      <c r="AX72" s="2"/>
      <c r="AY72" s="2"/>
      <c r="AZ72" s="1"/>
      <c r="BA72" s="2"/>
      <c r="BB72" s="3">
        <v>549</v>
      </c>
      <c r="BC72" s="3">
        <v>554</v>
      </c>
      <c r="BD72" s="2"/>
      <c r="BE72" s="1"/>
      <c r="BF72" s="1"/>
      <c r="BG72" s="1"/>
      <c r="BH72" s="1"/>
      <c r="BI72" s="1"/>
      <c r="BJ72" s="1"/>
      <c r="BK72" s="1"/>
      <c r="BL72" s="1"/>
      <c r="BM72" s="1"/>
      <c r="BN72" s="3">
        <v>14635711</v>
      </c>
      <c r="BO72" s="1"/>
      <c r="BP72" s="1"/>
      <c r="BQ72" s="1"/>
      <c r="BR72" s="1"/>
      <c r="BS72" s="1" t="s">
        <v>790</v>
      </c>
      <c r="BT72" s="5">
        <f>HYPERLINK("https%3A%2F%2Fwww.webofscience.com%2Fwos%2Fwoscc%2Ffull-record%2FWOS:000188998400069","View Full Record in Web of Science")</f>
      </c>
    </row>
    <row x14ac:dyDescent="0.25" r="73" customHeight="1" ht="12.75">
      <c r="A73" s="1" t="s">
        <v>72</v>
      </c>
      <c r="B73" s="1" t="s">
        <v>791</v>
      </c>
      <c r="C73" s="1"/>
      <c r="D73" s="1"/>
      <c r="E73" s="1"/>
      <c r="F73" s="1" t="s">
        <v>791</v>
      </c>
      <c r="G73" s="1"/>
      <c r="H73" s="1"/>
      <c r="I73" s="1" t="s">
        <v>792</v>
      </c>
      <c r="J73" s="1" t="s">
        <v>793</v>
      </c>
      <c r="K73" s="1"/>
      <c r="L73" s="1"/>
      <c r="M73" s="1"/>
      <c r="N73" s="1"/>
      <c r="O73" s="1" t="s">
        <v>794</v>
      </c>
      <c r="P73" s="2" t="s">
        <v>795</v>
      </c>
      <c r="Q73" s="1" t="s">
        <v>796</v>
      </c>
      <c r="R73" s="1"/>
      <c r="S73" s="1"/>
      <c r="T73" s="1"/>
      <c r="U73" s="1"/>
      <c r="V73" s="1" t="s">
        <v>797</v>
      </c>
      <c r="W73" s="1"/>
      <c r="X73" s="1"/>
      <c r="Y73" s="1"/>
      <c r="Z73" s="1"/>
      <c r="AA73" s="1"/>
      <c r="AB73" s="1"/>
      <c r="AC73" s="1"/>
      <c r="AD73" s="1"/>
      <c r="AE73" s="1"/>
      <c r="AF73" s="1"/>
      <c r="AG73" s="1"/>
      <c r="AH73" s="1"/>
      <c r="AI73" s="1"/>
      <c r="AJ73" s="1"/>
      <c r="AK73" s="1"/>
      <c r="AL73" s="1"/>
      <c r="AM73" s="1"/>
      <c r="AN73" s="1"/>
      <c r="AO73" s="1" t="s">
        <v>798</v>
      </c>
      <c r="AP73" s="1"/>
      <c r="AQ73" s="1"/>
      <c r="AR73" s="1"/>
      <c r="AS73" s="1"/>
      <c r="AT73" s="1" t="s">
        <v>204</v>
      </c>
      <c r="AU73" s="3">
        <v>2002</v>
      </c>
      <c r="AV73" s="3">
        <v>48</v>
      </c>
      <c r="AW73" s="2"/>
      <c r="AX73" s="2"/>
      <c r="AY73" s="3">
        <v>3</v>
      </c>
      <c r="AZ73" s="1"/>
      <c r="BA73" s="2"/>
      <c r="BB73" s="3">
        <v>133</v>
      </c>
      <c r="BC73" s="3">
        <v>135</v>
      </c>
      <c r="BD73" s="2"/>
      <c r="BE73" s="1"/>
      <c r="BF73" s="1"/>
      <c r="BG73" s="1"/>
      <c r="BH73" s="1"/>
      <c r="BI73" s="1"/>
      <c r="BJ73" s="1"/>
      <c r="BK73" s="1"/>
      <c r="BL73" s="1"/>
      <c r="BM73" s="1"/>
      <c r="BN73" s="2"/>
      <c r="BO73" s="1"/>
      <c r="BP73" s="1"/>
      <c r="BQ73" s="1"/>
      <c r="BR73" s="1"/>
      <c r="BS73" s="1" t="s">
        <v>799</v>
      </c>
      <c r="BT73" s="5">
        <f>HYPERLINK("https%3A%2F%2Fwww.webofscience.com%2Fwos%2Fwoscc%2Ffull-record%2FWOS:000180065500048","View Full Record in Web of Science")</f>
      </c>
    </row>
    <row x14ac:dyDescent="0.25" r="74" customHeight="1" ht="12.75">
      <c r="A74" s="1" t="s">
        <v>72</v>
      </c>
      <c r="B74" s="1" t="s">
        <v>800</v>
      </c>
      <c r="C74" s="1"/>
      <c r="D74" s="1"/>
      <c r="E74" s="1"/>
      <c r="F74" s="1" t="s">
        <v>800</v>
      </c>
      <c r="G74" s="1"/>
      <c r="H74" s="1"/>
      <c r="I74" s="1" t="s">
        <v>801</v>
      </c>
      <c r="J74" s="1" t="s">
        <v>689</v>
      </c>
      <c r="K74" s="1"/>
      <c r="L74" s="1"/>
      <c r="M74" s="1"/>
      <c r="N74" s="1"/>
      <c r="O74" s="1"/>
      <c r="P74" s="2"/>
      <c r="Q74" s="1"/>
      <c r="R74" s="1"/>
      <c r="S74" s="1"/>
      <c r="T74" s="1"/>
      <c r="U74" s="1"/>
      <c r="V74" s="1" t="s">
        <v>802</v>
      </c>
      <c r="W74" s="1"/>
      <c r="X74" s="1"/>
      <c r="Y74" s="1"/>
      <c r="Z74" s="1"/>
      <c r="AA74" s="1"/>
      <c r="AB74" s="1"/>
      <c r="AC74" s="1"/>
      <c r="AD74" s="1"/>
      <c r="AE74" s="1"/>
      <c r="AF74" s="1"/>
      <c r="AG74" s="1"/>
      <c r="AH74" s="1"/>
      <c r="AI74" s="1"/>
      <c r="AJ74" s="1"/>
      <c r="AK74" s="1"/>
      <c r="AL74" s="1"/>
      <c r="AM74" s="1"/>
      <c r="AN74" s="1"/>
      <c r="AO74" s="1" t="s">
        <v>693</v>
      </c>
      <c r="AP74" s="1"/>
      <c r="AQ74" s="1"/>
      <c r="AR74" s="1"/>
      <c r="AS74" s="1"/>
      <c r="AT74" s="1" t="s">
        <v>292</v>
      </c>
      <c r="AU74" s="3">
        <v>2002</v>
      </c>
      <c r="AV74" s="3">
        <v>54</v>
      </c>
      <c r="AW74" s="3">
        <v>3</v>
      </c>
      <c r="AX74" s="2"/>
      <c r="AY74" s="2"/>
      <c r="AZ74" s="1"/>
      <c r="BA74" s="2"/>
      <c r="BB74" s="3">
        <v>249</v>
      </c>
      <c r="BC74" s="3">
        <v>255</v>
      </c>
      <c r="BD74" s="2" t="s">
        <v>803</v>
      </c>
      <c r="BE74" s="1" t="s">
        <v>804</v>
      </c>
      <c r="BF74" s="4">
        <f>HYPERLINK("http://dx.doi.org/10.1016/S0260-8774(01)00211-4","http://dx.doi.org/10.1016/S0260-8774(01)00211-4")</f>
      </c>
      <c r="BG74" s="1"/>
      <c r="BH74" s="1"/>
      <c r="BI74" s="1"/>
      <c r="BJ74" s="1"/>
      <c r="BK74" s="1"/>
      <c r="BL74" s="1"/>
      <c r="BM74" s="1"/>
      <c r="BN74" s="2"/>
      <c r="BO74" s="1"/>
      <c r="BP74" s="1"/>
      <c r="BQ74" s="1"/>
      <c r="BR74" s="1"/>
      <c r="BS74" s="1" t="s">
        <v>805</v>
      </c>
      <c r="BT74" s="5">
        <f>HYPERLINK("https%3A%2F%2Fwww.webofscience.com%2Fwos%2Fwoscc%2Ffull-record%2FWOS:000176775900009","View Full Record in Web of Science")</f>
      </c>
    </row>
    <row x14ac:dyDescent="0.25" r="75" customHeight="1" ht="12.75">
      <c r="A75" s="1" t="s">
        <v>72</v>
      </c>
      <c r="B75" s="1" t="s">
        <v>806</v>
      </c>
      <c r="C75" s="1"/>
      <c r="D75" s="1"/>
      <c r="E75" s="1"/>
      <c r="F75" s="1" t="s">
        <v>806</v>
      </c>
      <c r="G75" s="1"/>
      <c r="H75" s="1"/>
      <c r="I75" s="1" t="s">
        <v>807</v>
      </c>
      <c r="J75" s="1" t="s">
        <v>793</v>
      </c>
      <c r="K75" s="1"/>
      <c r="L75" s="1"/>
      <c r="M75" s="1"/>
      <c r="N75" s="1"/>
      <c r="O75" s="1" t="s">
        <v>808</v>
      </c>
      <c r="P75" s="2" t="s">
        <v>809</v>
      </c>
      <c r="Q75" s="1" t="s">
        <v>810</v>
      </c>
      <c r="R75" s="1" t="s">
        <v>811</v>
      </c>
      <c r="S75" s="1"/>
      <c r="T75" s="1"/>
      <c r="U75" s="1"/>
      <c r="V75" s="1" t="s">
        <v>812</v>
      </c>
      <c r="W75" s="1"/>
      <c r="X75" s="1"/>
      <c r="Y75" s="1"/>
      <c r="Z75" s="1"/>
      <c r="AA75" s="1" t="s">
        <v>813</v>
      </c>
      <c r="AB75" s="1" t="s">
        <v>814</v>
      </c>
      <c r="AC75" s="1"/>
      <c r="AD75" s="1"/>
      <c r="AE75" s="1"/>
      <c r="AF75" s="1"/>
      <c r="AG75" s="1"/>
      <c r="AH75" s="1"/>
      <c r="AI75" s="1"/>
      <c r="AJ75" s="1"/>
      <c r="AK75" s="1"/>
      <c r="AL75" s="1"/>
      <c r="AM75" s="1"/>
      <c r="AN75" s="1"/>
      <c r="AO75" s="1" t="s">
        <v>798</v>
      </c>
      <c r="AP75" s="1"/>
      <c r="AQ75" s="1"/>
      <c r="AR75" s="1"/>
      <c r="AS75" s="1"/>
      <c r="AT75" s="1" t="s">
        <v>292</v>
      </c>
      <c r="AU75" s="3">
        <v>1998</v>
      </c>
      <c r="AV75" s="3">
        <v>44</v>
      </c>
      <c r="AW75" s="2"/>
      <c r="AX75" s="2"/>
      <c r="AY75" s="3">
        <v>1</v>
      </c>
      <c r="AZ75" s="1"/>
      <c r="BA75" s="2"/>
      <c r="BB75" s="3">
        <v>73</v>
      </c>
      <c r="BC75" s="3">
        <v>77</v>
      </c>
      <c r="BD75" s="2"/>
      <c r="BE75" s="1"/>
      <c r="BF75" s="1"/>
      <c r="BG75" s="1"/>
      <c r="BH75" s="1"/>
      <c r="BI75" s="1"/>
      <c r="BJ75" s="1"/>
      <c r="BK75" s="1"/>
      <c r="BL75" s="1"/>
      <c r="BM75" s="1"/>
      <c r="BN75" s="2"/>
      <c r="BO75" s="1"/>
      <c r="BP75" s="1"/>
      <c r="BQ75" s="1"/>
      <c r="BR75" s="1"/>
      <c r="BS75" s="1" t="s">
        <v>815</v>
      </c>
      <c r="BT75" s="5">
        <f>HYPERLINK("https%3A%2F%2Fwww.webofscience.com%2Fwos%2Fwoscc%2Ffull-record%2FWOS:000076407000020","View Full Record in Web of Science")</f>
      </c>
    </row>
    <row x14ac:dyDescent="0.25" r="76" customHeight="1" ht="12.75">
      <c r="A76" s="1" t="s">
        <v>72</v>
      </c>
      <c r="B76" s="1" t="s">
        <v>816</v>
      </c>
      <c r="C76" s="1"/>
      <c r="D76" s="1"/>
      <c r="E76" s="1"/>
      <c r="F76" s="1" t="s">
        <v>816</v>
      </c>
      <c r="G76" s="1"/>
      <c r="H76" s="1"/>
      <c r="I76" s="1" t="s">
        <v>817</v>
      </c>
      <c r="J76" s="1" t="s">
        <v>818</v>
      </c>
      <c r="K76" s="1"/>
      <c r="L76" s="1"/>
      <c r="M76" s="1"/>
      <c r="N76" s="1"/>
      <c r="O76" s="1"/>
      <c r="P76" s="2"/>
      <c r="Q76" s="1"/>
      <c r="R76" s="1"/>
      <c r="S76" s="1"/>
      <c r="T76" s="1"/>
      <c r="U76" s="1"/>
      <c r="V76" s="1" t="s">
        <v>819</v>
      </c>
      <c r="W76" s="1"/>
      <c r="X76" s="1"/>
      <c r="Y76" s="1"/>
      <c r="Z76" s="1"/>
      <c r="AA76" s="1" t="s">
        <v>820</v>
      </c>
      <c r="AB76" s="1" t="s">
        <v>821</v>
      </c>
      <c r="AC76" s="1"/>
      <c r="AD76" s="1"/>
      <c r="AE76" s="1"/>
      <c r="AF76" s="1"/>
      <c r="AG76" s="1"/>
      <c r="AH76" s="1"/>
      <c r="AI76" s="1"/>
      <c r="AJ76" s="1"/>
      <c r="AK76" s="1"/>
      <c r="AL76" s="1"/>
      <c r="AM76" s="1"/>
      <c r="AN76" s="1"/>
      <c r="AO76" s="1" t="s">
        <v>822</v>
      </c>
      <c r="AP76" s="1"/>
      <c r="AQ76" s="1"/>
      <c r="AR76" s="1"/>
      <c r="AS76" s="1"/>
      <c r="AT76" s="1" t="s">
        <v>757</v>
      </c>
      <c r="AU76" s="3">
        <v>1998</v>
      </c>
      <c r="AV76" s="3">
        <v>13</v>
      </c>
      <c r="AW76" s="3">
        <v>2</v>
      </c>
      <c r="AX76" s="2"/>
      <c r="AY76" s="2"/>
      <c r="AZ76" s="1"/>
      <c r="BA76" s="2"/>
      <c r="BB76" s="3">
        <v>195</v>
      </c>
      <c r="BC76" s="3">
        <v>212</v>
      </c>
      <c r="BD76" s="2"/>
      <c r="BE76" s="1"/>
      <c r="BF76" s="1"/>
      <c r="BG76" s="1"/>
      <c r="BH76" s="1"/>
      <c r="BI76" s="1"/>
      <c r="BJ76" s="1"/>
      <c r="BK76" s="1"/>
      <c r="BL76" s="1"/>
      <c r="BM76" s="1"/>
      <c r="BN76" s="2"/>
      <c r="BO76" s="1"/>
      <c r="BP76" s="1"/>
      <c r="BQ76" s="1"/>
      <c r="BR76" s="1"/>
      <c r="BS76" s="1" t="s">
        <v>823</v>
      </c>
      <c r="BT76" s="5">
        <f>HYPERLINK("https%3A%2F%2Fwww.webofscience.com%2Fwos%2Fwoscc%2Ffull-record%2FWOS:000074869700004","View Full Record in Web of Science")</f>
      </c>
    </row>
    <row x14ac:dyDescent="0.25" r="77" customHeight="1" ht="12.75">
      <c r="A77" s="1" t="s">
        <v>72</v>
      </c>
      <c r="B77" s="1" t="s">
        <v>824</v>
      </c>
      <c r="C77" s="1"/>
      <c r="D77" s="1"/>
      <c r="E77" s="1"/>
      <c r="F77" s="1" t="s">
        <v>824</v>
      </c>
      <c r="G77" s="1"/>
      <c r="H77" s="1"/>
      <c r="I77" s="1" t="s">
        <v>825</v>
      </c>
      <c r="J77" s="1" t="s">
        <v>826</v>
      </c>
      <c r="K77" s="1"/>
      <c r="L77" s="1"/>
      <c r="M77" s="1"/>
      <c r="N77" s="1"/>
      <c r="O77" s="1"/>
      <c r="P77" s="2"/>
      <c r="Q77" s="1"/>
      <c r="R77" s="1"/>
      <c r="S77" s="1"/>
      <c r="T77" s="1"/>
      <c r="U77" s="1"/>
      <c r="V77" s="1" t="s">
        <v>827</v>
      </c>
      <c r="W77" s="1"/>
      <c r="X77" s="1"/>
      <c r="Y77" s="1"/>
      <c r="Z77" s="1"/>
      <c r="AA77" s="1"/>
      <c r="AB77" s="1"/>
      <c r="AC77" s="1"/>
      <c r="AD77" s="1"/>
      <c r="AE77" s="1"/>
      <c r="AF77" s="1"/>
      <c r="AG77" s="1"/>
      <c r="AH77" s="1"/>
      <c r="AI77" s="1"/>
      <c r="AJ77" s="1"/>
      <c r="AK77" s="1"/>
      <c r="AL77" s="1"/>
      <c r="AM77" s="1"/>
      <c r="AN77" s="1"/>
      <c r="AO77" s="1" t="s">
        <v>828</v>
      </c>
      <c r="AP77" s="1"/>
      <c r="AQ77" s="1"/>
      <c r="AR77" s="1"/>
      <c r="AS77" s="1"/>
      <c r="AT77" s="1"/>
      <c r="AU77" s="3">
        <v>1998</v>
      </c>
      <c r="AV77" s="3">
        <v>13</v>
      </c>
      <c r="AW77" s="3">
        <v>5</v>
      </c>
      <c r="AX77" s="2"/>
      <c r="AY77" s="2"/>
      <c r="AZ77" s="1"/>
      <c r="BA77" s="2"/>
      <c r="BB77" s="3">
        <v>731</v>
      </c>
      <c r="BC77" s="3">
        <v>747</v>
      </c>
      <c r="BD77" s="2"/>
      <c r="BE77" s="1" t="s">
        <v>829</v>
      </c>
      <c r="BF77" s="4">
        <f>HYPERLINK("http://dx.doi.org/10.1080/10426919808935295","http://dx.doi.org/10.1080/10426919808935295")</f>
      </c>
      <c r="BG77" s="1"/>
      <c r="BH77" s="1"/>
      <c r="BI77" s="1"/>
      <c r="BJ77" s="1"/>
      <c r="BK77" s="1"/>
      <c r="BL77" s="1"/>
      <c r="BM77" s="1"/>
      <c r="BN77" s="2"/>
      <c r="BO77" s="1"/>
      <c r="BP77" s="1"/>
      <c r="BQ77" s="1"/>
      <c r="BR77" s="1"/>
      <c r="BS77" s="1" t="s">
        <v>830</v>
      </c>
      <c r="BT77" s="5">
        <f>HYPERLINK("https%3A%2F%2Fwww.webofscience.com%2Fwos%2Fwoscc%2Ffull-record%2FWOS:000075627800007","View Full Record in Web of Science")</f>
      </c>
    </row>
    <row x14ac:dyDescent="0.25" r="78" customHeight="1" ht="12.75">
      <c r="A78" s="1" t="s">
        <v>72</v>
      </c>
      <c r="B78" s="1" t="s">
        <v>831</v>
      </c>
      <c r="C78" s="1"/>
      <c r="D78" s="1"/>
      <c r="E78" s="1"/>
      <c r="F78" s="1" t="s">
        <v>831</v>
      </c>
      <c r="G78" s="1"/>
      <c r="H78" s="1"/>
      <c r="I78" s="1" t="s">
        <v>832</v>
      </c>
      <c r="J78" s="1" t="s">
        <v>833</v>
      </c>
      <c r="K78" s="1"/>
      <c r="L78" s="1"/>
      <c r="M78" s="1"/>
      <c r="N78" s="1"/>
      <c r="O78" s="1"/>
      <c r="P78" s="2"/>
      <c r="Q78" s="1"/>
      <c r="R78" s="1"/>
      <c r="S78" s="1"/>
      <c r="T78" s="1"/>
      <c r="U78" s="1"/>
      <c r="V78" s="1" t="s">
        <v>834</v>
      </c>
      <c r="W78" s="1"/>
      <c r="X78" s="1"/>
      <c r="Y78" s="1"/>
      <c r="Z78" s="1"/>
      <c r="AA78" s="1" t="s">
        <v>835</v>
      </c>
      <c r="AB78" s="1"/>
      <c r="AC78" s="1"/>
      <c r="AD78" s="1"/>
      <c r="AE78" s="1"/>
      <c r="AF78" s="1"/>
      <c r="AG78" s="1"/>
      <c r="AH78" s="1"/>
      <c r="AI78" s="1"/>
      <c r="AJ78" s="1"/>
      <c r="AK78" s="1"/>
      <c r="AL78" s="1"/>
      <c r="AM78" s="1"/>
      <c r="AN78" s="1"/>
      <c r="AO78" s="1" t="s">
        <v>836</v>
      </c>
      <c r="AP78" s="1"/>
      <c r="AQ78" s="1"/>
      <c r="AR78" s="1"/>
      <c r="AS78" s="1"/>
      <c r="AT78" s="1" t="s">
        <v>192</v>
      </c>
      <c r="AU78" s="3">
        <v>1997</v>
      </c>
      <c r="AV78" s="3">
        <v>55</v>
      </c>
      <c r="AW78" s="3">
        <v>8</v>
      </c>
      <c r="AX78" s="2"/>
      <c r="AY78" s="2"/>
      <c r="AZ78" s="1"/>
      <c r="BA78" s="2"/>
      <c r="BB78" s="3">
        <v>5248</v>
      </c>
      <c r="BC78" s="3">
        <v>5249</v>
      </c>
      <c r="BD78" s="2"/>
      <c r="BE78" s="1" t="s">
        <v>837</v>
      </c>
      <c r="BF78" s="4">
        <f>HYPERLINK("http://dx.doi.org/10.1103/PhysRevD.55.5248","http://dx.doi.org/10.1103/PhysRevD.55.5248")</f>
      </c>
      <c r="BG78" s="1"/>
      <c r="BH78" s="1"/>
      <c r="BI78" s="1"/>
      <c r="BJ78" s="1"/>
      <c r="BK78" s="1"/>
      <c r="BL78" s="1"/>
      <c r="BM78" s="1"/>
      <c r="BN78" s="2"/>
      <c r="BO78" s="1"/>
      <c r="BP78" s="1"/>
      <c r="BQ78" s="1"/>
      <c r="BR78" s="1"/>
      <c r="BS78" s="1" t="s">
        <v>838</v>
      </c>
      <c r="BT78" s="5">
        <f>HYPERLINK("https%3A%2F%2Fwww.webofscience.com%2Fwos%2Fwoscc%2Ffull-record%2FWOS:A1997WV25000079","View Full Record in Web of Science")</f>
      </c>
    </row>
    <row x14ac:dyDescent="0.25" r="79" customHeight="1" ht="12.75">
      <c r="A79" s="1" t="s">
        <v>303</v>
      </c>
      <c r="B79" s="1" t="s">
        <v>839</v>
      </c>
      <c r="C79" s="1"/>
      <c r="D79" s="1" t="s">
        <v>840</v>
      </c>
      <c r="E79" s="1"/>
      <c r="F79" s="1" t="s">
        <v>839</v>
      </c>
      <c r="G79" s="1"/>
      <c r="H79" s="1"/>
      <c r="I79" s="1" t="s">
        <v>841</v>
      </c>
      <c r="J79" s="1" t="s">
        <v>842</v>
      </c>
      <c r="K79" s="1" t="s">
        <v>843</v>
      </c>
      <c r="L79" s="1"/>
      <c r="M79" s="1"/>
      <c r="N79" s="1"/>
      <c r="O79" s="1" t="s">
        <v>844</v>
      </c>
      <c r="P79" s="2" t="s">
        <v>845</v>
      </c>
      <c r="Q79" s="1" t="s">
        <v>846</v>
      </c>
      <c r="R79" s="1" t="s">
        <v>847</v>
      </c>
      <c r="S79" s="1"/>
      <c r="T79" s="1"/>
      <c r="U79" s="1"/>
      <c r="V79" s="1" t="s">
        <v>848</v>
      </c>
      <c r="W79" s="1"/>
      <c r="X79" s="1"/>
      <c r="Y79" s="1"/>
      <c r="Z79" s="1"/>
      <c r="AA79" s="1" t="s">
        <v>849</v>
      </c>
      <c r="AB79" s="1"/>
      <c r="AC79" s="1"/>
      <c r="AD79" s="1"/>
      <c r="AE79" s="1"/>
      <c r="AF79" s="1"/>
      <c r="AG79" s="1"/>
      <c r="AH79" s="1"/>
      <c r="AI79" s="1"/>
      <c r="AJ79" s="1"/>
      <c r="AK79" s="1"/>
      <c r="AL79" s="1"/>
      <c r="AM79" s="1"/>
      <c r="AN79" s="1"/>
      <c r="AO79" s="1" t="s">
        <v>850</v>
      </c>
      <c r="AP79" s="1"/>
      <c r="AQ79" s="1" t="s">
        <v>851</v>
      </c>
      <c r="AR79" s="1"/>
      <c r="AS79" s="1"/>
      <c r="AT79" s="1"/>
      <c r="AU79" s="3">
        <v>1997</v>
      </c>
      <c r="AV79" s="2"/>
      <c r="AW79" s="3">
        <v>214</v>
      </c>
      <c r="AX79" s="2"/>
      <c r="AY79" s="2"/>
      <c r="AZ79" s="1"/>
      <c r="BA79" s="2"/>
      <c r="BB79" s="3">
        <v>288</v>
      </c>
      <c r="BC79" s="3">
        <v>294</v>
      </c>
      <c r="BD79" s="2"/>
      <c r="BE79" s="1"/>
      <c r="BF79" s="1"/>
      <c r="BG79" s="1"/>
      <c r="BH79" s="1"/>
      <c r="BI79" s="1"/>
      <c r="BJ79" s="1"/>
      <c r="BK79" s="1"/>
      <c r="BL79" s="1"/>
      <c r="BM79" s="1"/>
      <c r="BN79" s="2"/>
      <c r="BO79" s="1"/>
      <c r="BP79" s="1"/>
      <c r="BQ79" s="1"/>
      <c r="BR79" s="1"/>
      <c r="BS79" s="1" t="s">
        <v>852</v>
      </c>
      <c r="BT79" s="5">
        <f>HYPERLINK("https%3A%2F%2Fwww.webofscience.com%2Fwos%2Fwoscc%2Ffull-record%2FWOS:A1997BJ88E00043","View Full Record in Web of Science")</f>
      </c>
    </row>
    <row x14ac:dyDescent="0.25" r="80" customHeight="1" ht="12.75">
      <c r="A80" s="1" t="s">
        <v>303</v>
      </c>
      <c r="B80" s="1" t="s">
        <v>853</v>
      </c>
      <c r="C80" s="1"/>
      <c r="D80" s="1" t="s">
        <v>854</v>
      </c>
      <c r="E80" s="1"/>
      <c r="F80" s="1" t="s">
        <v>853</v>
      </c>
      <c r="G80" s="1"/>
      <c r="H80" s="1"/>
      <c r="I80" s="1" t="s">
        <v>855</v>
      </c>
      <c r="J80" s="1" t="s">
        <v>856</v>
      </c>
      <c r="K80" s="1"/>
      <c r="L80" s="1"/>
      <c r="M80" s="1"/>
      <c r="N80" s="1"/>
      <c r="O80" s="1" t="s">
        <v>857</v>
      </c>
      <c r="P80" s="2" t="s">
        <v>858</v>
      </c>
      <c r="Q80" s="1" t="s">
        <v>859</v>
      </c>
      <c r="R80" s="1"/>
      <c r="S80" s="1" t="s">
        <v>860</v>
      </c>
      <c r="T80" s="1"/>
      <c r="U80" s="1"/>
      <c r="V80" s="1" t="s">
        <v>861</v>
      </c>
      <c r="W80" s="1"/>
      <c r="X80" s="1"/>
      <c r="Y80" s="1"/>
      <c r="Z80" s="1"/>
      <c r="AA80" s="1"/>
      <c r="AB80" s="1"/>
      <c r="AC80" s="1"/>
      <c r="AD80" s="1"/>
      <c r="AE80" s="1"/>
      <c r="AF80" s="1"/>
      <c r="AG80" s="1"/>
      <c r="AH80" s="1"/>
      <c r="AI80" s="1"/>
      <c r="AJ80" s="1"/>
      <c r="AK80" s="1"/>
      <c r="AL80" s="1"/>
      <c r="AM80" s="1"/>
      <c r="AN80" s="1"/>
      <c r="AO80" s="1"/>
      <c r="AP80" s="1"/>
      <c r="AQ80" s="1" t="s">
        <v>862</v>
      </c>
      <c r="AR80" s="1"/>
      <c r="AS80" s="1"/>
      <c r="AT80" s="1"/>
      <c r="AU80" s="3">
        <v>1997</v>
      </c>
      <c r="AV80" s="2"/>
      <c r="AW80" s="2"/>
      <c r="AX80" s="2"/>
      <c r="AY80" s="2"/>
      <c r="AZ80" s="1"/>
      <c r="BA80" s="2"/>
      <c r="BB80" s="3">
        <v>331</v>
      </c>
      <c r="BC80" s="3">
        <v>336</v>
      </c>
      <c r="BD80" s="2"/>
      <c r="BE80" s="1"/>
      <c r="BF80" s="1"/>
      <c r="BG80" s="1"/>
      <c r="BH80" s="1"/>
      <c r="BI80" s="1"/>
      <c r="BJ80" s="1"/>
      <c r="BK80" s="1"/>
      <c r="BL80" s="1"/>
      <c r="BM80" s="1"/>
      <c r="BN80" s="2"/>
      <c r="BO80" s="1"/>
      <c r="BP80" s="1"/>
      <c r="BQ80" s="1"/>
      <c r="BR80" s="1"/>
      <c r="BS80" s="1" t="s">
        <v>863</v>
      </c>
      <c r="BT80" s="5">
        <f>HYPERLINK("https%3A%2F%2Fwww.webofscience.com%2Fwos%2Fwoscc%2Ffull-record%2FWOS:000072975000041","View Full Record in Web of Science")</f>
      </c>
    </row>
    <row x14ac:dyDescent="0.25" r="81" customHeight="1" ht="12.75">
      <c r="A81" s="1" t="s">
        <v>72</v>
      </c>
      <c r="B81" s="1" t="s">
        <v>864</v>
      </c>
      <c r="C81" s="1"/>
      <c r="D81" s="1"/>
      <c r="E81" s="1"/>
      <c r="F81" s="1" t="s">
        <v>864</v>
      </c>
      <c r="G81" s="1"/>
      <c r="H81" s="1"/>
      <c r="I81" s="1" t="s">
        <v>865</v>
      </c>
      <c r="J81" s="1" t="s">
        <v>866</v>
      </c>
      <c r="K81" s="1"/>
      <c r="L81" s="1"/>
      <c r="M81" s="1"/>
      <c r="N81" s="1"/>
      <c r="O81" s="1"/>
      <c r="P81" s="2"/>
      <c r="Q81" s="1"/>
      <c r="R81" s="1"/>
      <c r="S81" s="1"/>
      <c r="T81" s="1"/>
      <c r="U81" s="1"/>
      <c r="V81" s="1" t="s">
        <v>867</v>
      </c>
      <c r="W81" s="1"/>
      <c r="X81" s="1"/>
      <c r="Y81" s="1"/>
      <c r="Z81" s="1"/>
      <c r="AA81" s="1"/>
      <c r="AB81" s="1" t="s">
        <v>868</v>
      </c>
      <c r="AC81" s="1"/>
      <c r="AD81" s="1"/>
      <c r="AE81" s="1"/>
      <c r="AF81" s="1"/>
      <c r="AG81" s="1"/>
      <c r="AH81" s="1"/>
      <c r="AI81" s="1"/>
      <c r="AJ81" s="1"/>
      <c r="AK81" s="1"/>
      <c r="AL81" s="1"/>
      <c r="AM81" s="1"/>
      <c r="AN81" s="1"/>
      <c r="AO81" s="1" t="s">
        <v>869</v>
      </c>
      <c r="AP81" s="1"/>
      <c r="AQ81" s="1"/>
      <c r="AR81" s="1"/>
      <c r="AS81" s="1"/>
      <c r="AT81" s="1" t="s">
        <v>567</v>
      </c>
      <c r="AU81" s="3">
        <v>1996</v>
      </c>
      <c r="AV81" s="3">
        <v>36</v>
      </c>
      <c r="AW81" s="3">
        <v>4</v>
      </c>
      <c r="AX81" s="2"/>
      <c r="AY81" s="2"/>
      <c r="AZ81" s="1"/>
      <c r="BA81" s="2"/>
      <c r="BB81" s="3">
        <v>449</v>
      </c>
      <c r="BC81" s="3">
        <v>454</v>
      </c>
      <c r="BD81" s="2"/>
      <c r="BE81" s="1" t="s">
        <v>870</v>
      </c>
      <c r="BF81" s="4">
        <f>HYPERLINK("http://dx.doi.org/10.1007/BF00315062","http://dx.doi.org/10.1007/BF00315062")</f>
      </c>
      <c r="BG81" s="1"/>
      <c r="BH81" s="1"/>
      <c r="BI81" s="1"/>
      <c r="BJ81" s="1"/>
      <c r="BK81" s="1"/>
      <c r="BL81" s="1"/>
      <c r="BM81" s="1"/>
      <c r="BN81" s="2"/>
      <c r="BO81" s="1"/>
      <c r="BP81" s="1"/>
      <c r="BQ81" s="1"/>
      <c r="BR81" s="1"/>
      <c r="BS81" s="1" t="s">
        <v>871</v>
      </c>
      <c r="BT81" s="5">
        <f>HYPERLINK("https%3A%2F%2Fwww.webofscience.com%2Fwos%2Fwoscc%2Ffull-record%2FWOS:A1996TZ31300009","View Full Record in Web of Science")</f>
      </c>
    </row>
    <row x14ac:dyDescent="0.25" r="82" customHeight="1" ht="12.75">
      <c r="A82" s="1" t="s">
        <v>72</v>
      </c>
      <c r="B82" s="1" t="s">
        <v>872</v>
      </c>
      <c r="C82" s="1"/>
      <c r="D82" s="1"/>
      <c r="E82" s="1"/>
      <c r="F82" s="1" t="s">
        <v>872</v>
      </c>
      <c r="G82" s="1"/>
      <c r="H82" s="1"/>
      <c r="I82" s="1" t="s">
        <v>873</v>
      </c>
      <c r="J82" s="1" t="s">
        <v>874</v>
      </c>
      <c r="K82" s="1"/>
      <c r="L82" s="1"/>
      <c r="M82" s="1"/>
      <c r="N82" s="1"/>
      <c r="O82" s="1"/>
      <c r="P82" s="2"/>
      <c r="Q82" s="1"/>
      <c r="R82" s="1"/>
      <c r="S82" s="1"/>
      <c r="T82" s="1"/>
      <c r="U82" s="1"/>
      <c r="V82" s="1" t="s">
        <v>875</v>
      </c>
      <c r="W82" s="1"/>
      <c r="X82" s="1"/>
      <c r="Y82" s="1"/>
      <c r="Z82" s="1"/>
      <c r="AA82" s="1"/>
      <c r="AB82" s="1"/>
      <c r="AC82" s="1"/>
      <c r="AD82" s="1"/>
      <c r="AE82" s="1"/>
      <c r="AF82" s="1"/>
      <c r="AG82" s="1"/>
      <c r="AH82" s="1"/>
      <c r="AI82" s="1"/>
      <c r="AJ82" s="1"/>
      <c r="AK82" s="1"/>
      <c r="AL82" s="1"/>
      <c r="AM82" s="1"/>
      <c r="AN82" s="1"/>
      <c r="AO82" s="1" t="s">
        <v>876</v>
      </c>
      <c r="AP82" s="1"/>
      <c r="AQ82" s="1"/>
      <c r="AR82" s="1"/>
      <c r="AS82" s="1"/>
      <c r="AT82" s="1" t="s">
        <v>877</v>
      </c>
      <c r="AU82" s="3">
        <v>1996</v>
      </c>
      <c r="AV82" s="3">
        <v>178</v>
      </c>
      <c r="AW82" s="3">
        <v>1</v>
      </c>
      <c r="AX82" s="2"/>
      <c r="AY82" s="2"/>
      <c r="AZ82" s="1"/>
      <c r="BA82" s="2"/>
      <c r="BB82" s="3">
        <v>298</v>
      </c>
      <c r="BC82" s="3">
        <v>302</v>
      </c>
      <c r="BD82" s="2"/>
      <c r="BE82" s="1" t="s">
        <v>878</v>
      </c>
      <c r="BF82" s="4">
        <f>HYPERLINK("http://dx.doi.org/10.1006/jcis.1996.0117","http://dx.doi.org/10.1006/jcis.1996.0117")</f>
      </c>
      <c r="BG82" s="1"/>
      <c r="BH82" s="1"/>
      <c r="BI82" s="1"/>
      <c r="BJ82" s="1"/>
      <c r="BK82" s="1"/>
      <c r="BL82" s="1"/>
      <c r="BM82" s="1"/>
      <c r="BN82" s="2"/>
      <c r="BO82" s="1"/>
      <c r="BP82" s="1"/>
      <c r="BQ82" s="1"/>
      <c r="BR82" s="1"/>
      <c r="BS82" s="1" t="s">
        <v>879</v>
      </c>
      <c r="BT82" s="5">
        <f>HYPERLINK("https%3A%2F%2Fwww.webofscience.com%2Fwos%2Fwoscc%2Ffull-record%2FWOS:A1996TZ72300032","View Full Record in Web of Science")</f>
      </c>
    </row>
    <row x14ac:dyDescent="0.25" r="83" customHeight="1" ht="12.75">
      <c r="A83" s="1" t="s">
        <v>72</v>
      </c>
      <c r="B83" s="1" t="s">
        <v>880</v>
      </c>
      <c r="C83" s="1"/>
      <c r="D83" s="1"/>
      <c r="E83" s="1"/>
      <c r="F83" s="1" t="s">
        <v>880</v>
      </c>
      <c r="G83" s="1"/>
      <c r="H83" s="1"/>
      <c r="I83" s="1" t="s">
        <v>881</v>
      </c>
      <c r="J83" s="1" t="s">
        <v>437</v>
      </c>
      <c r="K83" s="1"/>
      <c r="L83" s="1"/>
      <c r="M83" s="1"/>
      <c r="N83" s="1"/>
      <c r="O83" s="1"/>
      <c r="P83" s="2"/>
      <c r="Q83" s="1"/>
      <c r="R83" s="1"/>
      <c r="S83" s="1"/>
      <c r="T83" s="1"/>
      <c r="U83" s="1"/>
      <c r="V83" s="1" t="s">
        <v>882</v>
      </c>
      <c r="W83" s="1"/>
      <c r="X83" s="1"/>
      <c r="Y83" s="1"/>
      <c r="Z83" s="1"/>
      <c r="AA83" s="1"/>
      <c r="AB83" s="1"/>
      <c r="AC83" s="1"/>
      <c r="AD83" s="1"/>
      <c r="AE83" s="1"/>
      <c r="AF83" s="1"/>
      <c r="AG83" s="1"/>
      <c r="AH83" s="1"/>
      <c r="AI83" s="1"/>
      <c r="AJ83" s="1"/>
      <c r="AK83" s="1"/>
      <c r="AL83" s="1"/>
      <c r="AM83" s="1"/>
      <c r="AN83" s="1"/>
      <c r="AO83" s="1" t="s">
        <v>441</v>
      </c>
      <c r="AP83" s="1"/>
      <c r="AQ83" s="1"/>
      <c r="AR83" s="1"/>
      <c r="AS83" s="1"/>
      <c r="AT83" s="1" t="s">
        <v>169</v>
      </c>
      <c r="AU83" s="3">
        <v>1994</v>
      </c>
      <c r="AV83" s="3">
        <v>30</v>
      </c>
      <c r="AW83" s="3">
        <v>11</v>
      </c>
      <c r="AX83" s="2"/>
      <c r="AY83" s="2"/>
      <c r="AZ83" s="1"/>
      <c r="BA83" s="2"/>
      <c r="BB83" s="3">
        <v>1223</v>
      </c>
      <c r="BC83" s="3">
        <v>1226</v>
      </c>
      <c r="BD83" s="2"/>
      <c r="BE83" s="1" t="s">
        <v>883</v>
      </c>
      <c r="BF83" s="4">
        <f>HYPERLINK("http://dx.doi.org/10.1016/0014-3057(94)90130-9","http://dx.doi.org/10.1016/0014-3057(94)90130-9")</f>
      </c>
      <c r="BG83" s="1"/>
      <c r="BH83" s="1"/>
      <c r="BI83" s="1"/>
      <c r="BJ83" s="1"/>
      <c r="BK83" s="1"/>
      <c r="BL83" s="1"/>
      <c r="BM83" s="1"/>
      <c r="BN83" s="2"/>
      <c r="BO83" s="1"/>
      <c r="BP83" s="1"/>
      <c r="BQ83" s="1"/>
      <c r="BR83" s="1"/>
      <c r="BS83" s="1" t="s">
        <v>884</v>
      </c>
      <c r="BT83" s="5">
        <f>HYPERLINK("https%3A%2F%2Fwww.webofscience.com%2Fwos%2Fwoscc%2Ffull-record%2FWOS:A1994PP68000004","View Full Record in Web of Science")</f>
      </c>
    </row>
    <row x14ac:dyDescent="0.25" r="84" customHeight="1" ht="12.75">
      <c r="A84" s="1" t="s">
        <v>303</v>
      </c>
      <c r="B84" s="1" t="s">
        <v>885</v>
      </c>
      <c r="C84" s="1"/>
      <c r="D84" s="1" t="s">
        <v>886</v>
      </c>
      <c r="E84" s="1"/>
      <c r="F84" s="1" t="s">
        <v>885</v>
      </c>
      <c r="G84" s="1"/>
      <c r="H84" s="1"/>
      <c r="I84" s="1" t="s">
        <v>887</v>
      </c>
      <c r="J84" s="1" t="s">
        <v>888</v>
      </c>
      <c r="K84" s="1"/>
      <c r="L84" s="1"/>
      <c r="M84" s="1"/>
      <c r="N84" s="1"/>
      <c r="O84" s="1" t="s">
        <v>889</v>
      </c>
      <c r="P84" s="2" t="s">
        <v>890</v>
      </c>
      <c r="Q84" s="1" t="s">
        <v>891</v>
      </c>
      <c r="R84" s="1" t="s">
        <v>892</v>
      </c>
      <c r="S84" s="1"/>
      <c r="T84" s="1"/>
      <c r="U84" s="1"/>
      <c r="V84" s="1"/>
      <c r="W84" s="1"/>
      <c r="X84" s="1"/>
      <c r="Y84" s="1"/>
      <c r="Z84" s="1"/>
      <c r="AA84" s="1"/>
      <c r="AB84" s="1"/>
      <c r="AC84" s="1"/>
      <c r="AD84" s="1"/>
      <c r="AE84" s="1"/>
      <c r="AF84" s="1"/>
      <c r="AG84" s="1"/>
      <c r="AH84" s="1"/>
      <c r="AI84" s="1"/>
      <c r="AJ84" s="1"/>
      <c r="AK84" s="1"/>
      <c r="AL84" s="1"/>
      <c r="AM84" s="1"/>
      <c r="AN84" s="1"/>
      <c r="AO84" s="1"/>
      <c r="AP84" s="1"/>
      <c r="AQ84" s="1" t="s">
        <v>893</v>
      </c>
      <c r="AR84" s="1"/>
      <c r="AS84" s="1"/>
      <c r="AT84" s="1"/>
      <c r="AU84" s="3">
        <v>1994</v>
      </c>
      <c r="AV84" s="2"/>
      <c r="AW84" s="2"/>
      <c r="AX84" s="2"/>
      <c r="AY84" s="2"/>
      <c r="AZ84" s="1"/>
      <c r="BA84" s="2"/>
      <c r="BB84" s="3">
        <v>571</v>
      </c>
      <c r="BC84" s="3">
        <v>580</v>
      </c>
      <c r="BD84" s="2"/>
      <c r="BE84" s="1"/>
      <c r="BF84" s="1"/>
      <c r="BG84" s="1"/>
      <c r="BH84" s="1"/>
      <c r="BI84" s="1"/>
      <c r="BJ84" s="1"/>
      <c r="BK84" s="1"/>
      <c r="BL84" s="1"/>
      <c r="BM84" s="1"/>
      <c r="BN84" s="2"/>
      <c r="BO84" s="1"/>
      <c r="BP84" s="1"/>
      <c r="BQ84" s="1"/>
      <c r="BR84" s="1"/>
      <c r="BS84" s="1" t="s">
        <v>894</v>
      </c>
      <c r="BT84" s="5">
        <f>HYPERLINK("https%3A%2F%2Fwww.webofscience.com%2Fwos%2Fwoscc%2Ffull-record%2FWOS:A1994BZ87P00038","View Full Record in Web of Science")</f>
      </c>
    </row>
    <row x14ac:dyDescent="0.25" r="85" customHeight="1" ht="12.75">
      <c r="A85" s="1" t="s">
        <v>72</v>
      </c>
      <c r="B85" s="1" t="s">
        <v>895</v>
      </c>
      <c r="C85" s="1"/>
      <c r="D85" s="1"/>
      <c r="E85" s="1"/>
      <c r="F85" s="1" t="s">
        <v>895</v>
      </c>
      <c r="G85" s="1"/>
      <c r="H85" s="1"/>
      <c r="I85" s="1" t="s">
        <v>896</v>
      </c>
      <c r="J85" s="1" t="s">
        <v>897</v>
      </c>
      <c r="K85" s="1"/>
      <c r="L85" s="1"/>
      <c r="M85" s="1"/>
      <c r="N85" s="1"/>
      <c r="O85" s="1"/>
      <c r="P85" s="2"/>
      <c r="Q85" s="1"/>
      <c r="R85" s="1"/>
      <c r="S85" s="1"/>
      <c r="T85" s="1"/>
      <c r="U85" s="1"/>
      <c r="V85" s="1" t="s">
        <v>898</v>
      </c>
      <c r="W85" s="1"/>
      <c r="X85" s="1"/>
      <c r="Y85" s="1"/>
      <c r="Z85" s="1"/>
      <c r="AA85" s="1" t="s">
        <v>899</v>
      </c>
      <c r="AB85" s="1"/>
      <c r="AC85" s="1"/>
      <c r="AD85" s="1"/>
      <c r="AE85" s="1"/>
      <c r="AF85" s="1"/>
      <c r="AG85" s="1"/>
      <c r="AH85" s="1"/>
      <c r="AI85" s="1"/>
      <c r="AJ85" s="1"/>
      <c r="AK85" s="1"/>
      <c r="AL85" s="1"/>
      <c r="AM85" s="1"/>
      <c r="AN85" s="1"/>
      <c r="AO85" s="1" t="s">
        <v>900</v>
      </c>
      <c r="AP85" s="1"/>
      <c r="AQ85" s="1"/>
      <c r="AR85" s="1"/>
      <c r="AS85" s="1"/>
      <c r="AT85" s="1" t="s">
        <v>204</v>
      </c>
      <c r="AU85" s="3">
        <v>1992</v>
      </c>
      <c r="AV85" s="3">
        <v>37</v>
      </c>
      <c r="AW85" s="3">
        <v>4</v>
      </c>
      <c r="AX85" s="2"/>
      <c r="AY85" s="2"/>
      <c r="AZ85" s="1"/>
      <c r="BA85" s="2"/>
      <c r="BB85" s="3">
        <v>341</v>
      </c>
      <c r="BC85" s="3">
        <v>344</v>
      </c>
      <c r="BD85" s="2"/>
      <c r="BE85" s="1"/>
      <c r="BF85" s="1"/>
      <c r="BG85" s="1"/>
      <c r="BH85" s="1"/>
      <c r="BI85" s="1"/>
      <c r="BJ85" s="1"/>
      <c r="BK85" s="1"/>
      <c r="BL85" s="1"/>
      <c r="BM85" s="1"/>
      <c r="BN85" s="2"/>
      <c r="BO85" s="1"/>
      <c r="BP85" s="1"/>
      <c r="BQ85" s="1"/>
      <c r="BR85" s="1"/>
      <c r="BS85" s="1" t="s">
        <v>901</v>
      </c>
      <c r="BT85" s="5">
        <f>HYPERLINK("https%3A%2F%2Fwww.webofscience.com%2Fwos%2Fwoscc%2Ffull-record%2FWOS:A1992KH70700015","View Full Record in Web of Science")</f>
      </c>
    </row>
    <row x14ac:dyDescent="0.25" r="86" customHeight="1" ht="12.75">
      <c r="A86" s="1" t="s">
        <v>72</v>
      </c>
      <c r="B86" s="1" t="s">
        <v>902</v>
      </c>
      <c r="C86" s="1"/>
      <c r="D86" s="1"/>
      <c r="E86" s="1"/>
      <c r="F86" s="1" t="s">
        <v>902</v>
      </c>
      <c r="G86" s="1"/>
      <c r="H86" s="1"/>
      <c r="I86" s="1" t="s">
        <v>903</v>
      </c>
      <c r="J86" s="1" t="s">
        <v>897</v>
      </c>
      <c r="K86" s="1"/>
      <c r="L86" s="1"/>
      <c r="M86" s="1"/>
      <c r="N86" s="1"/>
      <c r="O86" s="1"/>
      <c r="P86" s="2"/>
      <c r="Q86" s="1"/>
      <c r="R86" s="1"/>
      <c r="S86" s="1"/>
      <c r="T86" s="1"/>
      <c r="U86" s="1"/>
      <c r="V86" s="1" t="s">
        <v>904</v>
      </c>
      <c r="W86" s="1"/>
      <c r="X86" s="1"/>
      <c r="Y86" s="1"/>
      <c r="Z86" s="1"/>
      <c r="AA86" s="1" t="s">
        <v>905</v>
      </c>
      <c r="AB86" s="1"/>
      <c r="AC86" s="1"/>
      <c r="AD86" s="1"/>
      <c r="AE86" s="1"/>
      <c r="AF86" s="1"/>
      <c r="AG86" s="1"/>
      <c r="AH86" s="1"/>
      <c r="AI86" s="1"/>
      <c r="AJ86" s="1"/>
      <c r="AK86" s="1"/>
      <c r="AL86" s="1"/>
      <c r="AM86" s="1"/>
      <c r="AN86" s="1"/>
      <c r="AO86" s="1" t="s">
        <v>900</v>
      </c>
      <c r="AP86" s="1"/>
      <c r="AQ86" s="1"/>
      <c r="AR86" s="1"/>
      <c r="AS86" s="1"/>
      <c r="AT86" s="1" t="s">
        <v>605</v>
      </c>
      <c r="AU86" s="3">
        <v>1992</v>
      </c>
      <c r="AV86" s="3">
        <v>37</v>
      </c>
      <c r="AW86" s="3">
        <v>1</v>
      </c>
      <c r="AX86" s="2"/>
      <c r="AY86" s="2"/>
      <c r="AZ86" s="1"/>
      <c r="BA86" s="2"/>
      <c r="BB86" s="3">
        <v>33</v>
      </c>
      <c r="BC86" s="3">
        <v>37</v>
      </c>
      <c r="BD86" s="2"/>
      <c r="BE86" s="1"/>
      <c r="BF86" s="1"/>
      <c r="BG86" s="1"/>
      <c r="BH86" s="1"/>
      <c r="BI86" s="1"/>
      <c r="BJ86" s="1"/>
      <c r="BK86" s="1"/>
      <c r="BL86" s="1"/>
      <c r="BM86" s="1"/>
      <c r="BN86" s="2"/>
      <c r="BO86" s="1"/>
      <c r="BP86" s="1"/>
      <c r="BQ86" s="1"/>
      <c r="BR86" s="1"/>
      <c r="BS86" s="1" t="s">
        <v>906</v>
      </c>
      <c r="BT86" s="5">
        <f>HYPERLINK("https%3A%2F%2Fwww.webofscience.com%2Fwos%2Fwoscc%2Ffull-record%2FWOS:A1992HQ07500007","View Full Record in Web of Science")</f>
      </c>
    </row>
    <row x14ac:dyDescent="0.25" r="87" customHeight="1" ht="12.75">
      <c r="A87" s="1" t="s">
        <v>72</v>
      </c>
      <c r="B87" s="1" t="s">
        <v>907</v>
      </c>
      <c r="C87" s="1"/>
      <c r="D87" s="1"/>
      <c r="E87" s="1"/>
      <c r="F87" s="1" t="s">
        <v>907</v>
      </c>
      <c r="G87" s="1"/>
      <c r="H87" s="1"/>
      <c r="I87" s="1" t="s">
        <v>908</v>
      </c>
      <c r="J87" s="1" t="s">
        <v>897</v>
      </c>
      <c r="K87" s="1"/>
      <c r="L87" s="1"/>
      <c r="M87" s="1"/>
      <c r="N87" s="1"/>
      <c r="O87" s="1"/>
      <c r="P87" s="2"/>
      <c r="Q87" s="1"/>
      <c r="R87" s="1"/>
      <c r="S87" s="1"/>
      <c r="T87" s="1"/>
      <c r="U87" s="1"/>
      <c r="V87" s="1"/>
      <c r="W87" s="1"/>
      <c r="X87" s="1"/>
      <c r="Y87" s="1"/>
      <c r="Z87" s="1"/>
      <c r="AA87" s="1"/>
      <c r="AB87" s="1"/>
      <c r="AC87" s="1"/>
      <c r="AD87" s="1"/>
      <c r="AE87" s="1"/>
      <c r="AF87" s="1"/>
      <c r="AG87" s="1"/>
      <c r="AH87" s="1"/>
      <c r="AI87" s="1"/>
      <c r="AJ87" s="1"/>
      <c r="AK87" s="1"/>
      <c r="AL87" s="1"/>
      <c r="AM87" s="1"/>
      <c r="AN87" s="1"/>
      <c r="AO87" s="1" t="s">
        <v>900</v>
      </c>
      <c r="AP87" s="1"/>
      <c r="AQ87" s="1"/>
      <c r="AR87" s="1"/>
      <c r="AS87" s="1"/>
      <c r="AT87" s="1" t="s">
        <v>292</v>
      </c>
      <c r="AU87" s="3">
        <v>1989</v>
      </c>
      <c r="AV87" s="3">
        <v>34</v>
      </c>
      <c r="AW87" s="3">
        <v>3</v>
      </c>
      <c r="AX87" s="2"/>
      <c r="AY87" s="2"/>
      <c r="AZ87" s="1"/>
      <c r="BA87" s="2"/>
      <c r="BB87" s="3">
        <v>221</v>
      </c>
      <c r="BC87" s="3">
        <v>223</v>
      </c>
      <c r="BD87" s="2"/>
      <c r="BE87" s="1"/>
      <c r="BF87" s="1"/>
      <c r="BG87" s="1"/>
      <c r="BH87" s="1"/>
      <c r="BI87" s="1"/>
      <c r="BJ87" s="1"/>
      <c r="BK87" s="1"/>
      <c r="BL87" s="1"/>
      <c r="BM87" s="1"/>
      <c r="BN87" s="2"/>
      <c r="BO87" s="1"/>
      <c r="BP87" s="1"/>
      <c r="BQ87" s="1"/>
      <c r="BR87" s="1"/>
      <c r="BS87" s="1" t="s">
        <v>909</v>
      </c>
      <c r="BT87" s="5">
        <f>HYPERLINK("https%3A%2F%2Fwww.webofscience.com%2Fwos%2Fwoscc%2Ffull-record%2FWOS:A1989AQ10300009","View Full Record in Web of Science")</f>
      </c>
    </row>
    <row x14ac:dyDescent="0.25" r="88" customHeight="1" ht="12.75">
      <c r="A88" s="1" t="s">
        <v>72</v>
      </c>
      <c r="B88" s="1" t="s">
        <v>910</v>
      </c>
      <c r="C88" s="1"/>
      <c r="D88" s="1"/>
      <c r="E88" s="1"/>
      <c r="F88" s="1" t="s">
        <v>910</v>
      </c>
      <c r="G88" s="1"/>
      <c r="H88" s="1"/>
      <c r="I88" s="1" t="s">
        <v>911</v>
      </c>
      <c r="J88" s="1" t="s">
        <v>912</v>
      </c>
      <c r="K88" s="1"/>
      <c r="L88" s="1"/>
      <c r="M88" s="1"/>
      <c r="N88" s="1"/>
      <c r="O88" s="1"/>
      <c r="P88" s="2"/>
      <c r="Q88" s="1"/>
      <c r="R88" s="1"/>
      <c r="S88" s="1"/>
      <c r="T88" s="1"/>
      <c r="U88" s="1"/>
      <c r="V88" s="1"/>
      <c r="W88" s="1"/>
      <c r="X88" s="1"/>
      <c r="Y88" s="1"/>
      <c r="Z88" s="1"/>
      <c r="AA88" s="1"/>
      <c r="AB88" s="1"/>
      <c r="AC88" s="1"/>
      <c r="AD88" s="1"/>
      <c r="AE88" s="1"/>
      <c r="AF88" s="1"/>
      <c r="AG88" s="1"/>
      <c r="AH88" s="1"/>
      <c r="AI88" s="1"/>
      <c r="AJ88" s="1"/>
      <c r="AK88" s="1"/>
      <c r="AL88" s="1"/>
      <c r="AM88" s="1"/>
      <c r="AN88" s="1"/>
      <c r="AO88" s="1" t="s">
        <v>913</v>
      </c>
      <c r="AP88" s="1"/>
      <c r="AQ88" s="1"/>
      <c r="AR88" s="1"/>
      <c r="AS88" s="1"/>
      <c r="AT88" s="1" t="s">
        <v>914</v>
      </c>
      <c r="AU88" s="3">
        <v>1989</v>
      </c>
      <c r="AV88" s="3">
        <v>37</v>
      </c>
      <c r="AW88" s="2"/>
      <c r="AX88" s="2"/>
      <c r="AY88" s="2"/>
      <c r="AZ88" s="1"/>
      <c r="BA88" s="2"/>
      <c r="BB88" s="3">
        <v>141</v>
      </c>
      <c r="BC88" s="3">
        <v>148</v>
      </c>
      <c r="BD88" s="2"/>
      <c r="BE88" s="1" t="s">
        <v>915</v>
      </c>
      <c r="BF88" s="4">
        <f>HYPERLINK("http://dx.doi.org/10.1016/0166-6622(89)80113-1","http://dx.doi.org/10.1016/0166-6622(89)80113-1")</f>
      </c>
      <c r="BG88" s="1"/>
      <c r="BH88" s="1"/>
      <c r="BI88" s="1"/>
      <c r="BJ88" s="1"/>
      <c r="BK88" s="1"/>
      <c r="BL88" s="1"/>
      <c r="BM88" s="1"/>
      <c r="BN88" s="2"/>
      <c r="BO88" s="1"/>
      <c r="BP88" s="1"/>
      <c r="BQ88" s="1"/>
      <c r="BR88" s="1"/>
      <c r="BS88" s="1" t="s">
        <v>916</v>
      </c>
      <c r="BT88" s="5">
        <f>HYPERLINK("https%3A%2F%2Fwww.webofscience.com%2Fwos%2Fwoscc%2Ffull-record%2FWOS:A1989AM15100013","View Full Record in Web of Science")</f>
      </c>
    </row>
    <row x14ac:dyDescent="0.25" r="89" customHeight="1" ht="12.75">
      <c r="A89" s="1" t="s">
        <v>72</v>
      </c>
      <c r="B89" s="1" t="s">
        <v>917</v>
      </c>
      <c r="C89" s="1"/>
      <c r="D89" s="1"/>
      <c r="E89" s="1"/>
      <c r="F89" s="1" t="s">
        <v>917</v>
      </c>
      <c r="G89" s="1"/>
      <c r="H89" s="1"/>
      <c r="I89" s="1" t="s">
        <v>918</v>
      </c>
      <c r="J89" s="1" t="s">
        <v>919</v>
      </c>
      <c r="K89" s="1"/>
      <c r="L89" s="1"/>
      <c r="M89" s="1"/>
      <c r="N89" s="1"/>
      <c r="O89" s="1"/>
      <c r="P89" s="2"/>
      <c r="Q89" s="1"/>
      <c r="R89" s="1"/>
      <c r="S89" s="1"/>
      <c r="T89" s="1"/>
      <c r="U89" s="1"/>
      <c r="V89" s="1"/>
      <c r="W89" s="1"/>
      <c r="X89" s="1"/>
      <c r="Y89" s="1"/>
      <c r="Z89" s="1"/>
      <c r="AA89" s="1"/>
      <c r="AB89" s="1"/>
      <c r="AC89" s="1"/>
      <c r="AD89" s="1"/>
      <c r="AE89" s="1"/>
      <c r="AF89" s="1"/>
      <c r="AG89" s="1"/>
      <c r="AH89" s="1"/>
      <c r="AI89" s="1"/>
      <c r="AJ89" s="1"/>
      <c r="AK89" s="1"/>
      <c r="AL89" s="1"/>
      <c r="AM89" s="1"/>
      <c r="AN89" s="1"/>
      <c r="AO89" s="1" t="s">
        <v>920</v>
      </c>
      <c r="AP89" s="1"/>
      <c r="AQ89" s="1"/>
      <c r="AR89" s="1"/>
      <c r="AS89" s="1"/>
      <c r="AT89" s="1"/>
      <c r="AU89" s="3">
        <v>1985</v>
      </c>
      <c r="AV89" s="3">
        <v>123</v>
      </c>
      <c r="AW89" s="3">
        <v>1</v>
      </c>
      <c r="AX89" s="2"/>
      <c r="AY89" s="2"/>
      <c r="AZ89" s="1"/>
      <c r="BA89" s="2"/>
      <c r="BB89" s="3">
        <v>9</v>
      </c>
      <c r="BC89" s="3">
        <v>17</v>
      </c>
      <c r="BD89" s="2"/>
      <c r="BE89" s="1" t="s">
        <v>921</v>
      </c>
      <c r="BF89" s="4">
        <f>HYPERLINK("http://dx.doi.org/10.1016/0040-6090(85)90036-7","http://dx.doi.org/10.1016/0040-6090(85)90036-7")</f>
      </c>
      <c r="BG89" s="1"/>
      <c r="BH89" s="1"/>
      <c r="BI89" s="1"/>
      <c r="BJ89" s="1"/>
      <c r="BK89" s="1"/>
      <c r="BL89" s="1"/>
      <c r="BM89" s="1"/>
      <c r="BN89" s="2"/>
      <c r="BO89" s="1"/>
      <c r="BP89" s="1"/>
      <c r="BQ89" s="1"/>
      <c r="BR89" s="1"/>
      <c r="BS89" s="1" t="s">
        <v>922</v>
      </c>
      <c r="BT89" s="5">
        <f>HYPERLINK("https%3A%2F%2Fwww.webofscience.com%2Fwos%2Fwoscc%2Ffull-record%2FWOS:A1985AHR2500002","View Full Record in Web of Science")</f>
      </c>
    </row>
    <row x14ac:dyDescent="0.25" r="90" customHeight="1" ht="12.75">
      <c r="A90" s="1" t="s">
        <v>72</v>
      </c>
      <c r="B90" s="1" t="s">
        <v>923</v>
      </c>
      <c r="C90" s="1"/>
      <c r="D90" s="1"/>
      <c r="E90" s="1"/>
      <c r="F90" s="1" t="s">
        <v>923</v>
      </c>
      <c r="G90" s="1"/>
      <c r="H90" s="1"/>
      <c r="I90" s="1" t="s">
        <v>924</v>
      </c>
      <c r="J90" s="1" t="s">
        <v>925</v>
      </c>
      <c r="K90" s="1"/>
      <c r="L90" s="1"/>
      <c r="M90" s="1"/>
      <c r="N90" s="1"/>
      <c r="O90" s="1"/>
      <c r="P90" s="2"/>
      <c r="Q90" s="1"/>
      <c r="R90" s="1"/>
      <c r="S90" s="1"/>
      <c r="T90" s="1"/>
      <c r="U90" s="1"/>
      <c r="V90" s="1" t="s">
        <v>926</v>
      </c>
      <c r="W90" s="1"/>
      <c r="X90" s="1"/>
      <c r="Y90" s="1"/>
      <c r="Z90" s="1"/>
      <c r="AA90" s="1"/>
      <c r="AB90" s="1"/>
      <c r="AC90" s="1"/>
      <c r="AD90" s="1"/>
      <c r="AE90" s="1"/>
      <c r="AF90" s="1"/>
      <c r="AG90" s="1"/>
      <c r="AH90" s="1"/>
      <c r="AI90" s="1"/>
      <c r="AJ90" s="1"/>
      <c r="AK90" s="1"/>
      <c r="AL90" s="1"/>
      <c r="AM90" s="1"/>
      <c r="AN90" s="1"/>
      <c r="AO90" s="1" t="s">
        <v>927</v>
      </c>
      <c r="AP90" s="1" t="s">
        <v>928</v>
      </c>
      <c r="AQ90" s="1"/>
      <c r="AR90" s="1"/>
      <c r="AS90" s="1"/>
      <c r="AT90" s="1"/>
      <c r="AU90" s="3">
        <v>1982</v>
      </c>
      <c r="AV90" s="3">
        <v>25</v>
      </c>
      <c r="AW90" s="3">
        <v>3</v>
      </c>
      <c r="AX90" s="2"/>
      <c r="AY90" s="2"/>
      <c r="AZ90" s="1"/>
      <c r="BA90" s="2"/>
      <c r="BB90" s="3">
        <v>139</v>
      </c>
      <c r="BC90" s="3">
        <v>141</v>
      </c>
      <c r="BD90" s="2"/>
      <c r="BE90" s="1" t="s">
        <v>929</v>
      </c>
      <c r="BF90" s="4">
        <f>HYPERLINK("http://dx.doi.org/10.1515/botm.1982.25.3.139","http://dx.doi.org/10.1515/botm.1982.25.3.139")</f>
      </c>
      <c r="BG90" s="1"/>
      <c r="BH90" s="1"/>
      <c r="BI90" s="1"/>
      <c r="BJ90" s="1"/>
      <c r="BK90" s="1"/>
      <c r="BL90" s="1"/>
      <c r="BM90" s="1"/>
      <c r="BN90" s="2"/>
      <c r="BO90" s="1"/>
      <c r="BP90" s="1"/>
      <c r="BQ90" s="1"/>
      <c r="BR90" s="1"/>
      <c r="BS90" s="1" t="s">
        <v>930</v>
      </c>
      <c r="BT90" s="5">
        <f>HYPERLINK("https%3A%2F%2Fwww.webofscience.com%2Fwos%2Fwoscc%2Ffull-record%2FWOS:A1982NL25900006","View Full Record in Web of Science")</f>
      </c>
    </row>
    <row x14ac:dyDescent="0.25" r="91" customHeight="1" ht="12.75">
      <c r="A91" s="1" t="s">
        <v>72</v>
      </c>
      <c r="B91" s="1" t="s">
        <v>931</v>
      </c>
      <c r="C91" s="1"/>
      <c r="D91" s="1"/>
      <c r="E91" s="1"/>
      <c r="F91" s="1" t="s">
        <v>931</v>
      </c>
      <c r="G91" s="1"/>
      <c r="H91" s="1"/>
      <c r="I91" s="1" t="s">
        <v>932</v>
      </c>
      <c r="J91" s="1" t="s">
        <v>933</v>
      </c>
      <c r="K91" s="1"/>
      <c r="L91" s="1"/>
      <c r="M91" s="1"/>
      <c r="N91" s="1"/>
      <c r="O91" s="1"/>
      <c r="P91" s="2"/>
      <c r="Q91" s="1"/>
      <c r="R91" s="1"/>
      <c r="S91" s="1"/>
      <c r="T91" s="1"/>
      <c r="U91" s="1"/>
      <c r="V91" s="1"/>
      <c r="W91" s="1"/>
      <c r="X91" s="1"/>
      <c r="Y91" s="1"/>
      <c r="Z91" s="1"/>
      <c r="AA91" s="1"/>
      <c r="AB91" s="1"/>
      <c r="AC91" s="1"/>
      <c r="AD91" s="1"/>
      <c r="AE91" s="1"/>
      <c r="AF91" s="1"/>
      <c r="AG91" s="1"/>
      <c r="AH91" s="1"/>
      <c r="AI91" s="1"/>
      <c r="AJ91" s="1"/>
      <c r="AK91" s="1"/>
      <c r="AL91" s="1"/>
      <c r="AM91" s="1"/>
      <c r="AN91" s="1"/>
      <c r="AO91" s="1" t="s">
        <v>934</v>
      </c>
      <c r="AP91" s="1"/>
      <c r="AQ91" s="1"/>
      <c r="AR91" s="1"/>
      <c r="AS91" s="1"/>
      <c r="AT91" s="1"/>
      <c r="AU91" s="3">
        <v>1980</v>
      </c>
      <c r="AV91" s="3">
        <v>84</v>
      </c>
      <c r="AW91" s="3">
        <v>20</v>
      </c>
      <c r="AX91" s="2"/>
      <c r="AY91" s="2"/>
      <c r="AZ91" s="1"/>
      <c r="BA91" s="2"/>
      <c r="BB91" s="3">
        <v>2605</v>
      </c>
      <c r="BC91" s="3">
        <v>2607</v>
      </c>
      <c r="BD91" s="2"/>
      <c r="BE91" s="1" t="s">
        <v>935</v>
      </c>
      <c r="BF91" s="4">
        <f>HYPERLINK("http://dx.doi.org/10.1021/j100457a025","http://dx.doi.org/10.1021/j100457a025")</f>
      </c>
      <c r="BG91" s="1"/>
      <c r="BH91" s="1"/>
      <c r="BI91" s="1"/>
      <c r="BJ91" s="1"/>
      <c r="BK91" s="1"/>
      <c r="BL91" s="1"/>
      <c r="BM91" s="1"/>
      <c r="BN91" s="2"/>
      <c r="BO91" s="1"/>
      <c r="BP91" s="1"/>
      <c r="BQ91" s="1"/>
      <c r="BR91" s="1"/>
      <c r="BS91" s="1" t="s">
        <v>936</v>
      </c>
      <c r="BT91" s="5">
        <f>HYPERLINK("https%3A%2F%2Fwww.webofscience.com%2Fwos%2Fwoscc%2Ffull-record%2FWOS:A1980KK17300025","View Full Record in Web of Science")</f>
      </c>
    </row>
    <row x14ac:dyDescent="0.25" r="92" customHeight="1" ht="12.75">
      <c r="A92" s="1" t="s">
        <v>72</v>
      </c>
      <c r="B92" s="1" t="s">
        <v>937</v>
      </c>
      <c r="C92" s="1"/>
      <c r="D92" s="1"/>
      <c r="E92" s="1"/>
      <c r="F92" s="1" t="s">
        <v>938</v>
      </c>
      <c r="G92" s="1"/>
      <c r="H92" s="1"/>
      <c r="I92" s="1" t="s">
        <v>939</v>
      </c>
      <c r="J92" s="1" t="s">
        <v>940</v>
      </c>
      <c r="K92" s="1"/>
      <c r="L92" s="1"/>
      <c r="M92" s="1"/>
      <c r="N92" s="1"/>
      <c r="O92" s="1"/>
      <c r="P92" s="2"/>
      <c r="Q92" s="1"/>
      <c r="R92" s="1"/>
      <c r="S92" s="1"/>
      <c r="T92" s="1"/>
      <c r="U92" s="1"/>
      <c r="V92" s="1" t="s">
        <v>941</v>
      </c>
      <c r="W92" s="1"/>
      <c r="X92" s="1"/>
      <c r="Y92" s="1"/>
      <c r="Z92" s="1"/>
      <c r="AA92" s="1"/>
      <c r="AB92" s="1" t="s">
        <v>461</v>
      </c>
      <c r="AC92" s="1"/>
      <c r="AD92" s="1"/>
      <c r="AE92" s="1"/>
      <c r="AF92" s="1"/>
      <c r="AG92" s="1"/>
      <c r="AH92" s="1"/>
      <c r="AI92" s="1"/>
      <c r="AJ92" s="1"/>
      <c r="AK92" s="1"/>
      <c r="AL92" s="1"/>
      <c r="AM92" s="1"/>
      <c r="AN92" s="1"/>
      <c r="AO92" s="1"/>
      <c r="AP92" s="1" t="s">
        <v>942</v>
      </c>
      <c r="AQ92" s="1"/>
      <c r="AR92" s="1"/>
      <c r="AS92" s="1"/>
      <c r="AT92" s="1" t="s">
        <v>943</v>
      </c>
      <c r="AU92" s="3">
        <v>2025</v>
      </c>
      <c r="AV92" s="3">
        <v>15</v>
      </c>
      <c r="AW92" s="3">
        <v>6</v>
      </c>
      <c r="AX92" s="2"/>
      <c r="AY92" s="2"/>
      <c r="AZ92" s="1"/>
      <c r="BA92" s="2"/>
      <c r="BB92" s="2"/>
      <c r="BC92" s="2"/>
      <c r="BD92" s="3">
        <v>2962</v>
      </c>
      <c r="BE92" s="1" t="s">
        <v>944</v>
      </c>
      <c r="BF92" s="4">
        <f>HYPERLINK("http://dx.doi.org/10.3390/app15062962","http://dx.doi.org/10.3390/app15062962")</f>
      </c>
      <c r="BG92" s="1"/>
      <c r="BH92" s="1"/>
      <c r="BI92" s="1"/>
      <c r="BJ92" s="1"/>
      <c r="BK92" s="1"/>
      <c r="BL92" s="1"/>
      <c r="BM92" s="1"/>
      <c r="BN92" s="2"/>
      <c r="BO92" s="1"/>
      <c r="BP92" s="1"/>
      <c r="BQ92" s="1"/>
      <c r="BR92" s="1"/>
      <c r="BS92" s="1" t="s">
        <v>945</v>
      </c>
      <c r="BT92" s="5">
        <f>HYPERLINK("https%3A%2F%2Fwww.webofscience.com%2Fwos%2Fwoscc%2Ffull-record%2FWOS:001453551600001","View Full Record in Web of Science")</f>
      </c>
    </row>
    <row x14ac:dyDescent="0.25" r="93" customHeight="1" ht="12.75">
      <c r="A93" s="1" t="s">
        <v>72</v>
      </c>
      <c r="B93" s="1" t="s">
        <v>946</v>
      </c>
      <c r="C93" s="1"/>
      <c r="D93" s="1"/>
      <c r="E93" s="1"/>
      <c r="F93" s="1" t="s">
        <v>947</v>
      </c>
      <c r="G93" s="1"/>
      <c r="H93" s="1"/>
      <c r="I93" s="1" t="s">
        <v>948</v>
      </c>
      <c r="J93" s="1" t="s">
        <v>949</v>
      </c>
      <c r="K93" s="1"/>
      <c r="L93" s="1"/>
      <c r="M93" s="1"/>
      <c r="N93" s="1"/>
      <c r="O93" s="1"/>
      <c r="P93" s="2"/>
      <c r="Q93" s="1"/>
      <c r="R93" s="1"/>
      <c r="S93" s="1"/>
      <c r="T93" s="1"/>
      <c r="U93" s="1"/>
      <c r="V93" s="1" t="s">
        <v>950</v>
      </c>
      <c r="W93" s="1"/>
      <c r="X93" s="1"/>
      <c r="Y93" s="1"/>
      <c r="Z93" s="1"/>
      <c r="AA93" s="1"/>
      <c r="AB93" s="1"/>
      <c r="AC93" s="1"/>
      <c r="AD93" s="1"/>
      <c r="AE93" s="1"/>
      <c r="AF93" s="1"/>
      <c r="AG93" s="1"/>
      <c r="AH93" s="1"/>
      <c r="AI93" s="1"/>
      <c r="AJ93" s="1"/>
      <c r="AK93" s="1"/>
      <c r="AL93" s="1"/>
      <c r="AM93" s="1"/>
      <c r="AN93" s="1"/>
      <c r="AO93" s="1" t="s">
        <v>951</v>
      </c>
      <c r="AP93" s="1" t="s">
        <v>952</v>
      </c>
      <c r="AQ93" s="1"/>
      <c r="AR93" s="1"/>
      <c r="AS93" s="1"/>
      <c r="AT93" s="1" t="s">
        <v>953</v>
      </c>
      <c r="AU93" s="3">
        <v>2025</v>
      </c>
      <c r="AV93" s="2"/>
      <c r="AW93" s="2"/>
      <c r="AX93" s="2"/>
      <c r="AY93" s="2"/>
      <c r="AZ93" s="1"/>
      <c r="BA93" s="2"/>
      <c r="BB93" s="2"/>
      <c r="BC93" s="2"/>
      <c r="BD93" s="2"/>
      <c r="BE93" s="1" t="s">
        <v>954</v>
      </c>
      <c r="BF93" s="4">
        <f>HYPERLINK("http://dx.doi.org/10.1111/gwao.13228","http://dx.doi.org/10.1111/gwao.13228")</f>
      </c>
      <c r="BG93" s="1"/>
      <c r="BH93" s="1" t="s">
        <v>955</v>
      </c>
      <c r="BI93" s="1"/>
      <c r="BJ93" s="1"/>
      <c r="BK93" s="1"/>
      <c r="BL93" s="1"/>
      <c r="BM93" s="1"/>
      <c r="BN93" s="2"/>
      <c r="BO93" s="1"/>
      <c r="BP93" s="1"/>
      <c r="BQ93" s="1"/>
      <c r="BR93" s="1"/>
      <c r="BS93" s="1" t="s">
        <v>956</v>
      </c>
      <c r="BT93" s="5">
        <f>HYPERLINK("https%3A%2F%2Fwww.webofscience.com%2Fwos%2Fwoscc%2Ffull-record%2FWOS:001402665200001","View Full Record in Web of Science")</f>
      </c>
    </row>
    <row x14ac:dyDescent="0.25" r="94" customHeight="1" ht="12.75">
      <c r="A94" s="1" t="s">
        <v>72</v>
      </c>
      <c r="B94" s="1" t="s">
        <v>957</v>
      </c>
      <c r="C94" s="1"/>
      <c r="D94" s="1"/>
      <c r="E94" s="1"/>
      <c r="F94" s="1" t="s">
        <v>958</v>
      </c>
      <c r="G94" s="1"/>
      <c r="H94" s="1"/>
      <c r="I94" s="1" t="s">
        <v>959</v>
      </c>
      <c r="J94" s="1" t="s">
        <v>960</v>
      </c>
      <c r="K94" s="1"/>
      <c r="L94" s="1"/>
      <c r="M94" s="1"/>
      <c r="N94" s="1"/>
      <c r="O94" s="1"/>
      <c r="P94" s="2"/>
      <c r="Q94" s="1"/>
      <c r="R94" s="1"/>
      <c r="S94" s="1"/>
      <c r="T94" s="1"/>
      <c r="U94" s="1"/>
      <c r="V94" s="1" t="s">
        <v>961</v>
      </c>
      <c r="W94" s="1"/>
      <c r="X94" s="1"/>
      <c r="Y94" s="1"/>
      <c r="Z94" s="1"/>
      <c r="AA94" s="1" t="s">
        <v>962</v>
      </c>
      <c r="AB94" s="1" t="s">
        <v>963</v>
      </c>
      <c r="AC94" s="1"/>
      <c r="AD94" s="1"/>
      <c r="AE94" s="1"/>
      <c r="AF94" s="1"/>
      <c r="AG94" s="1"/>
      <c r="AH94" s="1"/>
      <c r="AI94" s="1"/>
      <c r="AJ94" s="1"/>
      <c r="AK94" s="1"/>
      <c r="AL94" s="1"/>
      <c r="AM94" s="1"/>
      <c r="AN94" s="1"/>
      <c r="AO94" s="1" t="s">
        <v>964</v>
      </c>
      <c r="AP94" s="1" t="s">
        <v>965</v>
      </c>
      <c r="AQ94" s="1"/>
      <c r="AR94" s="1"/>
      <c r="AS94" s="1"/>
      <c r="AT94" s="1" t="s">
        <v>169</v>
      </c>
      <c r="AU94" s="3">
        <v>2024</v>
      </c>
      <c r="AV94" s="3">
        <v>156</v>
      </c>
      <c r="AW94" s="2"/>
      <c r="AX94" s="2"/>
      <c r="AY94" s="2"/>
      <c r="AZ94" s="1"/>
      <c r="BA94" s="2"/>
      <c r="BB94" s="2"/>
      <c r="BC94" s="2"/>
      <c r="BD94" s="3">
        <v>110291</v>
      </c>
      <c r="BE94" s="1" t="s">
        <v>966</v>
      </c>
      <c r="BF94" s="4">
        <f>HYPERLINK("http://dx.doi.org/10.1016/j.foodhyd.2024.110291","http://dx.doi.org/10.1016/j.foodhyd.2024.110291")</f>
      </c>
      <c r="BG94" s="1"/>
      <c r="BH94" s="1" t="s">
        <v>967</v>
      </c>
      <c r="BI94" s="1"/>
      <c r="BJ94" s="1"/>
      <c r="BK94" s="1"/>
      <c r="BL94" s="1"/>
      <c r="BM94" s="1"/>
      <c r="BN94" s="2"/>
      <c r="BO94" s="1"/>
      <c r="BP94" s="1"/>
      <c r="BQ94" s="1"/>
      <c r="BR94" s="1"/>
      <c r="BS94" s="1" t="s">
        <v>968</v>
      </c>
      <c r="BT94" s="5">
        <f>HYPERLINK("https%3A%2F%2Fwww.webofscience.com%2Fwos%2Fwoscc%2Ffull-record%2FWOS:001253793100001","View Full Record in Web of Science")</f>
      </c>
    </row>
    <row x14ac:dyDescent="0.25" r="95" customHeight="1" ht="12.75">
      <c r="A95" s="1" t="s">
        <v>72</v>
      </c>
      <c r="B95" s="1" t="s">
        <v>969</v>
      </c>
      <c r="C95" s="1"/>
      <c r="D95" s="1"/>
      <c r="E95" s="1"/>
      <c r="F95" s="1" t="s">
        <v>970</v>
      </c>
      <c r="G95" s="1"/>
      <c r="H95" s="1"/>
      <c r="I95" s="1" t="s">
        <v>971</v>
      </c>
      <c r="J95" s="1" t="s">
        <v>972</v>
      </c>
      <c r="K95" s="1"/>
      <c r="L95" s="1"/>
      <c r="M95" s="1"/>
      <c r="N95" s="1"/>
      <c r="O95" s="1"/>
      <c r="P95" s="2"/>
      <c r="Q95" s="1"/>
      <c r="R95" s="1"/>
      <c r="S95" s="1"/>
      <c r="T95" s="1"/>
      <c r="U95" s="1"/>
      <c r="V95" s="1" t="s">
        <v>973</v>
      </c>
      <c r="W95" s="1"/>
      <c r="X95" s="1"/>
      <c r="Y95" s="1"/>
      <c r="Z95" s="1"/>
      <c r="AA95" s="1"/>
      <c r="AB95" s="1"/>
      <c r="AC95" s="1"/>
      <c r="AD95" s="1"/>
      <c r="AE95" s="1"/>
      <c r="AF95" s="1"/>
      <c r="AG95" s="1"/>
      <c r="AH95" s="1"/>
      <c r="AI95" s="1"/>
      <c r="AJ95" s="1"/>
      <c r="AK95" s="1"/>
      <c r="AL95" s="1"/>
      <c r="AM95" s="1"/>
      <c r="AN95" s="1"/>
      <c r="AO95" s="1" t="s">
        <v>974</v>
      </c>
      <c r="AP95" s="1"/>
      <c r="AQ95" s="1"/>
      <c r="AR95" s="1"/>
      <c r="AS95" s="1"/>
      <c r="AT95" s="1"/>
      <c r="AU95" s="3">
        <v>2024</v>
      </c>
      <c r="AV95" s="2"/>
      <c r="AW95" s="3">
        <v>24</v>
      </c>
      <c r="AX95" s="2"/>
      <c r="AY95" s="2"/>
      <c r="AZ95" s="1"/>
      <c r="BA95" s="2"/>
      <c r="BB95" s="2"/>
      <c r="BC95" s="2"/>
      <c r="BD95" s="2"/>
      <c r="BE95" s="1" t="s">
        <v>975</v>
      </c>
      <c r="BF95" s="4">
        <f>HYPERLINK("http://dx.doi.org/10.7203/KAM.24.27761","http://dx.doi.org/10.7203/KAM.24.27761")</f>
      </c>
      <c r="BG95" s="1"/>
      <c r="BH95" s="1"/>
      <c r="BI95" s="1"/>
      <c r="BJ95" s="1"/>
      <c r="BK95" s="1"/>
      <c r="BL95" s="1"/>
      <c r="BM95" s="1"/>
      <c r="BN95" s="2"/>
      <c r="BO95" s="1"/>
      <c r="BP95" s="1"/>
      <c r="BQ95" s="1"/>
      <c r="BR95" s="1"/>
      <c r="BS95" s="1" t="s">
        <v>976</v>
      </c>
      <c r="BT95" s="5">
        <f>HYPERLINK("https%3A%2F%2Fwww.webofscience.com%2Fwos%2Fwoscc%2Ffull-record%2FWOS:001411162000016","View Full Record in Web of Science")</f>
      </c>
    </row>
    <row x14ac:dyDescent="0.25" r="96" customHeight="1" ht="12.75">
      <c r="A96" s="1" t="s">
        <v>72</v>
      </c>
      <c r="B96" s="1" t="s">
        <v>977</v>
      </c>
      <c r="C96" s="1"/>
      <c r="D96" s="1"/>
      <c r="E96" s="1"/>
      <c r="F96" s="1" t="s">
        <v>978</v>
      </c>
      <c r="G96" s="1"/>
      <c r="H96" s="1"/>
      <c r="I96" s="1" t="s">
        <v>979</v>
      </c>
      <c r="J96" s="1" t="s">
        <v>980</v>
      </c>
      <c r="K96" s="1"/>
      <c r="L96" s="1"/>
      <c r="M96" s="1"/>
      <c r="N96" s="1"/>
      <c r="O96" s="1"/>
      <c r="P96" s="2"/>
      <c r="Q96" s="1"/>
      <c r="R96" s="1"/>
      <c r="S96" s="1"/>
      <c r="T96" s="1"/>
      <c r="U96" s="1"/>
      <c r="V96" s="1" t="s">
        <v>981</v>
      </c>
      <c r="W96" s="1"/>
      <c r="X96" s="1"/>
      <c r="Y96" s="1"/>
      <c r="Z96" s="1"/>
      <c r="AA96" s="1" t="s">
        <v>982</v>
      </c>
      <c r="AB96" s="1"/>
      <c r="AC96" s="1"/>
      <c r="AD96" s="1"/>
      <c r="AE96" s="1"/>
      <c r="AF96" s="1"/>
      <c r="AG96" s="1"/>
      <c r="AH96" s="1"/>
      <c r="AI96" s="1"/>
      <c r="AJ96" s="1"/>
      <c r="AK96" s="1"/>
      <c r="AL96" s="1"/>
      <c r="AM96" s="1"/>
      <c r="AN96" s="1"/>
      <c r="AO96" s="1" t="s">
        <v>983</v>
      </c>
      <c r="AP96" s="1" t="s">
        <v>984</v>
      </c>
      <c r="AQ96" s="1"/>
      <c r="AR96" s="1"/>
      <c r="AS96" s="1"/>
      <c r="AT96" s="1"/>
      <c r="AU96" s="3">
        <v>2024</v>
      </c>
      <c r="AV96" s="3">
        <v>24</v>
      </c>
      <c r="AW96" s="2"/>
      <c r="AX96" s="2"/>
      <c r="AY96" s="2"/>
      <c r="AZ96" s="1"/>
      <c r="BA96" s="2"/>
      <c r="BB96" s="2"/>
      <c r="BC96" s="2"/>
      <c r="BD96" s="3">
        <v>1135</v>
      </c>
      <c r="BE96" s="1" t="s">
        <v>985</v>
      </c>
      <c r="BF96" s="4">
        <f>HYPERLINK("http://dx.doi.org/10.61303/07190948.v24i.1135","http://dx.doi.org/10.61303/07190948.v24i.1135")</f>
      </c>
      <c r="BG96" s="1"/>
      <c r="BH96" s="1"/>
      <c r="BI96" s="1"/>
      <c r="BJ96" s="1"/>
      <c r="BK96" s="1"/>
      <c r="BL96" s="1"/>
      <c r="BM96" s="1"/>
      <c r="BN96" s="2"/>
      <c r="BO96" s="1"/>
      <c r="BP96" s="1"/>
      <c r="BQ96" s="1"/>
      <c r="BR96" s="1"/>
      <c r="BS96" s="1" t="s">
        <v>986</v>
      </c>
      <c r="BT96" s="5">
        <f>HYPERLINK("https%3A%2F%2Fwww.webofscience.com%2Fwos%2Fwoscc%2Ffull-record%2FWOS:001266771500002","View Full Record in Web of Science")</f>
      </c>
    </row>
    <row x14ac:dyDescent="0.25" r="97" customHeight="1" ht="12.75">
      <c r="A97" s="1" t="s">
        <v>72</v>
      </c>
      <c r="B97" s="1" t="s">
        <v>987</v>
      </c>
      <c r="C97" s="1"/>
      <c r="D97" s="1"/>
      <c r="E97" s="1"/>
      <c r="F97" s="1" t="s">
        <v>988</v>
      </c>
      <c r="G97" s="1"/>
      <c r="H97" s="1"/>
      <c r="I97" s="1" t="s">
        <v>989</v>
      </c>
      <c r="J97" s="1" t="s">
        <v>990</v>
      </c>
      <c r="K97" s="1"/>
      <c r="L97" s="1"/>
      <c r="M97" s="1"/>
      <c r="N97" s="1"/>
      <c r="O97" s="1"/>
      <c r="P97" s="2"/>
      <c r="Q97" s="1"/>
      <c r="R97" s="1"/>
      <c r="S97" s="1"/>
      <c r="T97" s="1"/>
      <c r="U97" s="1"/>
      <c r="V97" s="1" t="s">
        <v>991</v>
      </c>
      <c r="W97" s="1"/>
      <c r="X97" s="1"/>
      <c r="Y97" s="1"/>
      <c r="Z97" s="1"/>
      <c r="AA97" s="1" t="s">
        <v>992</v>
      </c>
      <c r="AB97" s="1" t="s">
        <v>993</v>
      </c>
      <c r="AC97" s="1"/>
      <c r="AD97" s="1"/>
      <c r="AE97" s="1"/>
      <c r="AF97" s="1"/>
      <c r="AG97" s="1"/>
      <c r="AH97" s="1"/>
      <c r="AI97" s="1"/>
      <c r="AJ97" s="1"/>
      <c r="AK97" s="1"/>
      <c r="AL97" s="1"/>
      <c r="AM97" s="1"/>
      <c r="AN97" s="1"/>
      <c r="AO97" s="1" t="s">
        <v>994</v>
      </c>
      <c r="AP97" s="1" t="s">
        <v>995</v>
      </c>
      <c r="AQ97" s="1"/>
      <c r="AR97" s="1"/>
      <c r="AS97" s="1"/>
      <c r="AT97" s="1" t="s">
        <v>181</v>
      </c>
      <c r="AU97" s="3">
        <v>2024</v>
      </c>
      <c r="AV97" s="3">
        <v>21</v>
      </c>
      <c r="AW97" s="3">
        <v>40</v>
      </c>
      <c r="AX97" s="2"/>
      <c r="AY97" s="2"/>
      <c r="AZ97" s="1"/>
      <c r="BA97" s="2"/>
      <c r="BB97" s="3">
        <v>172</v>
      </c>
      <c r="BC97" s="3">
        <v>198</v>
      </c>
      <c r="BD97" s="2"/>
      <c r="BE97" s="1" t="s">
        <v>996</v>
      </c>
      <c r="BF97" s="4">
        <f>HYPERLINK("http://dx.doi.org/10.17230/co-herencia.21.40.6","http://dx.doi.org/10.17230/co-herencia.21.40.6")</f>
      </c>
      <c r="BG97" s="1"/>
      <c r="BH97" s="1"/>
      <c r="BI97" s="1"/>
      <c r="BJ97" s="1"/>
      <c r="BK97" s="1"/>
      <c r="BL97" s="1"/>
      <c r="BM97" s="1"/>
      <c r="BN97" s="2"/>
      <c r="BO97" s="1"/>
      <c r="BP97" s="1"/>
      <c r="BQ97" s="1"/>
      <c r="BR97" s="1"/>
      <c r="BS97" s="1" t="s">
        <v>997</v>
      </c>
      <c r="BT97" s="5">
        <f>HYPERLINK("https%3A%2F%2Fwww.webofscience.com%2Fwos%2Fwoscc%2Ffull-record%2FWOS:001278542900001","View Full Record in Web of Science")</f>
      </c>
    </row>
    <row x14ac:dyDescent="0.25" r="98" customHeight="1" ht="12.75">
      <c r="A98" s="1" t="s">
        <v>72</v>
      </c>
      <c r="B98" s="1" t="s">
        <v>998</v>
      </c>
      <c r="C98" s="1"/>
      <c r="D98" s="1"/>
      <c r="E98" s="1"/>
      <c r="F98" s="1" t="s">
        <v>999</v>
      </c>
      <c r="G98" s="1"/>
      <c r="H98" s="1"/>
      <c r="I98" s="1" t="s">
        <v>1000</v>
      </c>
      <c r="J98" s="1" t="s">
        <v>1001</v>
      </c>
      <c r="K98" s="1"/>
      <c r="L98" s="1"/>
      <c r="M98" s="1"/>
      <c r="N98" s="1"/>
      <c r="O98" s="1"/>
      <c r="P98" s="2"/>
      <c r="Q98" s="1"/>
      <c r="R98" s="1"/>
      <c r="S98" s="1"/>
      <c r="T98" s="1"/>
      <c r="U98" s="1"/>
      <c r="V98" s="1" t="s">
        <v>1002</v>
      </c>
      <c r="W98" s="1"/>
      <c r="X98" s="1"/>
      <c r="Y98" s="1"/>
      <c r="Z98" s="1"/>
      <c r="AA98" s="1" t="s">
        <v>1003</v>
      </c>
      <c r="AB98" s="1"/>
      <c r="AC98" s="1"/>
      <c r="AD98" s="1"/>
      <c r="AE98" s="1"/>
      <c r="AF98" s="1"/>
      <c r="AG98" s="1"/>
      <c r="AH98" s="1"/>
      <c r="AI98" s="1"/>
      <c r="AJ98" s="1"/>
      <c r="AK98" s="1"/>
      <c r="AL98" s="1"/>
      <c r="AM98" s="1"/>
      <c r="AN98" s="1"/>
      <c r="AO98" s="1" t="s">
        <v>1004</v>
      </c>
      <c r="AP98" s="1" t="s">
        <v>1005</v>
      </c>
      <c r="AQ98" s="1"/>
      <c r="AR98" s="1"/>
      <c r="AS98" s="1"/>
      <c r="AT98" s="1" t="s">
        <v>1006</v>
      </c>
      <c r="AU98" s="3">
        <v>2023</v>
      </c>
      <c r="AV98" s="3">
        <v>100</v>
      </c>
      <c r="AW98" s="3">
        <v>7</v>
      </c>
      <c r="AX98" s="2"/>
      <c r="AY98" s="2"/>
      <c r="AZ98" s="1"/>
      <c r="BA98" s="2"/>
      <c r="BB98" s="3">
        <v>1083</v>
      </c>
      <c r="BC98" s="3">
        <v>1106</v>
      </c>
      <c r="BD98" s="2"/>
      <c r="BE98" s="1" t="s">
        <v>1007</v>
      </c>
      <c r="BF98" s="4">
        <f>HYPERLINK("http://dx.doi.org/10.1080/14753820.2023.2247823","http://dx.doi.org/10.1080/14753820.2023.2247823")</f>
      </c>
      <c r="BG98" s="1"/>
      <c r="BH98" s="1" t="s">
        <v>1008</v>
      </c>
      <c r="BI98" s="1"/>
      <c r="BJ98" s="1"/>
      <c r="BK98" s="1"/>
      <c r="BL98" s="1"/>
      <c r="BM98" s="1"/>
      <c r="BN98" s="2"/>
      <c r="BO98" s="1"/>
      <c r="BP98" s="1"/>
      <c r="BQ98" s="1"/>
      <c r="BR98" s="1"/>
      <c r="BS98" s="1" t="s">
        <v>1009</v>
      </c>
      <c r="BT98" s="5">
        <f>HYPERLINK("https%3A%2F%2Fwww.webofscience.com%2Fwos%2Fwoscc%2Ffull-record%2FWOS:001107058500001","View Full Record in Web of Science")</f>
      </c>
    </row>
    <row x14ac:dyDescent="0.25" r="99" customHeight="1" ht="12.75">
      <c r="A99" s="1" t="s">
        <v>72</v>
      </c>
      <c r="B99" s="1" t="s">
        <v>1010</v>
      </c>
      <c r="C99" s="1"/>
      <c r="D99" s="1"/>
      <c r="E99" s="1"/>
      <c r="F99" s="1" t="s">
        <v>1011</v>
      </c>
      <c r="G99" s="1"/>
      <c r="H99" s="1"/>
      <c r="I99" s="1" t="s">
        <v>1012</v>
      </c>
      <c r="J99" s="1" t="s">
        <v>1013</v>
      </c>
      <c r="K99" s="1"/>
      <c r="L99" s="1"/>
      <c r="M99" s="1"/>
      <c r="N99" s="1"/>
      <c r="O99" s="1"/>
      <c r="P99" s="2"/>
      <c r="Q99" s="1"/>
      <c r="R99" s="1"/>
      <c r="S99" s="1"/>
      <c r="T99" s="1"/>
      <c r="U99" s="1"/>
      <c r="V99" s="1"/>
      <c r="W99" s="1"/>
      <c r="X99" s="1"/>
      <c r="Y99" s="1"/>
      <c r="Z99" s="1"/>
      <c r="AA99" s="1" t="s">
        <v>1014</v>
      </c>
      <c r="AB99" s="1" t="s">
        <v>1015</v>
      </c>
      <c r="AC99" s="1"/>
      <c r="AD99" s="1"/>
      <c r="AE99" s="1"/>
      <c r="AF99" s="1"/>
      <c r="AG99" s="1"/>
      <c r="AH99" s="1"/>
      <c r="AI99" s="1"/>
      <c r="AJ99" s="1"/>
      <c r="AK99" s="1"/>
      <c r="AL99" s="1"/>
      <c r="AM99" s="1"/>
      <c r="AN99" s="1"/>
      <c r="AO99" s="1" t="s">
        <v>1016</v>
      </c>
      <c r="AP99" s="1" t="s">
        <v>1017</v>
      </c>
      <c r="AQ99" s="1"/>
      <c r="AR99" s="1"/>
      <c r="AS99" s="1"/>
      <c r="AT99" s="1" t="s">
        <v>292</v>
      </c>
      <c r="AU99" s="3">
        <v>2023</v>
      </c>
      <c r="AV99" s="3">
        <v>23</v>
      </c>
      <c r="AW99" s="3">
        <v>3</v>
      </c>
      <c r="AX99" s="2"/>
      <c r="AY99" s="2"/>
      <c r="AZ99" s="1" t="s">
        <v>170</v>
      </c>
      <c r="BA99" s="2"/>
      <c r="BB99" s="3">
        <v>857</v>
      </c>
      <c r="BC99" s="3">
        <v>859</v>
      </c>
      <c r="BD99" s="2"/>
      <c r="BE99" s="1" t="s">
        <v>1018</v>
      </c>
      <c r="BF99" s="4">
        <f>HYPERLINK("http://dx.doi.org/10.1007/s11115-023-00740-2","http://dx.doi.org/10.1007/s11115-023-00740-2")</f>
      </c>
      <c r="BG99" s="1"/>
      <c r="BH99" s="1" t="s">
        <v>1019</v>
      </c>
      <c r="BI99" s="1"/>
      <c r="BJ99" s="1"/>
      <c r="BK99" s="1"/>
      <c r="BL99" s="1"/>
      <c r="BM99" s="1"/>
      <c r="BN99" s="2"/>
      <c r="BO99" s="1"/>
      <c r="BP99" s="1"/>
      <c r="BQ99" s="1"/>
      <c r="BR99" s="1"/>
      <c r="BS99" s="1" t="s">
        <v>1020</v>
      </c>
      <c r="BT99" s="5">
        <f>HYPERLINK("https%3A%2F%2Fwww.webofscience.com%2Fwos%2Fwoscc%2Ffull-record%2FWOS:001045158300002","View Full Record in Web of Science")</f>
      </c>
    </row>
    <row x14ac:dyDescent="0.25" r="100" customHeight="1" ht="12.75">
      <c r="A100" s="1" t="s">
        <v>72</v>
      </c>
      <c r="B100" s="1" t="s">
        <v>1021</v>
      </c>
      <c r="C100" s="1"/>
      <c r="D100" s="1"/>
      <c r="E100" s="1"/>
      <c r="F100" s="1" t="s">
        <v>1022</v>
      </c>
      <c r="G100" s="1"/>
      <c r="H100" s="1"/>
      <c r="I100" s="1" t="s">
        <v>1023</v>
      </c>
      <c r="J100" s="1" t="s">
        <v>1024</v>
      </c>
      <c r="K100" s="1"/>
      <c r="L100" s="1"/>
      <c r="M100" s="1"/>
      <c r="N100" s="1"/>
      <c r="O100" s="1"/>
      <c r="P100" s="2"/>
      <c r="Q100" s="1"/>
      <c r="R100" s="1"/>
      <c r="S100" s="1"/>
      <c r="T100" s="1"/>
      <c r="U100" s="1"/>
      <c r="V100" s="1" t="s">
        <v>1025</v>
      </c>
      <c r="W100" s="1"/>
      <c r="X100" s="1"/>
      <c r="Y100" s="1"/>
      <c r="Z100" s="1"/>
      <c r="AA100" s="1"/>
      <c r="AB100" s="1" t="s">
        <v>1026</v>
      </c>
      <c r="AC100" s="1"/>
      <c r="AD100" s="1"/>
      <c r="AE100" s="1"/>
      <c r="AF100" s="1"/>
      <c r="AG100" s="1"/>
      <c r="AH100" s="1"/>
      <c r="AI100" s="1"/>
      <c r="AJ100" s="1"/>
      <c r="AK100" s="1"/>
      <c r="AL100" s="1"/>
      <c r="AM100" s="1"/>
      <c r="AN100" s="1"/>
      <c r="AO100" s="1" t="s">
        <v>1027</v>
      </c>
      <c r="AP100" s="1" t="s">
        <v>1028</v>
      </c>
      <c r="AQ100" s="1"/>
      <c r="AR100" s="1"/>
      <c r="AS100" s="1"/>
      <c r="AT100" s="1" t="s">
        <v>1029</v>
      </c>
      <c r="AU100" s="3">
        <v>2023</v>
      </c>
      <c r="AV100" s="3">
        <v>32</v>
      </c>
      <c r="AW100" s="3">
        <v>9</v>
      </c>
      <c r="AX100" s="2"/>
      <c r="AY100" s="2"/>
      <c r="AZ100" s="1"/>
      <c r="BA100" s="2"/>
      <c r="BB100" s="2"/>
      <c r="BC100" s="2"/>
      <c r="BD100" s="3">
        <v>2350059</v>
      </c>
      <c r="BE100" s="1" t="s">
        <v>1030</v>
      </c>
      <c r="BF100" s="4">
        <f>HYPERLINK("http://dx.doi.org/10.1142/S0218271823500591","http://dx.doi.org/10.1142/S0218271823500591")</f>
      </c>
      <c r="BG100" s="1"/>
      <c r="BH100" s="1" t="s">
        <v>1031</v>
      </c>
      <c r="BI100" s="1"/>
      <c r="BJ100" s="1"/>
      <c r="BK100" s="1"/>
      <c r="BL100" s="1"/>
      <c r="BM100" s="1"/>
      <c r="BN100" s="2"/>
      <c r="BO100" s="1"/>
      <c r="BP100" s="1"/>
      <c r="BQ100" s="1"/>
      <c r="BR100" s="1"/>
      <c r="BS100" s="1" t="s">
        <v>1032</v>
      </c>
      <c r="BT100" s="5">
        <f>HYPERLINK("https%3A%2F%2Fwww.webofscience.com%2Fwos%2Fwoscc%2Ffull-record%2FWOS:001014899800001","View Full Record in Web of Science")</f>
      </c>
    </row>
    <row x14ac:dyDescent="0.25" r="101" customHeight="1" ht="12.75">
      <c r="A101" s="1" t="s">
        <v>72</v>
      </c>
      <c r="B101" s="1" t="s">
        <v>1033</v>
      </c>
      <c r="C101" s="1"/>
      <c r="D101" s="1"/>
      <c r="E101" s="1"/>
      <c r="F101" s="1" t="s">
        <v>1034</v>
      </c>
      <c r="G101" s="1"/>
      <c r="H101" s="1"/>
      <c r="I101" s="1" t="s">
        <v>1035</v>
      </c>
      <c r="J101" s="1" t="s">
        <v>210</v>
      </c>
      <c r="K101" s="1"/>
      <c r="L101" s="1"/>
      <c r="M101" s="1"/>
      <c r="N101" s="1"/>
      <c r="O101" s="1"/>
      <c r="P101" s="2"/>
      <c r="Q101" s="1"/>
      <c r="R101" s="1"/>
      <c r="S101" s="1"/>
      <c r="T101" s="1"/>
      <c r="U101" s="1"/>
      <c r="V101" s="1" t="s">
        <v>1036</v>
      </c>
      <c r="W101" s="1"/>
      <c r="X101" s="1"/>
      <c r="Y101" s="1"/>
      <c r="Z101" s="1"/>
      <c r="AA101" s="1" t="s">
        <v>165</v>
      </c>
      <c r="AB101" s="1" t="s">
        <v>166</v>
      </c>
      <c r="AC101" s="1"/>
      <c r="AD101" s="1"/>
      <c r="AE101" s="1"/>
      <c r="AF101" s="1"/>
      <c r="AG101" s="1"/>
      <c r="AH101" s="1"/>
      <c r="AI101" s="1"/>
      <c r="AJ101" s="1"/>
      <c r="AK101" s="1"/>
      <c r="AL101" s="1"/>
      <c r="AM101" s="1"/>
      <c r="AN101" s="1"/>
      <c r="AO101" s="1"/>
      <c r="AP101" s="1" t="s">
        <v>214</v>
      </c>
      <c r="AQ101" s="1"/>
      <c r="AR101" s="1"/>
      <c r="AS101" s="1"/>
      <c r="AT101" s="1" t="s">
        <v>1037</v>
      </c>
      <c r="AU101" s="3">
        <v>2023</v>
      </c>
      <c r="AV101" s="3">
        <v>15</v>
      </c>
      <c r="AW101" s="3">
        <v>9</v>
      </c>
      <c r="AX101" s="2"/>
      <c r="AY101" s="2"/>
      <c r="AZ101" s="1"/>
      <c r="BA101" s="2"/>
      <c r="BB101" s="2"/>
      <c r="BC101" s="2"/>
      <c r="BD101" s="3">
        <v>7138</v>
      </c>
      <c r="BE101" s="1" t="s">
        <v>1038</v>
      </c>
      <c r="BF101" s="4">
        <f>HYPERLINK("http://dx.doi.org/10.3390/su15097138","http://dx.doi.org/10.3390/su15097138")</f>
      </c>
      <c r="BG101" s="1"/>
      <c r="BH101" s="1"/>
      <c r="BI101" s="1"/>
      <c r="BJ101" s="1"/>
      <c r="BK101" s="1"/>
      <c r="BL101" s="1"/>
      <c r="BM101" s="1"/>
      <c r="BN101" s="2"/>
      <c r="BO101" s="1"/>
      <c r="BP101" s="1"/>
      <c r="BQ101" s="1"/>
      <c r="BR101" s="1"/>
      <c r="BS101" s="1" t="s">
        <v>1039</v>
      </c>
      <c r="BT101" s="5">
        <f>HYPERLINK("https%3A%2F%2Fwww.webofscience.com%2Fwos%2Fwoscc%2Ffull-record%2FWOS:000987762100001","View Full Record in Web of Science")</f>
      </c>
    </row>
    <row x14ac:dyDescent="0.25" r="102" customHeight="1" ht="12.75">
      <c r="A102" s="1" t="s">
        <v>303</v>
      </c>
      <c r="B102" s="1" t="s">
        <v>1040</v>
      </c>
      <c r="C102" s="1"/>
      <c r="D102" s="1" t="s">
        <v>1041</v>
      </c>
      <c r="E102" s="1"/>
      <c r="F102" s="1" t="s">
        <v>1042</v>
      </c>
      <c r="G102" s="1"/>
      <c r="H102" s="1"/>
      <c r="I102" s="1" t="s">
        <v>1043</v>
      </c>
      <c r="J102" s="1" t="s">
        <v>1044</v>
      </c>
      <c r="K102" s="1" t="s">
        <v>1045</v>
      </c>
      <c r="L102" s="1"/>
      <c r="M102" s="1"/>
      <c r="N102" s="1"/>
      <c r="O102" s="1" t="s">
        <v>1046</v>
      </c>
      <c r="P102" s="2" t="s">
        <v>1047</v>
      </c>
      <c r="Q102" s="1" t="s">
        <v>1048</v>
      </c>
      <c r="R102" s="1" t="s">
        <v>1049</v>
      </c>
      <c r="S102" s="1"/>
      <c r="T102" s="1"/>
      <c r="U102" s="1"/>
      <c r="V102" s="1" t="s">
        <v>1050</v>
      </c>
      <c r="W102" s="1"/>
      <c r="X102" s="1"/>
      <c r="Y102" s="1"/>
      <c r="Z102" s="1"/>
      <c r="AA102" s="1" t="s">
        <v>1051</v>
      </c>
      <c r="AB102" s="1" t="s">
        <v>1052</v>
      </c>
      <c r="AC102" s="1"/>
      <c r="AD102" s="1"/>
      <c r="AE102" s="1"/>
      <c r="AF102" s="1"/>
      <c r="AG102" s="1"/>
      <c r="AH102" s="1"/>
      <c r="AI102" s="1"/>
      <c r="AJ102" s="1"/>
      <c r="AK102" s="1"/>
      <c r="AL102" s="1"/>
      <c r="AM102" s="1"/>
      <c r="AN102" s="1"/>
      <c r="AO102" s="1" t="s">
        <v>1053</v>
      </c>
      <c r="AP102" s="1" t="s">
        <v>1054</v>
      </c>
      <c r="AQ102" s="1" t="s">
        <v>1055</v>
      </c>
      <c r="AR102" s="1"/>
      <c r="AS102" s="1"/>
      <c r="AT102" s="1"/>
      <c r="AU102" s="3">
        <v>2023</v>
      </c>
      <c r="AV102" s="3">
        <v>13920</v>
      </c>
      <c r="AW102" s="2"/>
      <c r="AX102" s="2"/>
      <c r="AY102" s="2"/>
      <c r="AZ102" s="1"/>
      <c r="BA102" s="2"/>
      <c r="BB102" s="3">
        <v>313</v>
      </c>
      <c r="BC102" s="3">
        <v>326</v>
      </c>
      <c r="BD102" s="2"/>
      <c r="BE102" s="1" t="s">
        <v>1056</v>
      </c>
      <c r="BF102" s="4">
        <f>HYPERLINK("http://dx.doi.org/10.1007/978-3-031-34960-7_22","http://dx.doi.org/10.1007/978-3-031-34960-7_22")</f>
      </c>
      <c r="BG102" s="1"/>
      <c r="BH102" s="1"/>
      <c r="BI102" s="1"/>
      <c r="BJ102" s="1"/>
      <c r="BK102" s="1"/>
      <c r="BL102" s="1"/>
      <c r="BM102" s="1"/>
      <c r="BN102" s="2"/>
      <c r="BO102" s="1"/>
      <c r="BP102" s="1"/>
      <c r="BQ102" s="1"/>
      <c r="BR102" s="1"/>
      <c r="BS102" s="1" t="s">
        <v>1057</v>
      </c>
      <c r="BT102" s="5">
        <f>HYPERLINK("https%3A%2F%2Fwww.webofscience.com%2Fwos%2Fwoscc%2Ffull-record%2FWOS:001313789700022","View Full Record in Web of Science")</f>
      </c>
    </row>
    <row x14ac:dyDescent="0.25" r="103" customHeight="1" ht="12.75">
      <c r="A103" s="1" t="s">
        <v>72</v>
      </c>
      <c r="B103" s="1" t="s">
        <v>1058</v>
      </c>
      <c r="C103" s="1"/>
      <c r="D103" s="1"/>
      <c r="E103" s="1"/>
      <c r="F103" s="1" t="s">
        <v>1059</v>
      </c>
      <c r="G103" s="1"/>
      <c r="H103" s="1"/>
      <c r="I103" s="1" t="s">
        <v>1060</v>
      </c>
      <c r="J103" s="1" t="s">
        <v>1061</v>
      </c>
      <c r="K103" s="1"/>
      <c r="L103" s="1"/>
      <c r="M103" s="1"/>
      <c r="N103" s="1"/>
      <c r="O103" s="1"/>
      <c r="P103" s="2"/>
      <c r="Q103" s="1"/>
      <c r="R103" s="1"/>
      <c r="S103" s="1"/>
      <c r="T103" s="1"/>
      <c r="U103" s="1"/>
      <c r="V103" s="1" t="s">
        <v>1062</v>
      </c>
      <c r="W103" s="1"/>
      <c r="X103" s="1"/>
      <c r="Y103" s="1"/>
      <c r="Z103" s="1"/>
      <c r="AA103" s="1"/>
      <c r="AB103" s="1"/>
      <c r="AC103" s="1"/>
      <c r="AD103" s="1"/>
      <c r="AE103" s="1"/>
      <c r="AF103" s="1"/>
      <c r="AG103" s="1"/>
      <c r="AH103" s="1"/>
      <c r="AI103" s="1"/>
      <c r="AJ103" s="1"/>
      <c r="AK103" s="1"/>
      <c r="AL103" s="1"/>
      <c r="AM103" s="1"/>
      <c r="AN103" s="1"/>
      <c r="AO103" s="1" t="s">
        <v>1063</v>
      </c>
      <c r="AP103" s="1" t="s">
        <v>1064</v>
      </c>
      <c r="AQ103" s="1"/>
      <c r="AR103" s="1"/>
      <c r="AS103" s="1"/>
      <c r="AT103" s="1"/>
      <c r="AU103" s="3">
        <v>2023</v>
      </c>
      <c r="AV103" s="3">
        <v>15</v>
      </c>
      <c r="AW103" s="3">
        <v>1</v>
      </c>
      <c r="AX103" s="2"/>
      <c r="AY103" s="2"/>
      <c r="AZ103" s="1"/>
      <c r="BA103" s="2"/>
      <c r="BB103" s="3">
        <v>74</v>
      </c>
      <c r="BC103" s="3">
        <v>94</v>
      </c>
      <c r="BD103" s="2"/>
      <c r="BE103" s="1"/>
      <c r="BF103" s="1"/>
      <c r="BG103" s="1"/>
      <c r="BH103" s="1"/>
      <c r="BI103" s="1"/>
      <c r="BJ103" s="1"/>
      <c r="BK103" s="1"/>
      <c r="BL103" s="1"/>
      <c r="BM103" s="1"/>
      <c r="BN103" s="2"/>
      <c r="BO103" s="1"/>
      <c r="BP103" s="1"/>
      <c r="BQ103" s="1"/>
      <c r="BR103" s="1"/>
      <c r="BS103" s="1" t="s">
        <v>1065</v>
      </c>
      <c r="BT103" s="5">
        <f>HYPERLINK("https%3A%2F%2Fwww.webofscience.com%2Fwos%2Fwoscc%2Ffull-record%2FWOS:001046680900006","View Full Record in Web of Science")</f>
      </c>
    </row>
    <row x14ac:dyDescent="0.25" r="104" customHeight="1" ht="12.75">
      <c r="A104" s="1" t="s">
        <v>72</v>
      </c>
      <c r="B104" s="1" t="s">
        <v>1066</v>
      </c>
      <c r="C104" s="1"/>
      <c r="D104" s="1"/>
      <c r="E104" s="1"/>
      <c r="F104" s="1" t="s">
        <v>1067</v>
      </c>
      <c r="G104" s="1"/>
      <c r="H104" s="1"/>
      <c r="I104" s="1" t="s">
        <v>1068</v>
      </c>
      <c r="J104" s="1" t="s">
        <v>1069</v>
      </c>
      <c r="K104" s="1"/>
      <c r="L104" s="1"/>
      <c r="M104" s="1"/>
      <c r="N104" s="1"/>
      <c r="O104" s="1"/>
      <c r="P104" s="2"/>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t="s">
        <v>1070</v>
      </c>
      <c r="AP104" s="1" t="s">
        <v>1071</v>
      </c>
      <c r="AQ104" s="1"/>
      <c r="AR104" s="1"/>
      <c r="AS104" s="1"/>
      <c r="AT104" s="1" t="s">
        <v>181</v>
      </c>
      <c r="AU104" s="3">
        <v>2023</v>
      </c>
      <c r="AV104" s="3">
        <v>89</v>
      </c>
      <c r="AW104" s="3">
        <v>282</v>
      </c>
      <c r="AX104" s="2"/>
      <c r="AY104" s="2"/>
      <c r="AZ104" s="1"/>
      <c r="BA104" s="2"/>
      <c r="BB104" s="3">
        <v>491</v>
      </c>
      <c r="BC104" s="3">
        <v>506</v>
      </c>
      <c r="BD104" s="2"/>
      <c r="BE104" s="1"/>
      <c r="BF104" s="1"/>
      <c r="BG104" s="1"/>
      <c r="BH104" s="1"/>
      <c r="BI104" s="1"/>
      <c r="BJ104" s="1"/>
      <c r="BK104" s="1"/>
      <c r="BL104" s="1"/>
      <c r="BM104" s="1"/>
      <c r="BN104" s="2"/>
      <c r="BO104" s="1"/>
      <c r="BP104" s="1"/>
      <c r="BQ104" s="1"/>
      <c r="BR104" s="1"/>
      <c r="BS104" s="1" t="s">
        <v>1072</v>
      </c>
      <c r="BT104" s="5">
        <f>HYPERLINK("https%3A%2F%2Fwww.webofscience.com%2Fwos%2Fwoscc%2Ffull-record%2FWOS:000959606500001","View Full Record in Web of Science")</f>
      </c>
    </row>
    <row x14ac:dyDescent="0.25" r="105" customHeight="1" ht="12.75">
      <c r="A105" s="1" t="s">
        <v>72</v>
      </c>
      <c r="B105" s="1" t="s">
        <v>1073</v>
      </c>
      <c r="C105" s="1"/>
      <c r="D105" s="1"/>
      <c r="E105" s="1"/>
      <c r="F105" s="1" t="s">
        <v>1074</v>
      </c>
      <c r="G105" s="1"/>
      <c r="H105" s="1"/>
      <c r="I105" s="1" t="s">
        <v>1075</v>
      </c>
      <c r="J105" s="1" t="s">
        <v>1076</v>
      </c>
      <c r="K105" s="1"/>
      <c r="L105" s="1"/>
      <c r="M105" s="1"/>
      <c r="N105" s="1"/>
      <c r="O105" s="1"/>
      <c r="P105" s="2"/>
      <c r="Q105" s="1"/>
      <c r="R105" s="1"/>
      <c r="S105" s="1"/>
      <c r="T105" s="1"/>
      <c r="U105" s="1"/>
      <c r="V105" s="1" t="s">
        <v>1077</v>
      </c>
      <c r="W105" s="1"/>
      <c r="X105" s="1"/>
      <c r="Y105" s="1"/>
      <c r="Z105" s="1"/>
      <c r="AA105" s="1"/>
      <c r="AB105" s="1"/>
      <c r="AC105" s="1"/>
      <c r="AD105" s="1"/>
      <c r="AE105" s="1"/>
      <c r="AF105" s="1"/>
      <c r="AG105" s="1"/>
      <c r="AH105" s="1"/>
      <c r="AI105" s="1"/>
      <c r="AJ105" s="1"/>
      <c r="AK105" s="1"/>
      <c r="AL105" s="1"/>
      <c r="AM105" s="1"/>
      <c r="AN105" s="1"/>
      <c r="AO105" s="1" t="s">
        <v>1078</v>
      </c>
      <c r="AP105" s="1" t="s">
        <v>1079</v>
      </c>
      <c r="AQ105" s="1"/>
      <c r="AR105" s="1"/>
      <c r="AS105" s="1"/>
      <c r="AT105" s="1"/>
      <c r="AU105" s="3">
        <v>2023</v>
      </c>
      <c r="AV105" s="3">
        <v>18</v>
      </c>
      <c r="AW105" s="2"/>
      <c r="AX105" s="2"/>
      <c r="AY105" s="2"/>
      <c r="AZ105" s="1"/>
      <c r="BA105" s="2"/>
      <c r="BB105" s="3">
        <v>1</v>
      </c>
      <c r="BC105" s="3">
        <v>19</v>
      </c>
      <c r="BD105" s="2"/>
      <c r="BE105" s="1" t="s">
        <v>1080</v>
      </c>
      <c r="BF105" s="4">
        <f>HYPERLINK("http://dx.doi.org/10.61303/07184727.v18i.1162","http://dx.doi.org/10.61303/07184727.v18i.1162")</f>
      </c>
      <c r="BG105" s="1"/>
      <c r="BH105" s="1"/>
      <c r="BI105" s="1"/>
      <c r="BJ105" s="1"/>
      <c r="BK105" s="1"/>
      <c r="BL105" s="1"/>
      <c r="BM105" s="1"/>
      <c r="BN105" s="2"/>
      <c r="BO105" s="1"/>
      <c r="BP105" s="1"/>
      <c r="BQ105" s="1"/>
      <c r="BR105" s="1"/>
      <c r="BS105" s="1" t="s">
        <v>1081</v>
      </c>
      <c r="BT105" s="5">
        <f>HYPERLINK("https%3A%2F%2Fwww.webofscience.com%2Fwos%2Fwoscc%2Ffull-record%2FWOS:001402099700001","View Full Record in Web of Science")</f>
      </c>
    </row>
    <row x14ac:dyDescent="0.25" r="106" customHeight="1" ht="12.75">
      <c r="A106" s="1" t="s">
        <v>72</v>
      </c>
      <c r="B106" s="1" t="s">
        <v>1082</v>
      </c>
      <c r="C106" s="1"/>
      <c r="D106" s="1"/>
      <c r="E106" s="1"/>
      <c r="F106" s="1" t="s">
        <v>1083</v>
      </c>
      <c r="G106" s="1"/>
      <c r="H106" s="1"/>
      <c r="I106" s="1" t="s">
        <v>1084</v>
      </c>
      <c r="J106" s="1" t="s">
        <v>1085</v>
      </c>
      <c r="K106" s="1"/>
      <c r="L106" s="1"/>
      <c r="M106" s="1"/>
      <c r="N106" s="1"/>
      <c r="O106" s="1"/>
      <c r="P106" s="2"/>
      <c r="Q106" s="1"/>
      <c r="R106" s="1"/>
      <c r="S106" s="1"/>
      <c r="T106" s="1"/>
      <c r="U106" s="1"/>
      <c r="V106" s="1" t="s">
        <v>1086</v>
      </c>
      <c r="W106" s="1"/>
      <c r="X106" s="1"/>
      <c r="Y106" s="1"/>
      <c r="Z106" s="1"/>
      <c r="AA106" s="1"/>
      <c r="AB106" s="1"/>
      <c r="AC106" s="1"/>
      <c r="AD106" s="1"/>
      <c r="AE106" s="1"/>
      <c r="AF106" s="1"/>
      <c r="AG106" s="1"/>
      <c r="AH106" s="1"/>
      <c r="AI106" s="1"/>
      <c r="AJ106" s="1"/>
      <c r="AK106" s="1"/>
      <c r="AL106" s="1"/>
      <c r="AM106" s="1"/>
      <c r="AN106" s="1"/>
      <c r="AO106" s="1" t="s">
        <v>1087</v>
      </c>
      <c r="AP106" s="1" t="s">
        <v>1088</v>
      </c>
      <c r="AQ106" s="1"/>
      <c r="AR106" s="1"/>
      <c r="AS106" s="1"/>
      <c r="AT106" s="1" t="s">
        <v>1089</v>
      </c>
      <c r="AU106" s="3">
        <v>2023</v>
      </c>
      <c r="AV106" s="3">
        <v>53</v>
      </c>
      <c r="AW106" s="3">
        <v>5</v>
      </c>
      <c r="AX106" s="2"/>
      <c r="AY106" s="2"/>
      <c r="AZ106" s="1"/>
      <c r="BA106" s="2"/>
      <c r="BB106" s="3">
        <v>488</v>
      </c>
      <c r="BC106" s="3">
        <v>499</v>
      </c>
      <c r="BD106" s="2"/>
      <c r="BE106" s="1" t="s">
        <v>1090</v>
      </c>
      <c r="BF106" s="4">
        <f>HYPERLINK("http://dx.doi.org/10.1080/10826068.2022.2109048","http://dx.doi.org/10.1080/10826068.2022.2109048")</f>
      </c>
      <c r="BG106" s="1"/>
      <c r="BH106" s="1" t="s">
        <v>1091</v>
      </c>
      <c r="BI106" s="1"/>
      <c r="BJ106" s="1"/>
      <c r="BK106" s="1"/>
      <c r="BL106" s="1"/>
      <c r="BM106" s="1"/>
      <c r="BN106" s="3">
        <v>35980820</v>
      </c>
      <c r="BO106" s="1"/>
      <c r="BP106" s="1"/>
      <c r="BQ106" s="1"/>
      <c r="BR106" s="1"/>
      <c r="BS106" s="1" t="s">
        <v>1092</v>
      </c>
      <c r="BT106" s="5">
        <f>HYPERLINK("https%3A%2F%2Fwww.webofscience.com%2Fwos%2Fwoscc%2Ffull-record%2FWOS:000841855400001","View Full Record in Web of Science")</f>
      </c>
    </row>
    <row x14ac:dyDescent="0.25" r="107" customHeight="1" ht="12.75">
      <c r="A107" s="1" t="s">
        <v>72</v>
      </c>
      <c r="B107" s="1" t="s">
        <v>1093</v>
      </c>
      <c r="C107" s="1"/>
      <c r="D107" s="1"/>
      <c r="E107" s="1"/>
      <c r="F107" s="1" t="s">
        <v>1094</v>
      </c>
      <c r="G107" s="1"/>
      <c r="H107" s="1"/>
      <c r="I107" s="1" t="s">
        <v>1095</v>
      </c>
      <c r="J107" s="1" t="s">
        <v>1096</v>
      </c>
      <c r="K107" s="1"/>
      <c r="L107" s="1"/>
      <c r="M107" s="1"/>
      <c r="N107" s="1"/>
      <c r="O107" s="1"/>
      <c r="P107" s="2"/>
      <c r="Q107" s="1"/>
      <c r="R107" s="1"/>
      <c r="S107" s="1"/>
      <c r="T107" s="1"/>
      <c r="U107" s="1"/>
      <c r="V107" s="1" t="s">
        <v>1097</v>
      </c>
      <c r="W107" s="1"/>
      <c r="X107" s="1"/>
      <c r="Y107" s="1"/>
      <c r="Z107" s="1"/>
      <c r="AA107" s="1" t="s">
        <v>1098</v>
      </c>
      <c r="AB107" s="1" t="s">
        <v>1099</v>
      </c>
      <c r="AC107" s="1"/>
      <c r="AD107" s="1"/>
      <c r="AE107" s="1"/>
      <c r="AF107" s="1"/>
      <c r="AG107" s="1"/>
      <c r="AH107" s="1"/>
      <c r="AI107" s="1"/>
      <c r="AJ107" s="1"/>
      <c r="AK107" s="1"/>
      <c r="AL107" s="1"/>
      <c r="AM107" s="1"/>
      <c r="AN107" s="1"/>
      <c r="AO107" s="1" t="s">
        <v>1100</v>
      </c>
      <c r="AP107" s="1" t="s">
        <v>1101</v>
      </c>
      <c r="AQ107" s="1"/>
      <c r="AR107" s="1"/>
      <c r="AS107" s="1"/>
      <c r="AT107" s="1" t="s">
        <v>292</v>
      </c>
      <c r="AU107" s="3">
        <v>2022</v>
      </c>
      <c r="AV107" s="3">
        <v>43</v>
      </c>
      <c r="AW107" s="3">
        <v>5</v>
      </c>
      <c r="AX107" s="2"/>
      <c r="AY107" s="2"/>
      <c r="AZ107" s="1"/>
      <c r="BA107" s="2"/>
      <c r="BB107" s="3">
        <v>1379</v>
      </c>
      <c r="BC107" s="3">
        <v>1400</v>
      </c>
      <c r="BD107" s="2"/>
      <c r="BE107" s="1" t="s">
        <v>1102</v>
      </c>
      <c r="BF107" s="4">
        <f>HYPERLINK("http://dx.doi.org/10.1002/oca.2897","http://dx.doi.org/10.1002/oca.2897")</f>
      </c>
      <c r="BG107" s="1"/>
      <c r="BH107" s="1" t="s">
        <v>1103</v>
      </c>
      <c r="BI107" s="1"/>
      <c r="BJ107" s="1"/>
      <c r="BK107" s="1"/>
      <c r="BL107" s="1"/>
      <c r="BM107" s="1"/>
      <c r="BN107" s="2"/>
      <c r="BO107" s="1"/>
      <c r="BP107" s="1"/>
      <c r="BQ107" s="1"/>
      <c r="BR107" s="1"/>
      <c r="BS107" s="1" t="s">
        <v>1104</v>
      </c>
      <c r="BT107" s="5">
        <f>HYPERLINK("https%3A%2F%2Fwww.webofscience.com%2Fwos%2Fwoscc%2Ffull-record%2FWOS:000790673100001","View Full Record in Web of Science")</f>
      </c>
    </row>
    <row x14ac:dyDescent="0.25" r="108" customHeight="1" ht="12.75">
      <c r="A108" s="1" t="s">
        <v>72</v>
      </c>
      <c r="B108" s="1" t="s">
        <v>1105</v>
      </c>
      <c r="C108" s="1"/>
      <c r="D108" s="1"/>
      <c r="E108" s="1"/>
      <c r="F108" s="1" t="s">
        <v>1106</v>
      </c>
      <c r="G108" s="1"/>
      <c r="H108" s="1"/>
      <c r="I108" s="1" t="s">
        <v>1107</v>
      </c>
      <c r="J108" s="1" t="s">
        <v>364</v>
      </c>
      <c r="K108" s="1"/>
      <c r="L108" s="1"/>
      <c r="M108" s="1"/>
      <c r="N108" s="1"/>
      <c r="O108" s="1"/>
      <c r="P108" s="2"/>
      <c r="Q108" s="1"/>
      <c r="R108" s="1"/>
      <c r="S108" s="1"/>
      <c r="T108" s="1"/>
      <c r="U108" s="1"/>
      <c r="V108" s="1" t="s">
        <v>1108</v>
      </c>
      <c r="W108" s="1"/>
      <c r="X108" s="1"/>
      <c r="Y108" s="1"/>
      <c r="Z108" s="1"/>
      <c r="AA108" s="1"/>
      <c r="AB108" s="1"/>
      <c r="AC108" s="1"/>
      <c r="AD108" s="1"/>
      <c r="AE108" s="1"/>
      <c r="AF108" s="1"/>
      <c r="AG108" s="1"/>
      <c r="AH108" s="1"/>
      <c r="AI108" s="1"/>
      <c r="AJ108" s="1"/>
      <c r="AK108" s="1"/>
      <c r="AL108" s="1"/>
      <c r="AM108" s="1"/>
      <c r="AN108" s="1"/>
      <c r="AO108" s="1" t="s">
        <v>366</v>
      </c>
      <c r="AP108" s="1" t="s">
        <v>367</v>
      </c>
      <c r="AQ108" s="1"/>
      <c r="AR108" s="1"/>
      <c r="AS108" s="1"/>
      <c r="AT108" s="1"/>
      <c r="AU108" s="3">
        <v>2022</v>
      </c>
      <c r="AV108" s="3">
        <v>79</v>
      </c>
      <c r="AW108" s="2"/>
      <c r="AX108" s="2"/>
      <c r="AY108" s="2"/>
      <c r="AZ108" s="1"/>
      <c r="BA108" s="2"/>
      <c r="BB108" s="3">
        <v>117</v>
      </c>
      <c r="BC108" s="3">
        <v>137</v>
      </c>
      <c r="BD108" s="2"/>
      <c r="BE108" s="1"/>
      <c r="BF108" s="1"/>
      <c r="BG108" s="1"/>
      <c r="BH108" s="1"/>
      <c r="BI108" s="1"/>
      <c r="BJ108" s="1"/>
      <c r="BK108" s="1"/>
      <c r="BL108" s="1"/>
      <c r="BM108" s="1"/>
      <c r="BN108" s="2"/>
      <c r="BO108" s="1"/>
      <c r="BP108" s="1"/>
      <c r="BQ108" s="1"/>
      <c r="BR108" s="1"/>
      <c r="BS108" s="1" t="s">
        <v>1109</v>
      </c>
      <c r="BT108" s="5">
        <f>HYPERLINK("https%3A%2F%2Fwww.webofscience.com%2Fwos%2Fwoscc%2Ffull-record%2FWOS:000906806200008","View Full Record in Web of Science")</f>
      </c>
    </row>
    <row x14ac:dyDescent="0.25" r="109" customHeight="1" ht="12.75">
      <c r="A109" s="1" t="s">
        <v>72</v>
      </c>
      <c r="B109" s="1" t="s">
        <v>1110</v>
      </c>
      <c r="C109" s="1"/>
      <c r="D109" s="1"/>
      <c r="E109" s="1"/>
      <c r="F109" s="1" t="s">
        <v>1111</v>
      </c>
      <c r="G109" s="1"/>
      <c r="H109" s="1"/>
      <c r="I109" s="1" t="s">
        <v>1112</v>
      </c>
      <c r="J109" s="1" t="s">
        <v>1113</v>
      </c>
      <c r="K109" s="1"/>
      <c r="L109" s="1"/>
      <c r="M109" s="1"/>
      <c r="N109" s="1"/>
      <c r="O109" s="1"/>
      <c r="P109" s="2"/>
      <c r="Q109" s="1"/>
      <c r="R109" s="1"/>
      <c r="S109" s="1"/>
      <c r="T109" s="1"/>
      <c r="U109" s="1"/>
      <c r="V109" s="1" t="s">
        <v>1114</v>
      </c>
      <c r="W109" s="1"/>
      <c r="X109" s="1"/>
      <c r="Y109" s="1"/>
      <c r="Z109" s="1"/>
      <c r="AA109" s="1" t="s">
        <v>1115</v>
      </c>
      <c r="AB109" s="1" t="s">
        <v>1116</v>
      </c>
      <c r="AC109" s="1"/>
      <c r="AD109" s="1"/>
      <c r="AE109" s="1"/>
      <c r="AF109" s="1"/>
      <c r="AG109" s="1"/>
      <c r="AH109" s="1"/>
      <c r="AI109" s="1"/>
      <c r="AJ109" s="1"/>
      <c r="AK109" s="1"/>
      <c r="AL109" s="1"/>
      <c r="AM109" s="1"/>
      <c r="AN109" s="1"/>
      <c r="AO109" s="1" t="s">
        <v>1117</v>
      </c>
      <c r="AP109" s="1" t="s">
        <v>1118</v>
      </c>
      <c r="AQ109" s="1"/>
      <c r="AR109" s="1"/>
      <c r="AS109" s="1"/>
      <c r="AT109" s="1" t="s">
        <v>1119</v>
      </c>
      <c r="AU109" s="3">
        <v>2022</v>
      </c>
      <c r="AV109" s="3">
        <v>35</v>
      </c>
      <c r="AW109" s="3">
        <v>1</v>
      </c>
      <c r="AX109" s="2"/>
      <c r="AY109" s="2"/>
      <c r="AZ109" s="1"/>
      <c r="BA109" s="2"/>
      <c r="BB109" s="3">
        <v>1243</v>
      </c>
      <c r="BC109" s="3">
        <v>1261</v>
      </c>
      <c r="BD109" s="2"/>
      <c r="BE109" s="1" t="s">
        <v>1120</v>
      </c>
      <c r="BF109" s="4">
        <f>HYPERLINK("http://dx.doi.org/10.1080/1331677X.2021.1962382","http://dx.doi.org/10.1080/1331677X.2021.1962382")</f>
      </c>
      <c r="BG109" s="1"/>
      <c r="BH109" s="1" t="s">
        <v>1121</v>
      </c>
      <c r="BI109" s="1"/>
      <c r="BJ109" s="1"/>
      <c r="BK109" s="1"/>
      <c r="BL109" s="1"/>
      <c r="BM109" s="1"/>
      <c r="BN109" s="2"/>
      <c r="BO109" s="1"/>
      <c r="BP109" s="1"/>
      <c r="BQ109" s="1"/>
      <c r="BR109" s="1"/>
      <c r="BS109" s="1" t="s">
        <v>1122</v>
      </c>
      <c r="BT109" s="5">
        <f>HYPERLINK("https%3A%2F%2Fwww.webofscience.com%2Fwos%2Fwoscc%2Ffull-record%2FWOS:000684155400001","View Full Record in Web of Science")</f>
      </c>
    </row>
    <row x14ac:dyDescent="0.25" r="110" customHeight="1" ht="12.75">
      <c r="A110" s="1" t="s">
        <v>72</v>
      </c>
      <c r="B110" s="1" t="s">
        <v>1123</v>
      </c>
      <c r="C110" s="1"/>
      <c r="D110" s="1"/>
      <c r="E110" s="1"/>
      <c r="F110" s="1" t="s">
        <v>1124</v>
      </c>
      <c r="G110" s="1"/>
      <c r="H110" s="1"/>
      <c r="I110" s="1" t="s">
        <v>1125</v>
      </c>
      <c r="J110" s="1" t="s">
        <v>1126</v>
      </c>
      <c r="K110" s="1"/>
      <c r="L110" s="1"/>
      <c r="M110" s="1"/>
      <c r="N110" s="1"/>
      <c r="O110" s="1"/>
      <c r="P110" s="2"/>
      <c r="Q110" s="1"/>
      <c r="R110" s="1"/>
      <c r="S110" s="1"/>
      <c r="T110" s="1"/>
      <c r="U110" s="1"/>
      <c r="V110" s="1" t="s">
        <v>1127</v>
      </c>
      <c r="W110" s="1"/>
      <c r="X110" s="1"/>
      <c r="Y110" s="1"/>
      <c r="Z110" s="1"/>
      <c r="AA110" s="1" t="s">
        <v>1128</v>
      </c>
      <c r="AB110" s="1" t="s">
        <v>1129</v>
      </c>
      <c r="AC110" s="1"/>
      <c r="AD110" s="1"/>
      <c r="AE110" s="1"/>
      <c r="AF110" s="1"/>
      <c r="AG110" s="1"/>
      <c r="AH110" s="1"/>
      <c r="AI110" s="1"/>
      <c r="AJ110" s="1"/>
      <c r="AK110" s="1"/>
      <c r="AL110" s="1"/>
      <c r="AM110" s="1"/>
      <c r="AN110" s="1"/>
      <c r="AO110" s="1" t="s">
        <v>1130</v>
      </c>
      <c r="AP110" s="1"/>
      <c r="AQ110" s="1"/>
      <c r="AR110" s="1"/>
      <c r="AS110" s="1"/>
      <c r="AT110" s="1"/>
      <c r="AU110" s="3">
        <v>2021</v>
      </c>
      <c r="AV110" s="3">
        <v>26</v>
      </c>
      <c r="AW110" s="3">
        <v>1</v>
      </c>
      <c r="AX110" s="2"/>
      <c r="AY110" s="2"/>
      <c r="AZ110" s="1"/>
      <c r="BA110" s="2"/>
      <c r="BB110" s="2"/>
      <c r="BC110" s="2"/>
      <c r="BD110" s="2" t="s">
        <v>1131</v>
      </c>
      <c r="BE110" s="1" t="s">
        <v>1132</v>
      </c>
      <c r="BF110" s="4">
        <f>HYPERLINK("http://dx.doi.org/10.1590/S1517-707620210001.1227","http://dx.doi.org/10.1590/S1517-707620210001.1227")</f>
      </c>
      <c r="BG110" s="1"/>
      <c r="BH110" s="1"/>
      <c r="BI110" s="1"/>
      <c r="BJ110" s="1"/>
      <c r="BK110" s="1"/>
      <c r="BL110" s="1"/>
      <c r="BM110" s="1"/>
      <c r="BN110" s="2"/>
      <c r="BO110" s="1"/>
      <c r="BP110" s="1"/>
      <c r="BQ110" s="1"/>
      <c r="BR110" s="1"/>
      <c r="BS110" s="1" t="s">
        <v>1133</v>
      </c>
      <c r="BT110" s="5">
        <f>HYPERLINK("https%3A%2F%2Fwww.webofscience.com%2Fwos%2Fwoscc%2Ffull-record%2FWOS:000630285200015","View Full Record in Web of Science")</f>
      </c>
    </row>
    <row x14ac:dyDescent="0.25" r="111" customHeight="1" ht="12.75">
      <c r="A111" s="1" t="s">
        <v>303</v>
      </c>
      <c r="B111" s="1" t="s">
        <v>1134</v>
      </c>
      <c r="C111" s="1"/>
      <c r="D111" s="1"/>
      <c r="E111" s="1" t="s">
        <v>305</v>
      </c>
      <c r="F111" s="1" t="s">
        <v>1135</v>
      </c>
      <c r="G111" s="1"/>
      <c r="H111" s="1"/>
      <c r="I111" s="1" t="s">
        <v>1136</v>
      </c>
      <c r="J111" s="1" t="s">
        <v>1137</v>
      </c>
      <c r="K111" s="1"/>
      <c r="L111" s="1"/>
      <c r="M111" s="1"/>
      <c r="N111" s="1"/>
      <c r="O111" s="1" t="s">
        <v>1138</v>
      </c>
      <c r="P111" s="2" t="s">
        <v>1139</v>
      </c>
      <c r="Q111" s="1" t="s">
        <v>1140</v>
      </c>
      <c r="R111" s="1" t="s">
        <v>1141</v>
      </c>
      <c r="S111" s="1"/>
      <c r="T111" s="1"/>
      <c r="U111" s="1"/>
      <c r="V111" s="1" t="s">
        <v>1142</v>
      </c>
      <c r="W111" s="1"/>
      <c r="X111" s="1"/>
      <c r="Y111" s="1"/>
      <c r="Z111" s="1"/>
      <c r="AA111" s="1" t="s">
        <v>1143</v>
      </c>
      <c r="AB111" s="1"/>
      <c r="AC111" s="1"/>
      <c r="AD111" s="1"/>
      <c r="AE111" s="1"/>
      <c r="AF111" s="1"/>
      <c r="AG111" s="1"/>
      <c r="AH111" s="1"/>
      <c r="AI111" s="1"/>
      <c r="AJ111" s="1"/>
      <c r="AK111" s="1"/>
      <c r="AL111" s="1"/>
      <c r="AM111" s="1"/>
      <c r="AN111" s="1"/>
      <c r="AO111" s="1"/>
      <c r="AP111" s="1"/>
      <c r="AQ111" s="1" t="s">
        <v>1144</v>
      </c>
      <c r="AR111" s="1"/>
      <c r="AS111" s="1"/>
      <c r="AT111" s="1"/>
      <c r="AU111" s="3">
        <v>2021</v>
      </c>
      <c r="AV111" s="2"/>
      <c r="AW111" s="2"/>
      <c r="AX111" s="2"/>
      <c r="AY111" s="2"/>
      <c r="AZ111" s="1"/>
      <c r="BA111" s="2"/>
      <c r="BB111" s="3">
        <v>72</v>
      </c>
      <c r="BC111" s="3">
        <v>77</v>
      </c>
      <c r="BD111" s="2"/>
      <c r="BE111" s="1" t="s">
        <v>1145</v>
      </c>
      <c r="BF111" s="4">
        <f>HYPERLINK("http://dx.doi.org/10.1109/SACVLC53127.2021.9652280","http://dx.doi.org/10.1109/SACVLC53127.2021.9652280")</f>
      </c>
      <c r="BG111" s="1"/>
      <c r="BH111" s="1"/>
      <c r="BI111" s="1"/>
      <c r="BJ111" s="1"/>
      <c r="BK111" s="1"/>
      <c r="BL111" s="1"/>
      <c r="BM111" s="1"/>
      <c r="BN111" s="2"/>
      <c r="BO111" s="1"/>
      <c r="BP111" s="1"/>
      <c r="BQ111" s="1"/>
      <c r="BR111" s="1"/>
      <c r="BS111" s="1" t="s">
        <v>1146</v>
      </c>
      <c r="BT111" s="5">
        <f>HYPERLINK("https%3A%2F%2Fwww.webofscience.com%2Fwos%2Fwoscc%2Ffull-record%2FWOS:000760247000013","View Full Record in Web of Science")</f>
      </c>
    </row>
    <row x14ac:dyDescent="0.25" r="112" customHeight="1" ht="12.75">
      <c r="A112" s="1" t="s">
        <v>72</v>
      </c>
      <c r="B112" s="1" t="s">
        <v>1147</v>
      </c>
      <c r="C112" s="1"/>
      <c r="D112" s="1"/>
      <c r="E112" s="1"/>
      <c r="F112" s="1" t="s">
        <v>1148</v>
      </c>
      <c r="G112" s="1"/>
      <c r="H112" s="1"/>
      <c r="I112" s="1" t="s">
        <v>1149</v>
      </c>
      <c r="J112" s="1" t="s">
        <v>1150</v>
      </c>
      <c r="K112" s="1"/>
      <c r="L112" s="1"/>
      <c r="M112" s="1"/>
      <c r="N112" s="1"/>
      <c r="O112" s="1"/>
      <c r="P112" s="2"/>
      <c r="Q112" s="1"/>
      <c r="R112" s="1"/>
      <c r="S112" s="1"/>
      <c r="T112" s="1"/>
      <c r="U112" s="1"/>
      <c r="V112" s="1" t="s">
        <v>1151</v>
      </c>
      <c r="W112" s="1"/>
      <c r="X112" s="1"/>
      <c r="Y112" s="1"/>
      <c r="Z112" s="1"/>
      <c r="AA112" s="1" t="s">
        <v>201</v>
      </c>
      <c r="AB112" s="1" t="s">
        <v>1152</v>
      </c>
      <c r="AC112" s="1"/>
      <c r="AD112" s="1"/>
      <c r="AE112" s="1"/>
      <c r="AF112" s="1"/>
      <c r="AG112" s="1"/>
      <c r="AH112" s="1"/>
      <c r="AI112" s="1"/>
      <c r="AJ112" s="1"/>
      <c r="AK112" s="1"/>
      <c r="AL112" s="1"/>
      <c r="AM112" s="1"/>
      <c r="AN112" s="1"/>
      <c r="AO112" s="1"/>
      <c r="AP112" s="1" t="s">
        <v>1153</v>
      </c>
      <c r="AQ112" s="1"/>
      <c r="AR112" s="1"/>
      <c r="AS112" s="1"/>
      <c r="AT112" s="1" t="s">
        <v>103</v>
      </c>
      <c r="AU112" s="3">
        <v>2021</v>
      </c>
      <c r="AV112" s="3">
        <v>21</v>
      </c>
      <c r="AW112" s="3">
        <v>2</v>
      </c>
      <c r="AX112" s="2"/>
      <c r="AY112" s="2"/>
      <c r="AZ112" s="1"/>
      <c r="BA112" s="2"/>
      <c r="BB112" s="2"/>
      <c r="BC112" s="2"/>
      <c r="BD112" s="3">
        <v>492</v>
      </c>
      <c r="BE112" s="1" t="s">
        <v>1154</v>
      </c>
      <c r="BF112" s="4">
        <f>HYPERLINK("http://dx.doi.org/10.3390/s21020492","http://dx.doi.org/10.3390/s21020492")</f>
      </c>
      <c r="BG112" s="1"/>
      <c r="BH112" s="1"/>
      <c r="BI112" s="1"/>
      <c r="BJ112" s="1"/>
      <c r="BK112" s="1"/>
      <c r="BL112" s="1"/>
      <c r="BM112" s="1"/>
      <c r="BN112" s="3">
        <v>33445582</v>
      </c>
      <c r="BO112" s="1"/>
      <c r="BP112" s="1"/>
      <c r="BQ112" s="1"/>
      <c r="BR112" s="1"/>
      <c r="BS112" s="1" t="s">
        <v>1155</v>
      </c>
      <c r="BT112" s="5">
        <f>HYPERLINK("https%3A%2F%2Fwww.webofscience.com%2Fwos%2Fwoscc%2Ffull-record%2FWOS:000611718700001","View Full Record in Web of Science")</f>
      </c>
    </row>
    <row x14ac:dyDescent="0.25" r="113" customHeight="1" ht="12.75">
      <c r="A113" s="1" t="s">
        <v>72</v>
      </c>
      <c r="B113" s="1" t="s">
        <v>1156</v>
      </c>
      <c r="C113" s="1"/>
      <c r="D113" s="1"/>
      <c r="E113" s="1"/>
      <c r="F113" s="1" t="s">
        <v>1157</v>
      </c>
      <c r="G113" s="1"/>
      <c r="H113" s="1"/>
      <c r="I113" s="1" t="s">
        <v>1158</v>
      </c>
      <c r="J113" s="1" t="s">
        <v>1159</v>
      </c>
      <c r="K113" s="1"/>
      <c r="L113" s="1"/>
      <c r="M113" s="1"/>
      <c r="N113" s="1"/>
      <c r="O113" s="1"/>
      <c r="P113" s="2"/>
      <c r="Q113" s="1"/>
      <c r="R113" s="1"/>
      <c r="S113" s="1"/>
      <c r="T113" s="1"/>
      <c r="U113" s="1"/>
      <c r="V113" s="1" t="s">
        <v>1160</v>
      </c>
      <c r="W113" s="1"/>
      <c r="X113" s="1"/>
      <c r="Y113" s="1"/>
      <c r="Z113" s="1"/>
      <c r="AA113" s="1" t="s">
        <v>1161</v>
      </c>
      <c r="AB113" s="1" t="s">
        <v>1162</v>
      </c>
      <c r="AC113" s="1"/>
      <c r="AD113" s="1"/>
      <c r="AE113" s="1"/>
      <c r="AF113" s="1"/>
      <c r="AG113" s="1"/>
      <c r="AH113" s="1"/>
      <c r="AI113" s="1"/>
      <c r="AJ113" s="1"/>
      <c r="AK113" s="1"/>
      <c r="AL113" s="1"/>
      <c r="AM113" s="1"/>
      <c r="AN113" s="1"/>
      <c r="AO113" s="1" t="s">
        <v>1163</v>
      </c>
      <c r="AP113" s="1" t="s">
        <v>1164</v>
      </c>
      <c r="AQ113" s="1"/>
      <c r="AR113" s="1"/>
      <c r="AS113" s="1"/>
      <c r="AT113" s="1" t="s">
        <v>1165</v>
      </c>
      <c r="AU113" s="3">
        <v>2020</v>
      </c>
      <c r="AV113" s="3">
        <v>52</v>
      </c>
      <c r="AW113" s="3">
        <v>6</v>
      </c>
      <c r="AX113" s="2"/>
      <c r="AY113" s="2"/>
      <c r="AZ113" s="1"/>
      <c r="BA113" s="2"/>
      <c r="BB113" s="2"/>
      <c r="BC113" s="2"/>
      <c r="BD113" s="3">
        <v>62</v>
      </c>
      <c r="BE113" s="1" t="s">
        <v>1166</v>
      </c>
      <c r="BF113" s="4">
        <f>HYPERLINK("http://dx.doi.org/10.1007/s10714-020-02712-z","http://dx.doi.org/10.1007/s10714-020-02712-z")</f>
      </c>
      <c r="BG113" s="1"/>
      <c r="BH113" s="1"/>
      <c r="BI113" s="1"/>
      <c r="BJ113" s="1"/>
      <c r="BK113" s="1"/>
      <c r="BL113" s="1"/>
      <c r="BM113" s="1"/>
      <c r="BN113" s="2"/>
      <c r="BO113" s="1"/>
      <c r="BP113" s="1"/>
      <c r="BQ113" s="1"/>
      <c r="BR113" s="1"/>
      <c r="BS113" s="1" t="s">
        <v>1167</v>
      </c>
      <c r="BT113" s="5">
        <f>HYPERLINK("https%3A%2F%2Fwww.webofscience.com%2Fwos%2Fwoscc%2Ffull-record%2FWOS:000544256600001","View Full Record in Web of Science")</f>
      </c>
    </row>
    <row x14ac:dyDescent="0.25" r="114" customHeight="1" ht="12.75">
      <c r="A114" s="1" t="s">
        <v>72</v>
      </c>
      <c r="B114" s="1" t="s">
        <v>1168</v>
      </c>
      <c r="C114" s="1"/>
      <c r="D114" s="1"/>
      <c r="E114" s="1"/>
      <c r="F114" s="1" t="s">
        <v>1169</v>
      </c>
      <c r="G114" s="1"/>
      <c r="H114" s="1"/>
      <c r="I114" s="1" t="s">
        <v>1170</v>
      </c>
      <c r="J114" s="1" t="s">
        <v>1171</v>
      </c>
      <c r="K114" s="1"/>
      <c r="L114" s="1"/>
      <c r="M114" s="1"/>
      <c r="N114" s="1"/>
      <c r="O114" s="1"/>
      <c r="P114" s="2"/>
      <c r="Q114" s="1"/>
      <c r="R114" s="1"/>
      <c r="S114" s="1"/>
      <c r="T114" s="1"/>
      <c r="U114" s="1"/>
      <c r="V114" s="1" t="s">
        <v>1172</v>
      </c>
      <c r="W114" s="1"/>
      <c r="X114" s="1"/>
      <c r="Y114" s="1"/>
      <c r="Z114" s="1"/>
      <c r="AA114" s="1"/>
      <c r="AB114" s="1"/>
      <c r="AC114" s="1"/>
      <c r="AD114" s="1"/>
      <c r="AE114" s="1"/>
      <c r="AF114" s="1"/>
      <c r="AG114" s="1"/>
      <c r="AH114" s="1"/>
      <c r="AI114" s="1"/>
      <c r="AJ114" s="1"/>
      <c r="AK114" s="1"/>
      <c r="AL114" s="1"/>
      <c r="AM114" s="1"/>
      <c r="AN114" s="1"/>
      <c r="AO114" s="1" t="s">
        <v>1173</v>
      </c>
      <c r="AP114" s="1" t="s">
        <v>1174</v>
      </c>
      <c r="AQ114" s="1"/>
      <c r="AR114" s="1"/>
      <c r="AS114" s="1"/>
      <c r="AT114" s="1" t="s">
        <v>757</v>
      </c>
      <c r="AU114" s="3">
        <v>2020</v>
      </c>
      <c r="AV114" s="3">
        <v>17</v>
      </c>
      <c r="AW114" s="3">
        <v>22</v>
      </c>
      <c r="AX114" s="2"/>
      <c r="AY114" s="2"/>
      <c r="AZ114" s="1"/>
      <c r="BA114" s="2"/>
      <c r="BB114" s="3">
        <v>83</v>
      </c>
      <c r="BC114" s="3">
        <v>104</v>
      </c>
      <c r="BD114" s="2"/>
      <c r="BE114" s="1"/>
      <c r="BF114" s="1"/>
      <c r="BG114" s="1"/>
      <c r="BH114" s="1"/>
      <c r="BI114" s="1"/>
      <c r="BJ114" s="1"/>
      <c r="BK114" s="1"/>
      <c r="BL114" s="1"/>
      <c r="BM114" s="1"/>
      <c r="BN114" s="2"/>
      <c r="BO114" s="1"/>
      <c r="BP114" s="1"/>
      <c r="BQ114" s="1"/>
      <c r="BR114" s="1"/>
      <c r="BS114" s="1" t="s">
        <v>1175</v>
      </c>
      <c r="BT114" s="5">
        <f>HYPERLINK("https%3A%2F%2Fwww.webofscience.com%2Fwos%2Fwoscc%2Ffull-record%2FWOS:000557875200005","View Full Record in Web of Science")</f>
      </c>
    </row>
    <row x14ac:dyDescent="0.25" r="115" customHeight="1" ht="12.75">
      <c r="A115" s="1" t="s">
        <v>72</v>
      </c>
      <c r="B115" s="1" t="s">
        <v>1176</v>
      </c>
      <c r="C115" s="1"/>
      <c r="D115" s="1"/>
      <c r="E115" s="1"/>
      <c r="F115" s="1" t="s">
        <v>1177</v>
      </c>
      <c r="G115" s="1"/>
      <c r="H115" s="1"/>
      <c r="I115" s="1" t="s">
        <v>1178</v>
      </c>
      <c r="J115" s="1" t="s">
        <v>1179</v>
      </c>
      <c r="K115" s="1"/>
      <c r="L115" s="1"/>
      <c r="M115" s="1"/>
      <c r="N115" s="1"/>
      <c r="O115" s="1"/>
      <c r="P115" s="2"/>
      <c r="Q115" s="1"/>
      <c r="R115" s="1"/>
      <c r="S115" s="1"/>
      <c r="T115" s="1"/>
      <c r="U115" s="1"/>
      <c r="V115" s="1" t="s">
        <v>1180</v>
      </c>
      <c r="W115" s="1"/>
      <c r="X115" s="1"/>
      <c r="Y115" s="1"/>
      <c r="Z115" s="1"/>
      <c r="AA115" s="1"/>
      <c r="AB115" s="1" t="s">
        <v>1181</v>
      </c>
      <c r="AC115" s="1"/>
      <c r="AD115" s="1"/>
      <c r="AE115" s="1"/>
      <c r="AF115" s="1"/>
      <c r="AG115" s="1"/>
      <c r="AH115" s="1"/>
      <c r="AI115" s="1"/>
      <c r="AJ115" s="1"/>
      <c r="AK115" s="1"/>
      <c r="AL115" s="1"/>
      <c r="AM115" s="1"/>
      <c r="AN115" s="1"/>
      <c r="AO115" s="1" t="s">
        <v>1182</v>
      </c>
      <c r="AP115" s="1" t="s">
        <v>1183</v>
      </c>
      <c r="AQ115" s="1"/>
      <c r="AR115" s="1"/>
      <c r="AS115" s="1"/>
      <c r="AT115" s="1" t="s">
        <v>757</v>
      </c>
      <c r="AU115" s="3">
        <v>2020</v>
      </c>
      <c r="AV115" s="3">
        <v>150</v>
      </c>
      <c r="AW115" s="3">
        <v>3</v>
      </c>
      <c r="AX115" s="2"/>
      <c r="AY115" s="2"/>
      <c r="AZ115" s="1"/>
      <c r="BA115" s="2"/>
      <c r="BB115" s="3">
        <v>1467</v>
      </c>
      <c r="BC115" s="3">
        <v>1494</v>
      </c>
      <c r="BD115" s="2" t="s">
        <v>1184</v>
      </c>
      <c r="BE115" s="1" t="s">
        <v>1185</v>
      </c>
      <c r="BF115" s="4">
        <f>HYPERLINK("http://dx.doi.org/10.1017/prm.2018.151","http://dx.doi.org/10.1017/prm.2018.151")</f>
      </c>
      <c r="BG115" s="1"/>
      <c r="BH115" s="1"/>
      <c r="BI115" s="1"/>
      <c r="BJ115" s="1"/>
      <c r="BK115" s="1"/>
      <c r="BL115" s="1"/>
      <c r="BM115" s="1"/>
      <c r="BN115" s="2"/>
      <c r="BO115" s="1"/>
      <c r="BP115" s="1"/>
      <c r="BQ115" s="1"/>
      <c r="BR115" s="1"/>
      <c r="BS115" s="1" t="s">
        <v>1186</v>
      </c>
      <c r="BT115" s="5">
        <f>HYPERLINK("https%3A%2F%2Fwww.webofscience.com%2Fwos%2Fwoscc%2Ffull-record%2FWOS:000527721800017","View Full Record in Web of Science")</f>
      </c>
    </row>
    <row x14ac:dyDescent="0.25" r="116" customHeight="1" ht="12.75">
      <c r="A116" s="1" t="s">
        <v>303</v>
      </c>
      <c r="B116" s="1" t="s">
        <v>1187</v>
      </c>
      <c r="C116" s="1"/>
      <c r="D116" s="1"/>
      <c r="E116" s="1" t="s">
        <v>305</v>
      </c>
      <c r="F116" s="1" t="s">
        <v>1188</v>
      </c>
      <c r="G116" s="1"/>
      <c r="H116" s="1"/>
      <c r="I116" s="1" t="s">
        <v>1189</v>
      </c>
      <c r="J116" s="1" t="s">
        <v>1190</v>
      </c>
      <c r="K116" s="1"/>
      <c r="L116" s="1"/>
      <c r="M116" s="1"/>
      <c r="N116" s="1"/>
      <c r="O116" s="1" t="s">
        <v>1191</v>
      </c>
      <c r="P116" s="2" t="s">
        <v>1192</v>
      </c>
      <c r="Q116" s="1" t="s">
        <v>507</v>
      </c>
      <c r="R116" s="1" t="s">
        <v>1193</v>
      </c>
      <c r="S116" s="1"/>
      <c r="T116" s="1"/>
      <c r="U116" s="1"/>
      <c r="V116" s="1" t="s">
        <v>1194</v>
      </c>
      <c r="W116" s="1"/>
      <c r="X116" s="1"/>
      <c r="Y116" s="1"/>
      <c r="Z116" s="1"/>
      <c r="AA116" s="1" t="s">
        <v>1195</v>
      </c>
      <c r="AB116" s="1" t="s">
        <v>1196</v>
      </c>
      <c r="AC116" s="1"/>
      <c r="AD116" s="1"/>
      <c r="AE116" s="1"/>
      <c r="AF116" s="1"/>
      <c r="AG116" s="1"/>
      <c r="AH116" s="1"/>
      <c r="AI116" s="1"/>
      <c r="AJ116" s="1"/>
      <c r="AK116" s="1"/>
      <c r="AL116" s="1"/>
      <c r="AM116" s="1"/>
      <c r="AN116" s="1"/>
      <c r="AO116" s="1"/>
      <c r="AP116" s="1"/>
      <c r="AQ116" s="1" t="s">
        <v>1197</v>
      </c>
      <c r="AR116" s="1"/>
      <c r="AS116" s="1"/>
      <c r="AT116" s="1"/>
      <c r="AU116" s="3">
        <v>2020</v>
      </c>
      <c r="AV116" s="2"/>
      <c r="AW116" s="2"/>
      <c r="AX116" s="2"/>
      <c r="AY116" s="2"/>
      <c r="AZ116" s="1"/>
      <c r="BA116" s="2"/>
      <c r="BB116" s="3">
        <v>73</v>
      </c>
      <c r="BC116" s="3">
        <v>77</v>
      </c>
      <c r="BD116" s="2"/>
      <c r="BE116" s="1"/>
      <c r="BF116" s="1"/>
      <c r="BG116" s="1"/>
      <c r="BH116" s="1"/>
      <c r="BI116" s="1"/>
      <c r="BJ116" s="1"/>
      <c r="BK116" s="1"/>
      <c r="BL116" s="1"/>
      <c r="BM116" s="1"/>
      <c r="BN116" s="2"/>
      <c r="BO116" s="1"/>
      <c r="BP116" s="1"/>
      <c r="BQ116" s="1"/>
      <c r="BR116" s="1"/>
      <c r="BS116" s="1" t="s">
        <v>1198</v>
      </c>
      <c r="BT116" s="5">
        <f>HYPERLINK("https%3A%2F%2Fwww.webofscience.com%2Fwos%2Fwoscc%2Ffull-record%2FWOS:000856038700014","View Full Record in Web of Science")</f>
      </c>
    </row>
    <row x14ac:dyDescent="0.25" r="117" customHeight="1" ht="12.75">
      <c r="A117" s="1" t="s">
        <v>72</v>
      </c>
      <c r="B117" s="1" t="s">
        <v>562</v>
      </c>
      <c r="C117" s="1"/>
      <c r="D117" s="1"/>
      <c r="E117" s="1"/>
      <c r="F117" s="1" t="s">
        <v>563</v>
      </c>
      <c r="G117" s="1"/>
      <c r="H117" s="1"/>
      <c r="I117" s="1" t="s">
        <v>1199</v>
      </c>
      <c r="J117" s="1" t="s">
        <v>1200</v>
      </c>
      <c r="K117" s="1"/>
      <c r="L117" s="1"/>
      <c r="M117" s="1"/>
      <c r="N117" s="1"/>
      <c r="O117" s="1"/>
      <c r="P117" s="2"/>
      <c r="Q117" s="1"/>
      <c r="R117" s="1"/>
      <c r="S117" s="1"/>
      <c r="T117" s="1"/>
      <c r="U117" s="1"/>
      <c r="V117" s="1" t="s">
        <v>1201</v>
      </c>
      <c r="W117" s="1"/>
      <c r="X117" s="1"/>
      <c r="Y117" s="1"/>
      <c r="Z117" s="1"/>
      <c r="AA117" s="1"/>
      <c r="AB117" s="1"/>
      <c r="AC117" s="1"/>
      <c r="AD117" s="1"/>
      <c r="AE117" s="1"/>
      <c r="AF117" s="1"/>
      <c r="AG117" s="1"/>
      <c r="AH117" s="1"/>
      <c r="AI117" s="1"/>
      <c r="AJ117" s="1"/>
      <c r="AK117" s="1"/>
      <c r="AL117" s="1"/>
      <c r="AM117" s="1"/>
      <c r="AN117" s="1"/>
      <c r="AO117" s="1" t="s">
        <v>1202</v>
      </c>
      <c r="AP117" s="1" t="s">
        <v>1203</v>
      </c>
      <c r="AQ117" s="1"/>
      <c r="AR117" s="1"/>
      <c r="AS117" s="1"/>
      <c r="AT117" s="1"/>
      <c r="AU117" s="3">
        <v>2020</v>
      </c>
      <c r="AV117" s="3">
        <v>30</v>
      </c>
      <c r="AW117" s="3">
        <v>1</v>
      </c>
      <c r="AX117" s="2"/>
      <c r="AY117" s="2"/>
      <c r="AZ117" s="1"/>
      <c r="BA117" s="2"/>
      <c r="BB117" s="3">
        <v>18</v>
      </c>
      <c r="BC117" s="3">
        <v>28</v>
      </c>
      <c r="BD117" s="2"/>
      <c r="BE117" s="1" t="s">
        <v>1204</v>
      </c>
      <c r="BF117" s="4">
        <f>HYPERLINK("http://dx.doi.org/10.15443/RL3002","http://dx.doi.org/10.15443/RL3002")</f>
      </c>
      <c r="BG117" s="1"/>
      <c r="BH117" s="1"/>
      <c r="BI117" s="1"/>
      <c r="BJ117" s="1"/>
      <c r="BK117" s="1"/>
      <c r="BL117" s="1"/>
      <c r="BM117" s="1"/>
      <c r="BN117" s="2"/>
      <c r="BO117" s="1"/>
      <c r="BP117" s="1"/>
      <c r="BQ117" s="1"/>
      <c r="BR117" s="1"/>
      <c r="BS117" s="1" t="s">
        <v>1205</v>
      </c>
      <c r="BT117" s="5">
        <f>HYPERLINK("https%3A%2F%2Fwww.webofscience.com%2Fwos%2Fwoscc%2Ffull-record%2FWOS:000546153800002","View Full Record in Web of Science")</f>
      </c>
    </row>
    <row x14ac:dyDescent="0.25" r="118" customHeight="1" ht="12.75">
      <c r="A118" s="1" t="s">
        <v>267</v>
      </c>
      <c r="B118" s="1" t="s">
        <v>1206</v>
      </c>
      <c r="C118" s="1"/>
      <c r="D118" s="1" t="s">
        <v>296</v>
      </c>
      <c r="E118" s="1"/>
      <c r="F118" s="1" t="s">
        <v>1207</v>
      </c>
      <c r="G118" s="1"/>
      <c r="H118" s="1"/>
      <c r="I118" s="1" t="s">
        <v>1208</v>
      </c>
      <c r="J118" s="1" t="s">
        <v>299</v>
      </c>
      <c r="K118" s="1" t="s">
        <v>300</v>
      </c>
      <c r="L118" s="1"/>
      <c r="M118" s="1"/>
      <c r="N118" s="1"/>
      <c r="O118" s="1"/>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t="s">
        <v>301</v>
      </c>
      <c r="AR118" s="1"/>
      <c r="AS118" s="1"/>
      <c r="AT118" s="1"/>
      <c r="AU118" s="3">
        <v>2020</v>
      </c>
      <c r="AV118" s="3">
        <v>8</v>
      </c>
      <c r="AW118" s="2"/>
      <c r="AX118" s="2"/>
      <c r="AY118" s="2"/>
      <c r="AZ118" s="1"/>
      <c r="BA118" s="2"/>
      <c r="BB118" s="3">
        <v>93</v>
      </c>
      <c r="BC118" s="3">
        <v>95</v>
      </c>
      <c r="BD118" s="2"/>
      <c r="BE118" s="1"/>
      <c r="BF118" s="1"/>
      <c r="BG118" s="1"/>
      <c r="BH118" s="1"/>
      <c r="BI118" s="1"/>
      <c r="BJ118" s="1"/>
      <c r="BK118" s="1"/>
      <c r="BL118" s="1"/>
      <c r="BM118" s="1"/>
      <c r="BN118" s="2"/>
      <c r="BO118" s="1"/>
      <c r="BP118" s="1"/>
      <c r="BQ118" s="1"/>
      <c r="BR118" s="1"/>
      <c r="BS118" s="1" t="s">
        <v>1209</v>
      </c>
      <c r="BT118" s="5">
        <f>HYPERLINK("https%3A%2F%2Fwww.webofscience.com%2Fwos%2Fwoscc%2Ffull-record%2FWOS:000608865900021","View Full Record in Web of Science")</f>
      </c>
    </row>
    <row x14ac:dyDescent="0.25" r="119" customHeight="1" ht="12.75">
      <c r="A119" s="1" t="s">
        <v>303</v>
      </c>
      <c r="B119" s="1" t="s">
        <v>1210</v>
      </c>
      <c r="C119" s="1"/>
      <c r="D119" s="1" t="s">
        <v>1211</v>
      </c>
      <c r="E119" s="1"/>
      <c r="F119" s="1" t="s">
        <v>1212</v>
      </c>
      <c r="G119" s="1"/>
      <c r="H119" s="1"/>
      <c r="I119" s="1" t="s">
        <v>1213</v>
      </c>
      <c r="J119" s="1" t="s">
        <v>1214</v>
      </c>
      <c r="K119" s="1" t="s">
        <v>1215</v>
      </c>
      <c r="L119" s="1"/>
      <c r="M119" s="1"/>
      <c r="N119" s="1"/>
      <c r="O119" s="1" t="s">
        <v>1216</v>
      </c>
      <c r="P119" s="2" t="s">
        <v>1217</v>
      </c>
      <c r="Q119" s="1" t="s">
        <v>1218</v>
      </c>
      <c r="R119" s="1" t="s">
        <v>305</v>
      </c>
      <c r="S119" s="1"/>
      <c r="T119" s="1"/>
      <c r="U119" s="1"/>
      <c r="V119" s="1" t="s">
        <v>1219</v>
      </c>
      <c r="W119" s="1"/>
      <c r="X119" s="1"/>
      <c r="Y119" s="1"/>
      <c r="Z119" s="1"/>
      <c r="AA119" s="1" t="s">
        <v>1220</v>
      </c>
      <c r="AB119" s="1" t="s">
        <v>1221</v>
      </c>
      <c r="AC119" s="1"/>
      <c r="AD119" s="1"/>
      <c r="AE119" s="1"/>
      <c r="AF119" s="1"/>
      <c r="AG119" s="1"/>
      <c r="AH119" s="1"/>
      <c r="AI119" s="1"/>
      <c r="AJ119" s="1"/>
      <c r="AK119" s="1"/>
      <c r="AL119" s="1"/>
      <c r="AM119" s="1"/>
      <c r="AN119" s="1"/>
      <c r="AO119" s="1" t="s">
        <v>1222</v>
      </c>
      <c r="AP119" s="1"/>
      <c r="AQ119" s="1" t="s">
        <v>1223</v>
      </c>
      <c r="AR119" s="1"/>
      <c r="AS119" s="1"/>
      <c r="AT119" s="1"/>
      <c r="AU119" s="3">
        <v>2020</v>
      </c>
      <c r="AV119" s="2"/>
      <c r="AW119" s="2"/>
      <c r="AX119" s="2"/>
      <c r="AY119" s="2"/>
      <c r="AZ119" s="1"/>
      <c r="BA119" s="2"/>
      <c r="BB119" s="2"/>
      <c r="BC119" s="2"/>
      <c r="BD119" s="2"/>
      <c r="BE119" s="1"/>
      <c r="BF119" s="1"/>
      <c r="BG119" s="1"/>
      <c r="BH119" s="1"/>
      <c r="BI119" s="1"/>
      <c r="BJ119" s="1"/>
      <c r="BK119" s="1"/>
      <c r="BL119" s="1"/>
      <c r="BM119" s="1"/>
      <c r="BN119" s="2"/>
      <c r="BO119" s="1"/>
      <c r="BP119" s="1"/>
      <c r="BQ119" s="1"/>
      <c r="BR119" s="1"/>
      <c r="BS119" s="1" t="s">
        <v>1224</v>
      </c>
      <c r="BT119" s="5">
        <f>HYPERLINK("https%3A%2F%2Fwww.webofscience.com%2Fwos%2Fwoscc%2Ffull-record%2FWOS:000926136200034","View Full Record in Web of Science")</f>
      </c>
    </row>
    <row x14ac:dyDescent="0.25" r="120" customHeight="1" ht="12.75">
      <c r="A120" s="1" t="s">
        <v>72</v>
      </c>
      <c r="B120" s="1" t="s">
        <v>1225</v>
      </c>
      <c r="C120" s="1"/>
      <c r="D120" s="1"/>
      <c r="E120" s="1"/>
      <c r="F120" s="1" t="s">
        <v>1226</v>
      </c>
      <c r="G120" s="1"/>
      <c r="H120" s="1"/>
      <c r="I120" s="1" t="s">
        <v>1227</v>
      </c>
      <c r="J120" s="1" t="s">
        <v>1228</v>
      </c>
      <c r="K120" s="1"/>
      <c r="L120" s="1"/>
      <c r="M120" s="1"/>
      <c r="N120" s="1"/>
      <c r="O120" s="1"/>
      <c r="P120" s="2"/>
      <c r="Q120" s="1"/>
      <c r="R120" s="1"/>
      <c r="S120" s="1"/>
      <c r="T120" s="1"/>
      <c r="U120" s="1"/>
      <c r="V120" s="1" t="s">
        <v>1229</v>
      </c>
      <c r="W120" s="1"/>
      <c r="X120" s="1"/>
      <c r="Y120" s="1"/>
      <c r="Z120" s="1"/>
      <c r="AA120" s="1" t="s">
        <v>1230</v>
      </c>
      <c r="AB120" s="1" t="s">
        <v>1231</v>
      </c>
      <c r="AC120" s="1"/>
      <c r="AD120" s="1"/>
      <c r="AE120" s="1"/>
      <c r="AF120" s="1"/>
      <c r="AG120" s="1"/>
      <c r="AH120" s="1"/>
      <c r="AI120" s="1"/>
      <c r="AJ120" s="1"/>
      <c r="AK120" s="1"/>
      <c r="AL120" s="1"/>
      <c r="AM120" s="1"/>
      <c r="AN120" s="1"/>
      <c r="AO120" s="1" t="s">
        <v>1232</v>
      </c>
      <c r="AP120" s="1" t="s">
        <v>1233</v>
      </c>
      <c r="AQ120" s="1"/>
      <c r="AR120" s="1"/>
      <c r="AS120" s="1"/>
      <c r="AT120" s="1" t="s">
        <v>1234</v>
      </c>
      <c r="AU120" s="3">
        <v>2019</v>
      </c>
      <c r="AV120" s="3">
        <v>266</v>
      </c>
      <c r="AW120" s="3">
        <v>12</v>
      </c>
      <c r="AX120" s="2"/>
      <c r="AY120" s="2"/>
      <c r="AZ120" s="1"/>
      <c r="BA120" s="2"/>
      <c r="BB120" s="3">
        <v>7813</v>
      </c>
      <c r="BC120" s="3">
        <v>7843</v>
      </c>
      <c r="BD120" s="2"/>
      <c r="BE120" s="1" t="s">
        <v>1235</v>
      </c>
      <c r="BF120" s="4">
        <f>HYPERLINK("http://dx.doi.org/10.1016/j.jde.2018.12.017","http://dx.doi.org/10.1016/j.jde.2018.12.017")</f>
      </c>
      <c r="BG120" s="1"/>
      <c r="BH120" s="1"/>
      <c r="BI120" s="1"/>
      <c r="BJ120" s="1"/>
      <c r="BK120" s="1"/>
      <c r="BL120" s="1"/>
      <c r="BM120" s="1"/>
      <c r="BN120" s="2"/>
      <c r="BO120" s="1"/>
      <c r="BP120" s="1"/>
      <c r="BQ120" s="1"/>
      <c r="BR120" s="1"/>
      <c r="BS120" s="1" t="s">
        <v>1236</v>
      </c>
      <c r="BT120" s="5">
        <f>HYPERLINK("https%3A%2F%2Fwww.webofscience.com%2Fwos%2Fwoscc%2Ffull-record%2FWOS:000461785900003","View Full Record in Web of Science")</f>
      </c>
    </row>
    <row x14ac:dyDescent="0.25" r="121" customHeight="1" ht="12.75">
      <c r="A121" s="1" t="s">
        <v>72</v>
      </c>
      <c r="B121" s="1" t="s">
        <v>562</v>
      </c>
      <c r="C121" s="1"/>
      <c r="D121" s="1"/>
      <c r="E121" s="1"/>
      <c r="F121" s="1" t="s">
        <v>563</v>
      </c>
      <c r="G121" s="1"/>
      <c r="H121" s="1"/>
      <c r="I121" s="1" t="s">
        <v>1237</v>
      </c>
      <c r="J121" s="1" t="s">
        <v>565</v>
      </c>
      <c r="K121" s="1"/>
      <c r="L121" s="1"/>
      <c r="M121" s="1"/>
      <c r="N121" s="1"/>
      <c r="O121" s="1"/>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t="s">
        <v>566</v>
      </c>
      <c r="AP121" s="1"/>
      <c r="AQ121" s="1"/>
      <c r="AR121" s="1"/>
      <c r="AS121" s="1"/>
      <c r="AT121" s="1" t="s">
        <v>567</v>
      </c>
      <c r="AU121" s="3">
        <v>2019</v>
      </c>
      <c r="AV121" s="2"/>
      <c r="AW121" s="3">
        <v>99</v>
      </c>
      <c r="AX121" s="2"/>
      <c r="AY121" s="2"/>
      <c r="AZ121" s="1"/>
      <c r="BA121" s="2"/>
      <c r="BB121" s="3">
        <v>416</v>
      </c>
      <c r="BC121" s="3">
        <v>418</v>
      </c>
      <c r="BD121" s="2"/>
      <c r="BE121" s="1" t="s">
        <v>1238</v>
      </c>
      <c r="BF121" s="4">
        <f>HYPERLINK("http://dx.doi.org/10.4067/S0718-22952019000100416","http://dx.doi.org/10.4067/S0718-22952019000100416")</f>
      </c>
      <c r="BG121" s="1"/>
      <c r="BH121" s="1"/>
      <c r="BI121" s="1"/>
      <c r="BJ121" s="1"/>
      <c r="BK121" s="1"/>
      <c r="BL121" s="1"/>
      <c r="BM121" s="1"/>
      <c r="BN121" s="2"/>
      <c r="BO121" s="1"/>
      <c r="BP121" s="1"/>
      <c r="BQ121" s="1"/>
      <c r="BR121" s="1"/>
      <c r="BS121" s="1" t="s">
        <v>1239</v>
      </c>
      <c r="BT121" s="5">
        <f>HYPERLINK("https%3A%2F%2Fwww.webofscience.com%2Fwos%2Fwoscc%2Ffull-record%2FWOS:000465556000021","View Full Record in Web of Science")</f>
      </c>
    </row>
    <row x14ac:dyDescent="0.25" r="122" customHeight="1" ht="12.75">
      <c r="A122" s="1" t="s">
        <v>267</v>
      </c>
      <c r="B122" s="1" t="s">
        <v>1240</v>
      </c>
      <c r="C122" s="1"/>
      <c r="D122" s="1"/>
      <c r="E122" s="1" t="s">
        <v>1241</v>
      </c>
      <c r="F122" s="1" t="s">
        <v>1242</v>
      </c>
      <c r="G122" s="1"/>
      <c r="H122" s="1"/>
      <c r="I122" s="1" t="s">
        <v>1243</v>
      </c>
      <c r="J122" s="1" t="s">
        <v>1244</v>
      </c>
      <c r="K122" s="1"/>
      <c r="L122" s="1"/>
      <c r="M122" s="1"/>
      <c r="N122" s="1"/>
      <c r="O122" s="1"/>
      <c r="P122" s="2"/>
      <c r="Q122" s="1"/>
      <c r="R122" s="1"/>
      <c r="S122" s="1"/>
      <c r="T122" s="1"/>
      <c r="U122" s="1"/>
      <c r="V122" s="1" t="s">
        <v>1245</v>
      </c>
      <c r="W122" s="1"/>
      <c r="X122" s="1"/>
      <c r="Y122" s="1"/>
      <c r="Z122" s="1"/>
      <c r="AA122" s="1" t="s">
        <v>1246</v>
      </c>
      <c r="AB122" s="1"/>
      <c r="AC122" s="1"/>
      <c r="AD122" s="1"/>
      <c r="AE122" s="1"/>
      <c r="AF122" s="1"/>
      <c r="AG122" s="1"/>
      <c r="AH122" s="1"/>
      <c r="AI122" s="1"/>
      <c r="AJ122" s="1"/>
      <c r="AK122" s="1"/>
      <c r="AL122" s="1"/>
      <c r="AM122" s="1"/>
      <c r="AN122" s="1"/>
      <c r="AO122" s="1"/>
      <c r="AP122" s="1"/>
      <c r="AQ122" s="1" t="s">
        <v>1247</v>
      </c>
      <c r="AR122" s="1"/>
      <c r="AS122" s="1"/>
      <c r="AT122" s="1"/>
      <c r="AU122" s="3">
        <v>2019</v>
      </c>
      <c r="AV122" s="2"/>
      <c r="AW122" s="2"/>
      <c r="AX122" s="2"/>
      <c r="AY122" s="2"/>
      <c r="AZ122" s="1"/>
      <c r="BA122" s="2"/>
      <c r="BB122" s="3">
        <v>13</v>
      </c>
      <c r="BC122" s="3">
        <v>23</v>
      </c>
      <c r="BD122" s="2"/>
      <c r="BE122" s="1"/>
      <c r="BF122" s="1"/>
      <c r="BG122" s="1"/>
      <c r="BH122" s="1"/>
      <c r="BI122" s="1"/>
      <c r="BJ122" s="1"/>
      <c r="BK122" s="1"/>
      <c r="BL122" s="1"/>
      <c r="BM122" s="1"/>
      <c r="BN122" s="2"/>
      <c r="BO122" s="1"/>
      <c r="BP122" s="1"/>
      <c r="BQ122" s="1"/>
      <c r="BR122" s="1"/>
      <c r="BS122" s="1" t="s">
        <v>1248</v>
      </c>
      <c r="BT122" s="5">
        <f>HYPERLINK("https%3A%2F%2Fwww.webofscience.com%2Fwos%2Fwoscc%2Ffull-record%2FWOS:000886992800002","View Full Record in Web of Science")</f>
      </c>
    </row>
    <row x14ac:dyDescent="0.25" r="123" customHeight="1" ht="12.75">
      <c r="A123" s="1" t="s">
        <v>72</v>
      </c>
      <c r="B123" s="1" t="s">
        <v>1249</v>
      </c>
      <c r="C123" s="1"/>
      <c r="D123" s="1"/>
      <c r="E123" s="1"/>
      <c r="F123" s="1" t="s">
        <v>1250</v>
      </c>
      <c r="G123" s="1"/>
      <c r="H123" s="1"/>
      <c r="I123" s="1" t="s">
        <v>1251</v>
      </c>
      <c r="J123" s="1" t="s">
        <v>1252</v>
      </c>
      <c r="K123" s="1"/>
      <c r="L123" s="1"/>
      <c r="M123" s="1"/>
      <c r="N123" s="1"/>
      <c r="O123" s="1"/>
      <c r="P123" s="2"/>
      <c r="Q123" s="1"/>
      <c r="R123" s="1"/>
      <c r="S123" s="1"/>
      <c r="T123" s="1"/>
      <c r="U123" s="1"/>
      <c r="V123" s="1" t="s">
        <v>1253</v>
      </c>
      <c r="W123" s="1"/>
      <c r="X123" s="1"/>
      <c r="Y123" s="1"/>
      <c r="Z123" s="1"/>
      <c r="AA123" s="1"/>
      <c r="AB123" s="1"/>
      <c r="AC123" s="1"/>
      <c r="AD123" s="1"/>
      <c r="AE123" s="1"/>
      <c r="AF123" s="1"/>
      <c r="AG123" s="1"/>
      <c r="AH123" s="1"/>
      <c r="AI123" s="1"/>
      <c r="AJ123" s="1"/>
      <c r="AK123" s="1"/>
      <c r="AL123" s="1"/>
      <c r="AM123" s="1"/>
      <c r="AN123" s="1"/>
      <c r="AO123" s="1" t="s">
        <v>1254</v>
      </c>
      <c r="AP123" s="1"/>
      <c r="AQ123" s="1"/>
      <c r="AR123" s="1"/>
      <c r="AS123" s="1"/>
      <c r="AT123" s="1" t="s">
        <v>204</v>
      </c>
      <c r="AU123" s="3">
        <v>2018</v>
      </c>
      <c r="AV123" s="3">
        <v>50</v>
      </c>
      <c r="AW123" s="3">
        <v>150</v>
      </c>
      <c r="AX123" s="2"/>
      <c r="AY123" s="2"/>
      <c r="AZ123" s="1"/>
      <c r="BA123" s="2"/>
      <c r="BB123" s="3">
        <v>27</v>
      </c>
      <c r="BC123" s="3">
        <v>41</v>
      </c>
      <c r="BD123" s="2"/>
      <c r="BE123" s="1" t="s">
        <v>1255</v>
      </c>
      <c r="BF123" s="4">
        <f>HYPERLINK("http://dx.doi.org/10.22201/iifs.18704905e.2018.14","http://dx.doi.org/10.22201/iifs.18704905e.2018.14")</f>
      </c>
      <c r="BG123" s="1"/>
      <c r="BH123" s="1"/>
      <c r="BI123" s="1"/>
      <c r="BJ123" s="1"/>
      <c r="BK123" s="1"/>
      <c r="BL123" s="1"/>
      <c r="BM123" s="1"/>
      <c r="BN123" s="2"/>
      <c r="BO123" s="1"/>
      <c r="BP123" s="1"/>
      <c r="BQ123" s="1"/>
      <c r="BR123" s="1"/>
      <c r="BS123" s="1" t="s">
        <v>1256</v>
      </c>
      <c r="BT123" s="5">
        <f>HYPERLINK("https%3A%2F%2Fwww.webofscience.com%2Fwos%2Fwoscc%2Ffull-record%2FWOS:000514116500002","View Full Record in Web of Science")</f>
      </c>
    </row>
    <row x14ac:dyDescent="0.25" r="124" customHeight="1" ht="12.75">
      <c r="A124" s="1" t="s">
        <v>72</v>
      </c>
      <c r="B124" s="1" t="s">
        <v>1257</v>
      </c>
      <c r="C124" s="1"/>
      <c r="D124" s="1"/>
      <c r="E124" s="1"/>
      <c r="F124" s="1" t="s">
        <v>1258</v>
      </c>
      <c r="G124" s="1"/>
      <c r="H124" s="1"/>
      <c r="I124" s="1" t="s">
        <v>1259</v>
      </c>
      <c r="J124" s="1" t="s">
        <v>1260</v>
      </c>
      <c r="K124" s="1"/>
      <c r="L124" s="1"/>
      <c r="M124" s="1"/>
      <c r="N124" s="1"/>
      <c r="O124" s="1"/>
      <c r="P124" s="2"/>
      <c r="Q124" s="1"/>
      <c r="R124" s="1"/>
      <c r="S124" s="1"/>
      <c r="T124" s="1"/>
      <c r="U124" s="1"/>
      <c r="V124" s="1" t="s">
        <v>1261</v>
      </c>
      <c r="W124" s="1"/>
      <c r="X124" s="1"/>
      <c r="Y124" s="1"/>
      <c r="Z124" s="1"/>
      <c r="AA124" s="1"/>
      <c r="AB124" s="1"/>
      <c r="AC124" s="1"/>
      <c r="AD124" s="1"/>
      <c r="AE124" s="1"/>
      <c r="AF124" s="1"/>
      <c r="AG124" s="1"/>
      <c r="AH124" s="1"/>
      <c r="AI124" s="1"/>
      <c r="AJ124" s="1"/>
      <c r="AK124" s="1"/>
      <c r="AL124" s="1"/>
      <c r="AM124" s="1"/>
      <c r="AN124" s="1"/>
      <c r="AO124" s="1" t="s">
        <v>1262</v>
      </c>
      <c r="AP124" s="1" t="s">
        <v>1263</v>
      </c>
      <c r="AQ124" s="1"/>
      <c r="AR124" s="1"/>
      <c r="AS124" s="1"/>
      <c r="AT124" s="1" t="s">
        <v>292</v>
      </c>
      <c r="AU124" s="3">
        <v>2018</v>
      </c>
      <c r="AV124" s="3">
        <v>61</v>
      </c>
      <c r="AW124" s="3">
        <v>3</v>
      </c>
      <c r="AX124" s="2"/>
      <c r="AY124" s="2"/>
      <c r="AZ124" s="1"/>
      <c r="BA124" s="2"/>
      <c r="BB124" s="3">
        <v>464</v>
      </c>
      <c r="BC124" s="3">
        <v>472</v>
      </c>
      <c r="BD124" s="2"/>
      <c r="BE124" s="1" t="s">
        <v>1264</v>
      </c>
      <c r="BF124" s="4">
        <f>HYPERLINK("http://dx.doi.org/10.4153/CMB-2017-061-4","http://dx.doi.org/10.4153/CMB-2017-061-4")</f>
      </c>
      <c r="BG124" s="1"/>
      <c r="BH124" s="1"/>
      <c r="BI124" s="1"/>
      <c r="BJ124" s="1"/>
      <c r="BK124" s="1"/>
      <c r="BL124" s="1"/>
      <c r="BM124" s="1"/>
      <c r="BN124" s="2"/>
      <c r="BO124" s="1"/>
      <c r="BP124" s="1"/>
      <c r="BQ124" s="1"/>
      <c r="BR124" s="1"/>
      <c r="BS124" s="1" t="s">
        <v>1265</v>
      </c>
      <c r="BT124" s="5">
        <f>HYPERLINK("https%3A%2F%2Fwww.webofscience.com%2Fwos%2Fwoscc%2Ffull-record%2FWOS:000442702900003","View Full Record in Web of Science")</f>
      </c>
    </row>
    <row x14ac:dyDescent="0.25" r="125" customHeight="1" ht="12.75">
      <c r="A125" s="1" t="s">
        <v>72</v>
      </c>
      <c r="B125" s="1" t="s">
        <v>1266</v>
      </c>
      <c r="C125" s="1"/>
      <c r="D125" s="1"/>
      <c r="E125" s="1"/>
      <c r="F125" s="1" t="s">
        <v>1267</v>
      </c>
      <c r="G125" s="1"/>
      <c r="H125" s="1"/>
      <c r="I125" s="1" t="s">
        <v>1268</v>
      </c>
      <c r="J125" s="1" t="s">
        <v>1269</v>
      </c>
      <c r="K125" s="1"/>
      <c r="L125" s="1"/>
      <c r="M125" s="1"/>
      <c r="N125" s="1"/>
      <c r="O125" s="1"/>
      <c r="P125" s="2"/>
      <c r="Q125" s="1"/>
      <c r="R125" s="1"/>
      <c r="S125" s="1"/>
      <c r="T125" s="1"/>
      <c r="U125" s="1"/>
      <c r="V125" s="1" t="s">
        <v>1270</v>
      </c>
      <c r="W125" s="1"/>
      <c r="X125" s="1"/>
      <c r="Y125" s="1"/>
      <c r="Z125" s="1"/>
      <c r="AA125" s="1" t="s">
        <v>1271</v>
      </c>
      <c r="AB125" s="1" t="s">
        <v>1272</v>
      </c>
      <c r="AC125" s="1"/>
      <c r="AD125" s="1"/>
      <c r="AE125" s="1"/>
      <c r="AF125" s="1"/>
      <c r="AG125" s="1"/>
      <c r="AH125" s="1"/>
      <c r="AI125" s="1"/>
      <c r="AJ125" s="1"/>
      <c r="AK125" s="1"/>
      <c r="AL125" s="1"/>
      <c r="AM125" s="1"/>
      <c r="AN125" s="1"/>
      <c r="AO125" s="1" t="s">
        <v>1273</v>
      </c>
      <c r="AP125" s="1" t="s">
        <v>1274</v>
      </c>
      <c r="AQ125" s="1"/>
      <c r="AR125" s="1"/>
      <c r="AS125" s="1"/>
      <c r="AT125" s="1" t="s">
        <v>1275</v>
      </c>
      <c r="AU125" s="3">
        <v>2018</v>
      </c>
      <c r="AV125" s="3">
        <v>215</v>
      </c>
      <c r="AW125" s="2"/>
      <c r="AX125" s="2"/>
      <c r="AY125" s="2"/>
      <c r="AZ125" s="1"/>
      <c r="BA125" s="2"/>
      <c r="BB125" s="3">
        <v>129</v>
      </c>
      <c r="BC125" s="3">
        <v>133</v>
      </c>
      <c r="BD125" s="2"/>
      <c r="BE125" s="1" t="s">
        <v>1276</v>
      </c>
      <c r="BF125" s="4">
        <f>HYPERLINK("http://dx.doi.org/10.1016/j.matlet.2017.12.068","http://dx.doi.org/10.1016/j.matlet.2017.12.068")</f>
      </c>
      <c r="BG125" s="1"/>
      <c r="BH125" s="1"/>
      <c r="BI125" s="1"/>
      <c r="BJ125" s="1"/>
      <c r="BK125" s="1"/>
      <c r="BL125" s="1"/>
      <c r="BM125" s="1"/>
      <c r="BN125" s="2"/>
      <c r="BO125" s="1"/>
      <c r="BP125" s="1"/>
      <c r="BQ125" s="1"/>
      <c r="BR125" s="1"/>
      <c r="BS125" s="1" t="s">
        <v>1277</v>
      </c>
      <c r="BT125" s="5">
        <f>HYPERLINK("https%3A%2F%2Fwww.webofscience.com%2Fwos%2Fwoscc%2Ffull-record%2FWOS:000424709600035","View Full Record in Web of Science")</f>
      </c>
    </row>
    <row x14ac:dyDescent="0.25" r="126" customHeight="1" ht="12.75">
      <c r="A126" s="1" t="s">
        <v>303</v>
      </c>
      <c r="B126" s="1" t="s">
        <v>1278</v>
      </c>
      <c r="C126" s="1"/>
      <c r="D126" s="1" t="s">
        <v>1279</v>
      </c>
      <c r="E126" s="1"/>
      <c r="F126" s="1" t="s">
        <v>1280</v>
      </c>
      <c r="G126" s="1"/>
      <c r="H126" s="1"/>
      <c r="I126" s="1" t="s">
        <v>1281</v>
      </c>
      <c r="J126" s="1" t="s">
        <v>1282</v>
      </c>
      <c r="K126" s="1" t="s">
        <v>1283</v>
      </c>
      <c r="L126" s="1"/>
      <c r="M126" s="1"/>
      <c r="N126" s="1"/>
      <c r="O126" s="1" t="s">
        <v>1284</v>
      </c>
      <c r="P126" s="2" t="s">
        <v>1285</v>
      </c>
      <c r="Q126" s="1" t="s">
        <v>1286</v>
      </c>
      <c r="R126" s="1"/>
      <c r="S126" s="1"/>
      <c r="T126" s="1"/>
      <c r="U126" s="1"/>
      <c r="V126" s="1" t="s">
        <v>1287</v>
      </c>
      <c r="W126" s="1"/>
      <c r="X126" s="1"/>
      <c r="Y126" s="1"/>
      <c r="Z126" s="1"/>
      <c r="AA126" s="1" t="s">
        <v>1288</v>
      </c>
      <c r="AB126" s="1"/>
      <c r="AC126" s="1"/>
      <c r="AD126" s="1"/>
      <c r="AE126" s="1"/>
      <c r="AF126" s="1"/>
      <c r="AG126" s="1"/>
      <c r="AH126" s="1"/>
      <c r="AI126" s="1"/>
      <c r="AJ126" s="1"/>
      <c r="AK126" s="1"/>
      <c r="AL126" s="1"/>
      <c r="AM126" s="1"/>
      <c r="AN126" s="1"/>
      <c r="AO126" s="1" t="s">
        <v>1289</v>
      </c>
      <c r="AP126" s="1"/>
      <c r="AQ126" s="1" t="s">
        <v>1290</v>
      </c>
      <c r="AR126" s="1"/>
      <c r="AS126" s="1"/>
      <c r="AT126" s="1"/>
      <c r="AU126" s="3">
        <v>2018</v>
      </c>
      <c r="AV126" s="2"/>
      <c r="AW126" s="2"/>
      <c r="AX126" s="2"/>
      <c r="AY126" s="2"/>
      <c r="AZ126" s="1"/>
      <c r="BA126" s="2"/>
      <c r="BB126" s="3">
        <v>7118</v>
      </c>
      <c r="BC126" s="3">
        <v>7124</v>
      </c>
      <c r="BD126" s="2"/>
      <c r="BE126" s="1"/>
      <c r="BF126" s="1"/>
      <c r="BG126" s="1"/>
      <c r="BH126" s="1"/>
      <c r="BI126" s="1"/>
      <c r="BJ126" s="1"/>
      <c r="BK126" s="1"/>
      <c r="BL126" s="1"/>
      <c r="BM126" s="1"/>
      <c r="BN126" s="2"/>
      <c r="BO126" s="1"/>
      <c r="BP126" s="1"/>
      <c r="BQ126" s="1"/>
      <c r="BR126" s="1"/>
      <c r="BS126" s="1" t="s">
        <v>1291</v>
      </c>
      <c r="BT126" s="5">
        <f>HYPERLINK("https%3A%2F%2Fwww.webofscience.com%2Fwos%2Fwoscc%2Ffull-record%2FWOS:000568991702063","View Full Record in Web of Science")</f>
      </c>
    </row>
    <row x14ac:dyDescent="0.25" r="127" customHeight="1" ht="12.75">
      <c r="A127" s="1" t="s">
        <v>72</v>
      </c>
      <c r="B127" s="1" t="s">
        <v>1292</v>
      </c>
      <c r="C127" s="1"/>
      <c r="D127" s="1"/>
      <c r="E127" s="1"/>
      <c r="F127" s="1" t="s">
        <v>1293</v>
      </c>
      <c r="G127" s="1"/>
      <c r="H127" s="1"/>
      <c r="I127" s="1" t="s">
        <v>1294</v>
      </c>
      <c r="J127" s="1" t="s">
        <v>1295</v>
      </c>
      <c r="K127" s="1"/>
      <c r="L127" s="1"/>
      <c r="M127" s="1"/>
      <c r="N127" s="1"/>
      <c r="O127" s="1"/>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t="s">
        <v>1296</v>
      </c>
      <c r="AP127" s="1" t="s">
        <v>1297</v>
      </c>
      <c r="AQ127" s="1"/>
      <c r="AR127" s="1"/>
      <c r="AS127" s="1"/>
      <c r="AT127" s="1" t="s">
        <v>169</v>
      </c>
      <c r="AU127" s="3">
        <v>2017</v>
      </c>
      <c r="AV127" s="3">
        <v>46</v>
      </c>
      <c r="AW127" s="3">
        <v>2</v>
      </c>
      <c r="AX127" s="2"/>
      <c r="AY127" s="2"/>
      <c r="AZ127" s="1"/>
      <c r="BA127" s="2"/>
      <c r="BB127" s="3">
        <v>36</v>
      </c>
      <c r="BC127" s="3">
        <v>47</v>
      </c>
      <c r="BD127" s="2"/>
      <c r="BE127" s="1"/>
      <c r="BF127" s="1"/>
      <c r="BG127" s="1"/>
      <c r="BH127" s="1"/>
      <c r="BI127" s="1"/>
      <c r="BJ127" s="1"/>
      <c r="BK127" s="1"/>
      <c r="BL127" s="1"/>
      <c r="BM127" s="1"/>
      <c r="BN127" s="2"/>
      <c r="BO127" s="1"/>
      <c r="BP127" s="1"/>
      <c r="BQ127" s="1"/>
      <c r="BR127" s="1"/>
      <c r="BS127" s="1" t="s">
        <v>1298</v>
      </c>
      <c r="BT127" s="5">
        <f>HYPERLINK("https%3A%2F%2Fwww.webofscience.com%2Fwos%2Fwoscc%2Ffull-record%2FWOS:000416892100003","View Full Record in Web of Science")</f>
      </c>
    </row>
    <row x14ac:dyDescent="0.25" r="128" customHeight="1" ht="12.75">
      <c r="A128" s="1" t="s">
        <v>72</v>
      </c>
      <c r="B128" s="1" t="s">
        <v>1299</v>
      </c>
      <c r="C128" s="1"/>
      <c r="D128" s="1"/>
      <c r="E128" s="1"/>
      <c r="F128" s="1" t="s">
        <v>1300</v>
      </c>
      <c r="G128" s="1"/>
      <c r="H128" s="1"/>
      <c r="I128" s="1" t="s">
        <v>1301</v>
      </c>
      <c r="J128" s="1" t="s">
        <v>1302</v>
      </c>
      <c r="K128" s="1"/>
      <c r="L128" s="1"/>
      <c r="M128" s="1"/>
      <c r="N128" s="1"/>
      <c r="O128" s="1"/>
      <c r="P128" s="2"/>
      <c r="Q128" s="1"/>
      <c r="R128" s="1"/>
      <c r="S128" s="1"/>
      <c r="T128" s="1"/>
      <c r="U128" s="1"/>
      <c r="V128" s="1" t="s">
        <v>1303</v>
      </c>
      <c r="W128" s="1"/>
      <c r="X128" s="1"/>
      <c r="Y128" s="1"/>
      <c r="Z128" s="1"/>
      <c r="AA128" s="1"/>
      <c r="AB128" s="1"/>
      <c r="AC128" s="1"/>
      <c r="AD128" s="1"/>
      <c r="AE128" s="1"/>
      <c r="AF128" s="1"/>
      <c r="AG128" s="1"/>
      <c r="AH128" s="1"/>
      <c r="AI128" s="1"/>
      <c r="AJ128" s="1"/>
      <c r="AK128" s="1"/>
      <c r="AL128" s="1"/>
      <c r="AM128" s="1"/>
      <c r="AN128" s="1"/>
      <c r="AO128" s="1" t="s">
        <v>1304</v>
      </c>
      <c r="AP128" s="1"/>
      <c r="AQ128" s="1"/>
      <c r="AR128" s="1"/>
      <c r="AS128" s="1"/>
      <c r="AT128" s="1" t="s">
        <v>464</v>
      </c>
      <c r="AU128" s="3">
        <v>2017</v>
      </c>
      <c r="AV128" s="3">
        <v>84</v>
      </c>
      <c r="AW128" s="3">
        <v>334</v>
      </c>
      <c r="AX128" s="2"/>
      <c r="AY128" s="2"/>
      <c r="AZ128" s="1"/>
      <c r="BA128" s="2"/>
      <c r="BB128" s="3">
        <v>411</v>
      </c>
      <c r="BC128" s="3">
        <v>425</v>
      </c>
      <c r="BD128" s="2"/>
      <c r="BE128" s="1" t="s">
        <v>1305</v>
      </c>
      <c r="BF128" s="4">
        <f>HYPERLINK("http://dx.doi.org/10.20430/ete.v84i334.306","http://dx.doi.org/10.20430/ete.v84i334.306")</f>
      </c>
      <c r="BG128" s="1"/>
      <c r="BH128" s="1"/>
      <c r="BI128" s="1"/>
      <c r="BJ128" s="1"/>
      <c r="BK128" s="1"/>
      <c r="BL128" s="1"/>
      <c r="BM128" s="1"/>
      <c r="BN128" s="2"/>
      <c r="BO128" s="1"/>
      <c r="BP128" s="1"/>
      <c r="BQ128" s="1"/>
      <c r="BR128" s="1"/>
      <c r="BS128" s="1" t="s">
        <v>1306</v>
      </c>
      <c r="BT128" s="5">
        <f>HYPERLINK("https%3A%2F%2Fwww.webofscience.com%2Fwos%2Fwoscc%2Ffull-record%2FWOS:000400805200005","View Full Record in Web of Science")</f>
      </c>
    </row>
    <row x14ac:dyDescent="0.25" r="129" customHeight="1" ht="12.75">
      <c r="A129" s="1" t="s">
        <v>72</v>
      </c>
      <c r="B129" s="1" t="s">
        <v>1307</v>
      </c>
      <c r="C129" s="1"/>
      <c r="D129" s="1"/>
      <c r="E129" s="1"/>
      <c r="F129" s="1" t="s">
        <v>1308</v>
      </c>
      <c r="G129" s="1"/>
      <c r="H129" s="1"/>
      <c r="I129" s="1" t="s">
        <v>1309</v>
      </c>
      <c r="J129" s="1" t="s">
        <v>1310</v>
      </c>
      <c r="K129" s="1"/>
      <c r="L129" s="1"/>
      <c r="M129" s="1"/>
      <c r="N129" s="1"/>
      <c r="O129" s="1"/>
      <c r="P129" s="2"/>
      <c r="Q129" s="1"/>
      <c r="R129" s="1"/>
      <c r="S129" s="1"/>
      <c r="T129" s="1"/>
      <c r="U129" s="1"/>
      <c r="V129" s="1" t="s">
        <v>1311</v>
      </c>
      <c r="W129" s="1"/>
      <c r="X129" s="1"/>
      <c r="Y129" s="1"/>
      <c r="Z129" s="1"/>
      <c r="AA129" s="1"/>
      <c r="AB129" s="1"/>
      <c r="AC129" s="1"/>
      <c r="AD129" s="1"/>
      <c r="AE129" s="1"/>
      <c r="AF129" s="1"/>
      <c r="AG129" s="1"/>
      <c r="AH129" s="1"/>
      <c r="AI129" s="1"/>
      <c r="AJ129" s="1"/>
      <c r="AK129" s="1"/>
      <c r="AL129" s="1"/>
      <c r="AM129" s="1"/>
      <c r="AN129" s="1"/>
      <c r="AO129" s="1" t="s">
        <v>1312</v>
      </c>
      <c r="AP129" s="1" t="s">
        <v>1313</v>
      </c>
      <c r="AQ129" s="1"/>
      <c r="AR129" s="1"/>
      <c r="AS129" s="1"/>
      <c r="AT129" s="1" t="s">
        <v>538</v>
      </c>
      <c r="AU129" s="3">
        <v>2017</v>
      </c>
      <c r="AV129" s="3">
        <v>21</v>
      </c>
      <c r="AW129" s="3">
        <v>1</v>
      </c>
      <c r="AX129" s="2"/>
      <c r="AY129" s="2"/>
      <c r="AZ129" s="1"/>
      <c r="BA129" s="2"/>
      <c r="BB129" s="3">
        <v>13</v>
      </c>
      <c r="BC129" s="3">
        <v>25</v>
      </c>
      <c r="BD129" s="2"/>
      <c r="BE129" s="1" t="s">
        <v>1314</v>
      </c>
      <c r="BF129" s="4">
        <f>HYPERLINK("http://dx.doi.org/10.4013/htu.2017.211.02","http://dx.doi.org/10.4013/htu.2017.211.02")</f>
      </c>
      <c r="BG129" s="1"/>
      <c r="BH129" s="1"/>
      <c r="BI129" s="1"/>
      <c r="BJ129" s="1"/>
      <c r="BK129" s="1"/>
      <c r="BL129" s="1"/>
      <c r="BM129" s="1"/>
      <c r="BN129" s="2"/>
      <c r="BO129" s="1"/>
      <c r="BP129" s="1"/>
      <c r="BQ129" s="1"/>
      <c r="BR129" s="1"/>
      <c r="BS129" s="1" t="s">
        <v>1315</v>
      </c>
      <c r="BT129" s="5">
        <f>HYPERLINK("https%3A%2F%2Fwww.webofscience.com%2Fwos%2Fwoscc%2Ffull-record%2FWOS:000406919200002","View Full Record in Web of Science")</f>
      </c>
    </row>
    <row x14ac:dyDescent="0.25" r="130" customHeight="1" ht="12.75">
      <c r="A130" s="1" t="s">
        <v>72</v>
      </c>
      <c r="B130" s="1" t="s">
        <v>1316</v>
      </c>
      <c r="C130" s="1"/>
      <c r="D130" s="1"/>
      <c r="E130" s="1"/>
      <c r="F130" s="1" t="s">
        <v>1317</v>
      </c>
      <c r="G130" s="1"/>
      <c r="H130" s="1"/>
      <c r="I130" s="1" t="s">
        <v>1318</v>
      </c>
      <c r="J130" s="1" t="s">
        <v>1319</v>
      </c>
      <c r="K130" s="1"/>
      <c r="L130" s="1"/>
      <c r="M130" s="1"/>
      <c r="N130" s="1"/>
      <c r="O130" s="1"/>
      <c r="P130" s="2"/>
      <c r="Q130" s="1"/>
      <c r="R130" s="1"/>
      <c r="S130" s="1"/>
      <c r="T130" s="1"/>
      <c r="U130" s="1"/>
      <c r="V130" s="1" t="s">
        <v>1320</v>
      </c>
      <c r="W130" s="1"/>
      <c r="X130" s="1"/>
      <c r="Y130" s="1"/>
      <c r="Z130" s="1"/>
      <c r="AA130" s="1"/>
      <c r="AB130" s="1"/>
      <c r="AC130" s="1"/>
      <c r="AD130" s="1"/>
      <c r="AE130" s="1"/>
      <c r="AF130" s="1"/>
      <c r="AG130" s="1"/>
      <c r="AH130" s="1"/>
      <c r="AI130" s="1"/>
      <c r="AJ130" s="1"/>
      <c r="AK130" s="1"/>
      <c r="AL130" s="1"/>
      <c r="AM130" s="1"/>
      <c r="AN130" s="1"/>
      <c r="AO130" s="1" t="s">
        <v>1321</v>
      </c>
      <c r="AP130" s="1" t="s">
        <v>1322</v>
      </c>
      <c r="AQ130" s="1"/>
      <c r="AR130" s="1"/>
      <c r="AS130" s="1"/>
      <c r="AT130" s="1" t="s">
        <v>103</v>
      </c>
      <c r="AU130" s="3">
        <v>2017</v>
      </c>
      <c r="AV130" s="3">
        <v>43</v>
      </c>
      <c r="AW130" s="3">
        <v>1</v>
      </c>
      <c r="AX130" s="2"/>
      <c r="AY130" s="2"/>
      <c r="AZ130" s="1"/>
      <c r="BA130" s="2"/>
      <c r="BB130" s="3">
        <v>309</v>
      </c>
      <c r="BC130" s="3">
        <v>322</v>
      </c>
      <c r="BD130" s="2"/>
      <c r="BE130" s="1" t="s">
        <v>1323</v>
      </c>
      <c r="BF130" s="4">
        <f>HYPERLINK("http://dx.doi.org/10.1016/j.ultrasmedbio.2016.09.005","http://dx.doi.org/10.1016/j.ultrasmedbio.2016.09.005")</f>
      </c>
      <c r="BG130" s="1"/>
      <c r="BH130" s="1"/>
      <c r="BI130" s="1"/>
      <c r="BJ130" s="1"/>
      <c r="BK130" s="1"/>
      <c r="BL130" s="1"/>
      <c r="BM130" s="1"/>
      <c r="BN130" s="3">
        <v>27765386</v>
      </c>
      <c r="BO130" s="1"/>
      <c r="BP130" s="1"/>
      <c r="BQ130" s="1"/>
      <c r="BR130" s="1"/>
      <c r="BS130" s="1" t="s">
        <v>1324</v>
      </c>
      <c r="BT130" s="5">
        <f>HYPERLINK("https%3A%2F%2Fwww.webofscience.com%2Fwos%2Fwoscc%2Ffull-record%2FWOS:000389549600028","View Full Record in Web of Science")</f>
      </c>
    </row>
    <row x14ac:dyDescent="0.25" r="131" customHeight="1" ht="12.75">
      <c r="A131" s="1" t="s">
        <v>72</v>
      </c>
      <c r="B131" s="1" t="s">
        <v>1325</v>
      </c>
      <c r="C131" s="1"/>
      <c r="D131" s="1"/>
      <c r="E131" s="1"/>
      <c r="F131" s="1" t="s">
        <v>1326</v>
      </c>
      <c r="G131" s="1"/>
      <c r="H131" s="1"/>
      <c r="I131" s="1" t="s">
        <v>1327</v>
      </c>
      <c r="J131" s="1" t="s">
        <v>1328</v>
      </c>
      <c r="K131" s="1"/>
      <c r="L131" s="1"/>
      <c r="M131" s="1"/>
      <c r="N131" s="1"/>
      <c r="O131" s="1"/>
      <c r="P131" s="2"/>
      <c r="Q131" s="1"/>
      <c r="R131" s="1"/>
      <c r="S131" s="1"/>
      <c r="T131" s="1"/>
      <c r="U131" s="1"/>
      <c r="V131" s="1" t="s">
        <v>1329</v>
      </c>
      <c r="W131" s="1"/>
      <c r="X131" s="1"/>
      <c r="Y131" s="1"/>
      <c r="Z131" s="1"/>
      <c r="AA131" s="1" t="s">
        <v>1330</v>
      </c>
      <c r="AB131" s="1" t="s">
        <v>1331</v>
      </c>
      <c r="AC131" s="1"/>
      <c r="AD131" s="1"/>
      <c r="AE131" s="1"/>
      <c r="AF131" s="1"/>
      <c r="AG131" s="1"/>
      <c r="AH131" s="1"/>
      <c r="AI131" s="1"/>
      <c r="AJ131" s="1"/>
      <c r="AK131" s="1"/>
      <c r="AL131" s="1"/>
      <c r="AM131" s="1"/>
      <c r="AN131" s="1"/>
      <c r="AO131" s="1" t="s">
        <v>1332</v>
      </c>
      <c r="AP131" s="1" t="s">
        <v>1333</v>
      </c>
      <c r="AQ131" s="1"/>
      <c r="AR131" s="1"/>
      <c r="AS131" s="1"/>
      <c r="AT131" s="1" t="s">
        <v>1334</v>
      </c>
      <c r="AU131" s="3">
        <v>2016</v>
      </c>
      <c r="AV131" s="3">
        <v>541</v>
      </c>
      <c r="AW131" s="2"/>
      <c r="AX131" s="2"/>
      <c r="AY131" s="2"/>
      <c r="AZ131" s="1"/>
      <c r="BA131" s="2"/>
      <c r="BB131" s="3">
        <v>683</v>
      </c>
      <c r="BC131" s="3">
        <v>691</v>
      </c>
      <c r="BD131" s="2"/>
      <c r="BE131" s="1" t="s">
        <v>1335</v>
      </c>
      <c r="BF131" s="4">
        <f>HYPERLINK("http://dx.doi.org/10.1016/j.scitotenv.2015.09.105","http://dx.doi.org/10.1016/j.scitotenv.2015.09.105")</f>
      </c>
      <c r="BG131" s="1"/>
      <c r="BH131" s="1"/>
      <c r="BI131" s="1"/>
      <c r="BJ131" s="1"/>
      <c r="BK131" s="1"/>
      <c r="BL131" s="1"/>
      <c r="BM131" s="1"/>
      <c r="BN131" s="3">
        <v>26437345</v>
      </c>
      <c r="BO131" s="1"/>
      <c r="BP131" s="1"/>
      <c r="BQ131" s="1"/>
      <c r="BR131" s="1"/>
      <c r="BS131" s="1" t="s">
        <v>1336</v>
      </c>
      <c r="BT131" s="5">
        <f>HYPERLINK("https%3A%2F%2Fwww.webofscience.com%2Fwos%2Fwoscc%2Ffull-record%2FWOS:000365289300073","View Full Record in Web of Science")</f>
      </c>
    </row>
    <row x14ac:dyDescent="0.25" r="132" customHeight="1" ht="12.75">
      <c r="A132" s="1" t="s">
        <v>72</v>
      </c>
      <c r="B132" s="1" t="s">
        <v>1337</v>
      </c>
      <c r="C132" s="1"/>
      <c r="D132" s="1"/>
      <c r="E132" s="1"/>
      <c r="F132" s="1" t="s">
        <v>1338</v>
      </c>
      <c r="G132" s="1"/>
      <c r="H132" s="1"/>
      <c r="I132" s="1" t="s">
        <v>1339</v>
      </c>
      <c r="J132" s="1" t="s">
        <v>1340</v>
      </c>
      <c r="K132" s="1"/>
      <c r="L132" s="1"/>
      <c r="M132" s="1"/>
      <c r="N132" s="1"/>
      <c r="O132" s="1"/>
      <c r="P132" s="2"/>
      <c r="Q132" s="1"/>
      <c r="R132" s="1"/>
      <c r="S132" s="1"/>
      <c r="T132" s="1"/>
      <c r="U132" s="1"/>
      <c r="V132" s="1" t="s">
        <v>1341</v>
      </c>
      <c r="W132" s="1"/>
      <c r="X132" s="1"/>
      <c r="Y132" s="1"/>
      <c r="Z132" s="1"/>
      <c r="AA132" s="1" t="s">
        <v>772</v>
      </c>
      <c r="AB132" s="1" t="s">
        <v>773</v>
      </c>
      <c r="AC132" s="1"/>
      <c r="AD132" s="1"/>
      <c r="AE132" s="1"/>
      <c r="AF132" s="1"/>
      <c r="AG132" s="1"/>
      <c r="AH132" s="1"/>
      <c r="AI132" s="1"/>
      <c r="AJ132" s="1"/>
      <c r="AK132" s="1"/>
      <c r="AL132" s="1"/>
      <c r="AM132" s="1"/>
      <c r="AN132" s="1"/>
      <c r="AO132" s="1" t="s">
        <v>1342</v>
      </c>
      <c r="AP132" s="1" t="s">
        <v>1343</v>
      </c>
      <c r="AQ132" s="1"/>
      <c r="AR132" s="1"/>
      <c r="AS132" s="1"/>
      <c r="AT132" s="1" t="s">
        <v>103</v>
      </c>
      <c r="AU132" s="3">
        <v>2016</v>
      </c>
      <c r="AV132" s="3">
        <v>53</v>
      </c>
      <c r="AW132" s="3">
        <v>1</v>
      </c>
      <c r="AX132" s="2"/>
      <c r="AY132" s="2"/>
      <c r="AZ132" s="1"/>
      <c r="BA132" s="2"/>
      <c r="BB132" s="3">
        <v>832</v>
      </c>
      <c r="BC132" s="3">
        <v>839</v>
      </c>
      <c r="BD132" s="2"/>
      <c r="BE132" s="1" t="s">
        <v>1344</v>
      </c>
      <c r="BF132" s="4">
        <f>HYPERLINK("http://dx.doi.org/10.1007/s13197-015-2027-5","http://dx.doi.org/10.1007/s13197-015-2027-5")</f>
      </c>
      <c r="BG132" s="1"/>
      <c r="BH132" s="1"/>
      <c r="BI132" s="1"/>
      <c r="BJ132" s="1"/>
      <c r="BK132" s="1"/>
      <c r="BL132" s="1"/>
      <c r="BM132" s="1"/>
      <c r="BN132" s="3">
        <v>26788005</v>
      </c>
      <c r="BO132" s="1"/>
      <c r="BP132" s="1"/>
      <c r="BQ132" s="1"/>
      <c r="BR132" s="1"/>
      <c r="BS132" s="1" t="s">
        <v>1345</v>
      </c>
      <c r="BT132" s="5">
        <f>HYPERLINK("https%3A%2F%2Fwww.webofscience.com%2Fwos%2Fwoscc%2Ffull-record%2FWOS:000368039600079","View Full Record in Web of Science")</f>
      </c>
    </row>
    <row x14ac:dyDescent="0.25" r="133" customHeight="1" ht="12.75">
      <c r="A133" s="1" t="s">
        <v>303</v>
      </c>
      <c r="B133" s="1" t="s">
        <v>531</v>
      </c>
      <c r="C133" s="1"/>
      <c r="D133" s="1" t="s">
        <v>1346</v>
      </c>
      <c r="E133" s="1"/>
      <c r="F133" s="1" t="s">
        <v>532</v>
      </c>
      <c r="G133" s="1"/>
      <c r="H133" s="1"/>
      <c r="I133" s="1" t="s">
        <v>1347</v>
      </c>
      <c r="J133" s="1" t="s">
        <v>1348</v>
      </c>
      <c r="K133" s="1"/>
      <c r="L133" s="1"/>
      <c r="M133" s="1"/>
      <c r="N133" s="1"/>
      <c r="O133" s="1" t="s">
        <v>1349</v>
      </c>
      <c r="P133" s="2" t="s">
        <v>1350</v>
      </c>
      <c r="Q133" s="1" t="s">
        <v>507</v>
      </c>
      <c r="R133" s="1" t="s">
        <v>1351</v>
      </c>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t="s">
        <v>1352</v>
      </c>
      <c r="AR133" s="1"/>
      <c r="AS133" s="1"/>
      <c r="AT133" s="1"/>
      <c r="AU133" s="3">
        <v>2016</v>
      </c>
      <c r="AV133" s="2"/>
      <c r="AW133" s="2"/>
      <c r="AX133" s="2"/>
      <c r="AY133" s="2"/>
      <c r="AZ133" s="1"/>
      <c r="BA133" s="2"/>
      <c r="BB133" s="3">
        <v>15</v>
      </c>
      <c r="BC133" s="3">
        <v>29</v>
      </c>
      <c r="BD133" s="2"/>
      <c r="BE133" s="1"/>
      <c r="BF133" s="1"/>
      <c r="BG133" s="1"/>
      <c r="BH133" s="1"/>
      <c r="BI133" s="1"/>
      <c r="BJ133" s="1"/>
      <c r="BK133" s="1"/>
      <c r="BL133" s="1"/>
      <c r="BM133" s="1"/>
      <c r="BN133" s="2"/>
      <c r="BO133" s="1"/>
      <c r="BP133" s="1"/>
      <c r="BQ133" s="1"/>
      <c r="BR133" s="1"/>
      <c r="BS133" s="1" t="s">
        <v>1353</v>
      </c>
      <c r="BT133" s="5">
        <f>HYPERLINK("https%3A%2F%2Fwww.webofscience.com%2Fwos%2Fwoscc%2Ffull-record%2FWOS:000382300000001","View Full Record in Web of Science")</f>
      </c>
    </row>
    <row x14ac:dyDescent="0.25" r="134" customHeight="1" ht="12.75">
      <c r="A134" s="1" t="s">
        <v>72</v>
      </c>
      <c r="B134" s="1" t="s">
        <v>1354</v>
      </c>
      <c r="C134" s="1"/>
      <c r="D134" s="1"/>
      <c r="E134" s="1"/>
      <c r="F134" s="1" t="s">
        <v>1355</v>
      </c>
      <c r="G134" s="1"/>
      <c r="H134" s="1"/>
      <c r="I134" s="1" t="s">
        <v>1356</v>
      </c>
      <c r="J134" s="1" t="s">
        <v>1357</v>
      </c>
      <c r="K134" s="1"/>
      <c r="L134" s="1"/>
      <c r="M134" s="1"/>
      <c r="N134" s="1"/>
      <c r="O134" s="1"/>
      <c r="P134" s="2"/>
      <c r="Q134" s="1"/>
      <c r="R134" s="1"/>
      <c r="S134" s="1"/>
      <c r="T134" s="1"/>
      <c r="U134" s="1"/>
      <c r="V134" s="1" t="s">
        <v>1358</v>
      </c>
      <c r="W134" s="1"/>
      <c r="X134" s="1"/>
      <c r="Y134" s="1"/>
      <c r="Z134" s="1"/>
      <c r="AA134" s="1" t="s">
        <v>408</v>
      </c>
      <c r="AB134" s="1" t="s">
        <v>1359</v>
      </c>
      <c r="AC134" s="1"/>
      <c r="AD134" s="1"/>
      <c r="AE134" s="1"/>
      <c r="AF134" s="1"/>
      <c r="AG134" s="1"/>
      <c r="AH134" s="1"/>
      <c r="AI134" s="1"/>
      <c r="AJ134" s="1"/>
      <c r="AK134" s="1"/>
      <c r="AL134" s="1"/>
      <c r="AM134" s="1"/>
      <c r="AN134" s="1"/>
      <c r="AO134" s="1" t="s">
        <v>1360</v>
      </c>
      <c r="AP134" s="1"/>
      <c r="AQ134" s="1"/>
      <c r="AR134" s="1"/>
      <c r="AS134" s="1"/>
      <c r="AT134" s="1" t="s">
        <v>169</v>
      </c>
      <c r="AU134" s="3">
        <v>2015</v>
      </c>
      <c r="AV134" s="3">
        <v>10</v>
      </c>
      <c r="AW134" s="3">
        <v>11</v>
      </c>
      <c r="AX134" s="2"/>
      <c r="AY134" s="2"/>
      <c r="AZ134" s="1"/>
      <c r="BA134" s="2"/>
      <c r="BB134" s="3">
        <v>9269</v>
      </c>
      <c r="BC134" s="3">
        <v>9285</v>
      </c>
      <c r="BD134" s="2"/>
      <c r="BE134" s="1"/>
      <c r="BF134" s="1"/>
      <c r="BG134" s="1"/>
      <c r="BH134" s="1"/>
      <c r="BI134" s="1"/>
      <c r="BJ134" s="1"/>
      <c r="BK134" s="1"/>
      <c r="BL134" s="1"/>
      <c r="BM134" s="1"/>
      <c r="BN134" s="2"/>
      <c r="BO134" s="1"/>
      <c r="BP134" s="1"/>
      <c r="BQ134" s="1"/>
      <c r="BR134" s="1"/>
      <c r="BS134" s="1" t="s">
        <v>1361</v>
      </c>
      <c r="BT134" s="5">
        <f>HYPERLINK("https%3A%2F%2Fwww.webofscience.com%2Fwos%2Fwoscc%2Ffull-record%2FWOS:000366177700038","View Full Record in Web of Science")</f>
      </c>
    </row>
    <row x14ac:dyDescent="0.25" r="135" customHeight="1" ht="12.75">
      <c r="A135" s="1" t="s">
        <v>72</v>
      </c>
      <c r="B135" s="1" t="s">
        <v>1362</v>
      </c>
      <c r="C135" s="1"/>
      <c r="D135" s="1"/>
      <c r="E135" s="1"/>
      <c r="F135" s="1" t="s">
        <v>1363</v>
      </c>
      <c r="G135" s="1"/>
      <c r="H135" s="1"/>
      <c r="I135" s="1" t="s">
        <v>1364</v>
      </c>
      <c r="J135" s="1" t="s">
        <v>654</v>
      </c>
      <c r="K135" s="1"/>
      <c r="L135" s="1"/>
      <c r="M135" s="1"/>
      <c r="N135" s="1"/>
      <c r="O135" s="1"/>
      <c r="P135" s="2"/>
      <c r="Q135" s="1"/>
      <c r="R135" s="1"/>
      <c r="S135" s="1"/>
      <c r="T135" s="1"/>
      <c r="U135" s="1"/>
      <c r="V135" s="1" t="s">
        <v>1365</v>
      </c>
      <c r="W135" s="1"/>
      <c r="X135" s="1"/>
      <c r="Y135" s="1"/>
      <c r="Z135" s="1"/>
      <c r="AA135" s="1" t="s">
        <v>1366</v>
      </c>
      <c r="AB135" s="1" t="s">
        <v>1367</v>
      </c>
      <c r="AC135" s="1"/>
      <c r="AD135" s="1"/>
      <c r="AE135" s="1"/>
      <c r="AF135" s="1"/>
      <c r="AG135" s="1"/>
      <c r="AH135" s="1"/>
      <c r="AI135" s="1"/>
      <c r="AJ135" s="1"/>
      <c r="AK135" s="1"/>
      <c r="AL135" s="1"/>
      <c r="AM135" s="1"/>
      <c r="AN135" s="1"/>
      <c r="AO135" s="1" t="s">
        <v>656</v>
      </c>
      <c r="AP135" s="1" t="s">
        <v>1368</v>
      </c>
      <c r="AQ135" s="1"/>
      <c r="AR135" s="1"/>
      <c r="AS135" s="1"/>
      <c r="AT135" s="1" t="s">
        <v>431</v>
      </c>
      <c r="AU135" s="3">
        <v>2014</v>
      </c>
      <c r="AV135" s="3">
        <v>20</v>
      </c>
      <c r="AW135" s="3">
        <v>7</v>
      </c>
      <c r="AX135" s="2"/>
      <c r="AY135" s="2"/>
      <c r="AZ135" s="1"/>
      <c r="BA135" s="2"/>
      <c r="BB135" s="3">
        <v>501</v>
      </c>
      <c r="BC135" s="3">
        <v>510</v>
      </c>
      <c r="BD135" s="2"/>
      <c r="BE135" s="1" t="s">
        <v>1369</v>
      </c>
      <c r="BF135" s="4">
        <f>HYPERLINK("http://dx.doi.org/10.1177/1082013213494900","http://dx.doi.org/10.1177/1082013213494900")</f>
      </c>
      <c r="BG135" s="1"/>
      <c r="BH135" s="1"/>
      <c r="BI135" s="1"/>
      <c r="BJ135" s="1"/>
      <c r="BK135" s="1"/>
      <c r="BL135" s="1"/>
      <c r="BM135" s="1"/>
      <c r="BN135" s="3">
        <v>23897976</v>
      </c>
      <c r="BO135" s="1"/>
      <c r="BP135" s="1"/>
      <c r="BQ135" s="1"/>
      <c r="BR135" s="1"/>
      <c r="BS135" s="1" t="s">
        <v>1370</v>
      </c>
      <c r="BT135" s="5">
        <f>HYPERLINK("https%3A%2F%2Fwww.webofscience.com%2Fwos%2Fwoscc%2Ffull-record%2FWOS:000342002700003","View Full Record in Web of Science")</f>
      </c>
    </row>
    <row x14ac:dyDescent="0.25" r="136" customHeight="1" ht="12.75">
      <c r="A136" s="1" t="s">
        <v>72</v>
      </c>
      <c r="B136" s="1" t="s">
        <v>1371</v>
      </c>
      <c r="C136" s="1"/>
      <c r="D136" s="1"/>
      <c r="E136" s="1"/>
      <c r="F136" s="1" t="s">
        <v>1372</v>
      </c>
      <c r="G136" s="1"/>
      <c r="H136" s="1"/>
      <c r="I136" s="1" t="s">
        <v>1373</v>
      </c>
      <c r="J136" s="1" t="s">
        <v>1374</v>
      </c>
      <c r="K136" s="1"/>
      <c r="L136" s="1"/>
      <c r="M136" s="1"/>
      <c r="N136" s="1"/>
      <c r="O136" s="1"/>
      <c r="P136" s="2"/>
      <c r="Q136" s="1"/>
      <c r="R136" s="1"/>
      <c r="S136" s="1"/>
      <c r="T136" s="1"/>
      <c r="U136" s="1"/>
      <c r="V136" s="1" t="s">
        <v>1375</v>
      </c>
      <c r="W136" s="1"/>
      <c r="X136" s="1"/>
      <c r="Y136" s="1"/>
      <c r="Z136" s="1"/>
      <c r="AA136" s="1"/>
      <c r="AB136" s="1" t="s">
        <v>1376</v>
      </c>
      <c r="AC136" s="1"/>
      <c r="AD136" s="1"/>
      <c r="AE136" s="1"/>
      <c r="AF136" s="1"/>
      <c r="AG136" s="1"/>
      <c r="AH136" s="1"/>
      <c r="AI136" s="1"/>
      <c r="AJ136" s="1"/>
      <c r="AK136" s="1"/>
      <c r="AL136" s="1"/>
      <c r="AM136" s="1"/>
      <c r="AN136" s="1"/>
      <c r="AO136" s="1" t="s">
        <v>1377</v>
      </c>
      <c r="AP136" s="1"/>
      <c r="AQ136" s="1"/>
      <c r="AR136" s="1"/>
      <c r="AS136" s="1"/>
      <c r="AT136" s="1" t="s">
        <v>292</v>
      </c>
      <c r="AU136" s="3">
        <v>2013</v>
      </c>
      <c r="AV136" s="3">
        <v>22</v>
      </c>
      <c r="AW136" s="3">
        <v>3</v>
      </c>
      <c r="AX136" s="2"/>
      <c r="AY136" s="2"/>
      <c r="AZ136" s="1"/>
      <c r="BA136" s="2"/>
      <c r="BB136" s="3">
        <v>323</v>
      </c>
      <c r="BC136" s="3">
        <v>329</v>
      </c>
      <c r="BD136" s="2"/>
      <c r="BE136" s="1"/>
      <c r="BF136" s="1"/>
      <c r="BG136" s="1"/>
      <c r="BH136" s="1"/>
      <c r="BI136" s="1"/>
      <c r="BJ136" s="1"/>
      <c r="BK136" s="1"/>
      <c r="BL136" s="1"/>
      <c r="BM136" s="1"/>
      <c r="BN136" s="2"/>
      <c r="BO136" s="1"/>
      <c r="BP136" s="1"/>
      <c r="BQ136" s="1"/>
      <c r="BR136" s="1"/>
      <c r="BS136" s="1" t="s">
        <v>1378</v>
      </c>
      <c r="BT136" s="5">
        <f>HYPERLINK("https%3A%2F%2Fwww.webofscience.com%2Fwos%2Fwoscc%2Ffull-record%2FWOS:000325234800009","View Full Record in Web of Science")</f>
      </c>
    </row>
    <row x14ac:dyDescent="0.25" r="137" customHeight="1" ht="12.75">
      <c r="A137" s="1" t="s">
        <v>72</v>
      </c>
      <c r="B137" s="1" t="s">
        <v>1379</v>
      </c>
      <c r="C137" s="1"/>
      <c r="D137" s="1"/>
      <c r="E137" s="1"/>
      <c r="F137" s="1" t="s">
        <v>1380</v>
      </c>
      <c r="G137" s="1"/>
      <c r="H137" s="1"/>
      <c r="I137" s="1" t="s">
        <v>1381</v>
      </c>
      <c r="J137" s="1" t="s">
        <v>1382</v>
      </c>
      <c r="K137" s="1"/>
      <c r="L137" s="1"/>
      <c r="M137" s="1"/>
      <c r="N137" s="1"/>
      <c r="O137" s="1"/>
      <c r="P137" s="2"/>
      <c r="Q137" s="1"/>
      <c r="R137" s="1"/>
      <c r="S137" s="1"/>
      <c r="T137" s="1"/>
      <c r="U137" s="1"/>
      <c r="V137" s="1" t="s">
        <v>1383</v>
      </c>
      <c r="W137" s="1"/>
      <c r="X137" s="1"/>
      <c r="Y137" s="1"/>
      <c r="Z137" s="1"/>
      <c r="AA137" s="1" t="s">
        <v>1384</v>
      </c>
      <c r="AB137" s="1" t="s">
        <v>1385</v>
      </c>
      <c r="AC137" s="1"/>
      <c r="AD137" s="1"/>
      <c r="AE137" s="1"/>
      <c r="AF137" s="1"/>
      <c r="AG137" s="1"/>
      <c r="AH137" s="1"/>
      <c r="AI137" s="1"/>
      <c r="AJ137" s="1"/>
      <c r="AK137" s="1"/>
      <c r="AL137" s="1"/>
      <c r="AM137" s="1"/>
      <c r="AN137" s="1"/>
      <c r="AO137" s="1" t="s">
        <v>1386</v>
      </c>
      <c r="AP137" s="1"/>
      <c r="AQ137" s="1"/>
      <c r="AR137" s="1"/>
      <c r="AS137" s="1"/>
      <c r="AT137" s="1" t="s">
        <v>1387</v>
      </c>
      <c r="AU137" s="3">
        <v>2013</v>
      </c>
      <c r="AV137" s="3">
        <v>10</v>
      </c>
      <c r="AW137" s="2"/>
      <c r="AX137" s="2"/>
      <c r="AY137" s="2"/>
      <c r="AZ137" s="1"/>
      <c r="BA137" s="2"/>
      <c r="BB137" s="2"/>
      <c r="BC137" s="2"/>
      <c r="BD137" s="3">
        <v>180</v>
      </c>
      <c r="BE137" s="1" t="s">
        <v>1388</v>
      </c>
      <c r="BF137" s="4">
        <f>HYPERLINK("http://dx.doi.org/10.1186/1743-422X-10-180","http://dx.doi.org/10.1186/1743-422X-10-180")</f>
      </c>
      <c r="BG137" s="1"/>
      <c r="BH137" s="1"/>
      <c r="BI137" s="1"/>
      <c r="BJ137" s="1"/>
      <c r="BK137" s="1"/>
      <c r="BL137" s="1"/>
      <c r="BM137" s="1"/>
      <c r="BN137" s="3">
        <v>23742749</v>
      </c>
      <c r="BO137" s="1"/>
      <c r="BP137" s="1"/>
      <c r="BQ137" s="1"/>
      <c r="BR137" s="1"/>
      <c r="BS137" s="1" t="s">
        <v>1389</v>
      </c>
      <c r="BT137" s="5">
        <f>HYPERLINK("https%3A%2F%2Fwww.webofscience.com%2Fwos%2Fwoscc%2Ffull-record%2FWOS:000320455200001","View Full Record in Web of Science")</f>
      </c>
    </row>
    <row x14ac:dyDescent="0.25" r="138" customHeight="1" ht="12.75">
      <c r="A138" s="1" t="s">
        <v>72</v>
      </c>
      <c r="B138" s="1" t="s">
        <v>1390</v>
      </c>
      <c r="C138" s="1"/>
      <c r="D138" s="1"/>
      <c r="E138" s="1"/>
      <c r="F138" s="1" t="s">
        <v>1391</v>
      </c>
      <c r="G138" s="1"/>
      <c r="H138" s="1"/>
      <c r="I138" s="1" t="s">
        <v>1392</v>
      </c>
      <c r="J138" s="1" t="s">
        <v>1393</v>
      </c>
      <c r="K138" s="1"/>
      <c r="L138" s="1"/>
      <c r="M138" s="1"/>
      <c r="N138" s="1"/>
      <c r="O138" s="1"/>
      <c r="P138" s="2"/>
      <c r="Q138" s="1"/>
      <c r="R138" s="1"/>
      <c r="S138" s="1"/>
      <c r="T138" s="1"/>
      <c r="U138" s="1"/>
      <c r="V138" s="1" t="s">
        <v>1394</v>
      </c>
      <c r="W138" s="1"/>
      <c r="X138" s="1"/>
      <c r="Y138" s="1"/>
      <c r="Z138" s="1"/>
      <c r="AA138" s="1" t="s">
        <v>389</v>
      </c>
      <c r="AB138" s="1" t="s">
        <v>1196</v>
      </c>
      <c r="AC138" s="1"/>
      <c r="AD138" s="1"/>
      <c r="AE138" s="1"/>
      <c r="AF138" s="1"/>
      <c r="AG138" s="1"/>
      <c r="AH138" s="1"/>
      <c r="AI138" s="1"/>
      <c r="AJ138" s="1"/>
      <c r="AK138" s="1"/>
      <c r="AL138" s="1"/>
      <c r="AM138" s="1"/>
      <c r="AN138" s="1"/>
      <c r="AO138" s="1" t="s">
        <v>1395</v>
      </c>
      <c r="AP138" s="1"/>
      <c r="AQ138" s="1"/>
      <c r="AR138" s="1"/>
      <c r="AS138" s="1"/>
      <c r="AT138" s="1" t="s">
        <v>137</v>
      </c>
      <c r="AU138" s="3">
        <v>2013</v>
      </c>
      <c r="AV138" s="3">
        <v>8</v>
      </c>
      <c r="AW138" s="3">
        <v>1</v>
      </c>
      <c r="AX138" s="2"/>
      <c r="AY138" s="2"/>
      <c r="AZ138" s="1"/>
      <c r="BA138" s="2"/>
      <c r="BB138" s="3">
        <v>37</v>
      </c>
      <c r="BC138" s="3">
        <v>41</v>
      </c>
      <c r="BD138" s="2"/>
      <c r="BE138" s="1"/>
      <c r="BF138" s="1"/>
      <c r="BG138" s="1"/>
      <c r="BH138" s="1"/>
      <c r="BI138" s="1"/>
      <c r="BJ138" s="1"/>
      <c r="BK138" s="1"/>
      <c r="BL138" s="1"/>
      <c r="BM138" s="1"/>
      <c r="BN138" s="2"/>
      <c r="BO138" s="1"/>
      <c r="BP138" s="1"/>
      <c r="BQ138" s="1"/>
      <c r="BR138" s="1"/>
      <c r="BS138" s="1" t="s">
        <v>1396</v>
      </c>
      <c r="BT138" s="5">
        <f>HYPERLINK("https%3A%2F%2Fwww.webofscience.com%2Fwos%2Fwoscc%2Ffull-record%2FWOS:000312043600004","View Full Record in Web of Science")</f>
      </c>
    </row>
    <row x14ac:dyDescent="0.25" r="139" customHeight="1" ht="12.75">
      <c r="A139" s="1" t="s">
        <v>72</v>
      </c>
      <c r="B139" s="1" t="s">
        <v>1397</v>
      </c>
      <c r="C139" s="1"/>
      <c r="D139" s="1"/>
      <c r="E139" s="1"/>
      <c r="F139" s="1" t="s">
        <v>1398</v>
      </c>
      <c r="G139" s="1"/>
      <c r="H139" s="1"/>
      <c r="I139" s="1" t="s">
        <v>1399</v>
      </c>
      <c r="J139" s="1" t="s">
        <v>1400</v>
      </c>
      <c r="K139" s="1"/>
      <c r="L139" s="1"/>
      <c r="M139" s="1"/>
      <c r="N139" s="1"/>
      <c r="O139" s="1"/>
      <c r="P139" s="2"/>
      <c r="Q139" s="1"/>
      <c r="R139" s="1"/>
      <c r="S139" s="1"/>
      <c r="T139" s="1"/>
      <c r="U139" s="1"/>
      <c r="V139" s="1" t="s">
        <v>1401</v>
      </c>
      <c r="W139" s="1"/>
      <c r="X139" s="1"/>
      <c r="Y139" s="1"/>
      <c r="Z139" s="1"/>
      <c r="AA139" s="1" t="s">
        <v>1014</v>
      </c>
      <c r="AB139" s="1"/>
      <c r="AC139" s="1"/>
      <c r="AD139" s="1"/>
      <c r="AE139" s="1"/>
      <c r="AF139" s="1"/>
      <c r="AG139" s="1"/>
      <c r="AH139" s="1"/>
      <c r="AI139" s="1"/>
      <c r="AJ139" s="1"/>
      <c r="AK139" s="1"/>
      <c r="AL139" s="1"/>
      <c r="AM139" s="1"/>
      <c r="AN139" s="1"/>
      <c r="AO139" s="1" t="s">
        <v>1402</v>
      </c>
      <c r="AP139" s="1"/>
      <c r="AQ139" s="1"/>
      <c r="AR139" s="1"/>
      <c r="AS139" s="1"/>
      <c r="AT139" s="1"/>
      <c r="AU139" s="3">
        <v>2013</v>
      </c>
      <c r="AV139" s="3">
        <v>22</v>
      </c>
      <c r="AW139" s="3">
        <v>2</v>
      </c>
      <c r="AX139" s="2"/>
      <c r="AY139" s="2"/>
      <c r="AZ139" s="1"/>
      <c r="BA139" s="2"/>
      <c r="BB139" s="3">
        <v>355</v>
      </c>
      <c r="BC139" s="3">
        <v>400</v>
      </c>
      <c r="BD139" s="2"/>
      <c r="BE139" s="1"/>
      <c r="BF139" s="1"/>
      <c r="BG139" s="1"/>
      <c r="BH139" s="1"/>
      <c r="BI139" s="1"/>
      <c r="BJ139" s="1"/>
      <c r="BK139" s="1"/>
      <c r="BL139" s="1"/>
      <c r="BM139" s="1"/>
      <c r="BN139" s="2"/>
      <c r="BO139" s="1"/>
      <c r="BP139" s="1"/>
      <c r="BQ139" s="1"/>
      <c r="BR139" s="1"/>
      <c r="BS139" s="1" t="s">
        <v>1403</v>
      </c>
      <c r="BT139" s="5">
        <f>HYPERLINK("https%3A%2F%2Fwww.webofscience.com%2Fwos%2Fwoscc%2Ffull-record%2FWOS:000323293800003","View Full Record in Web of Science")</f>
      </c>
    </row>
    <row x14ac:dyDescent="0.25" r="140" customHeight="1" ht="12.75">
      <c r="A140" s="1" t="s">
        <v>72</v>
      </c>
      <c r="B140" s="1" t="s">
        <v>1404</v>
      </c>
      <c r="C140" s="1"/>
      <c r="D140" s="1"/>
      <c r="E140" s="1"/>
      <c r="F140" s="1" t="s">
        <v>1405</v>
      </c>
      <c r="G140" s="1"/>
      <c r="H140" s="1"/>
      <c r="I140" s="1" t="s">
        <v>1406</v>
      </c>
      <c r="J140" s="1" t="s">
        <v>1407</v>
      </c>
      <c r="K140" s="1"/>
      <c r="L140" s="1"/>
      <c r="M140" s="1"/>
      <c r="N140" s="1"/>
      <c r="O140" s="1"/>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t="s">
        <v>1408</v>
      </c>
      <c r="AP140" s="1"/>
      <c r="AQ140" s="1"/>
      <c r="AR140" s="1"/>
      <c r="AS140" s="1"/>
      <c r="AT140" s="1" t="s">
        <v>169</v>
      </c>
      <c r="AU140" s="3">
        <v>2012</v>
      </c>
      <c r="AV140" s="3">
        <v>67</v>
      </c>
      <c r="AW140" s="3">
        <v>791</v>
      </c>
      <c r="AX140" s="2"/>
      <c r="AY140" s="2"/>
      <c r="AZ140" s="1"/>
      <c r="BA140" s="2"/>
      <c r="BB140" s="3">
        <v>15</v>
      </c>
      <c r="BC140" s="3">
        <v>19</v>
      </c>
      <c r="BD140" s="2"/>
      <c r="BE140" s="1"/>
      <c r="BF140" s="1"/>
      <c r="BG140" s="1"/>
      <c r="BH140" s="1"/>
      <c r="BI140" s="1"/>
      <c r="BJ140" s="1"/>
      <c r="BK140" s="1"/>
      <c r="BL140" s="1"/>
      <c r="BM140" s="1"/>
      <c r="BN140" s="2"/>
      <c r="BO140" s="1"/>
      <c r="BP140" s="1"/>
      <c r="BQ140" s="1"/>
      <c r="BR140" s="1"/>
      <c r="BS140" s="1" t="s">
        <v>1409</v>
      </c>
      <c r="BT140" s="5">
        <f>HYPERLINK("https%3A%2F%2Fwww.webofscience.com%2Fwos%2Fwoscc%2Ffull-record%2FWOS:000312746200005","View Full Record in Web of Science")</f>
      </c>
    </row>
    <row x14ac:dyDescent="0.25" r="141" customHeight="1" ht="12.75">
      <c r="A141" s="1" t="s">
        <v>72</v>
      </c>
      <c r="B141" s="1" t="s">
        <v>1410</v>
      </c>
      <c r="C141" s="1"/>
      <c r="D141" s="1"/>
      <c r="E141" s="1"/>
      <c r="F141" s="1" t="s">
        <v>1411</v>
      </c>
      <c r="G141" s="1"/>
      <c r="H141" s="1"/>
      <c r="I141" s="1" t="s">
        <v>1412</v>
      </c>
      <c r="J141" s="1" t="s">
        <v>725</v>
      </c>
      <c r="K141" s="1"/>
      <c r="L141" s="1"/>
      <c r="M141" s="1"/>
      <c r="N141" s="1"/>
      <c r="O141" s="1"/>
      <c r="P141" s="2"/>
      <c r="Q141" s="1"/>
      <c r="R141" s="1"/>
      <c r="S141" s="1"/>
      <c r="T141" s="1"/>
      <c r="U141" s="1"/>
      <c r="V141" s="1" t="s">
        <v>1413</v>
      </c>
      <c r="W141" s="1"/>
      <c r="X141" s="1"/>
      <c r="Y141" s="1"/>
      <c r="Z141" s="1"/>
      <c r="AA141" s="1"/>
      <c r="AB141" s="1"/>
      <c r="AC141" s="1"/>
      <c r="AD141" s="1"/>
      <c r="AE141" s="1"/>
      <c r="AF141" s="1"/>
      <c r="AG141" s="1"/>
      <c r="AH141" s="1"/>
      <c r="AI141" s="1"/>
      <c r="AJ141" s="1"/>
      <c r="AK141" s="1"/>
      <c r="AL141" s="1"/>
      <c r="AM141" s="1"/>
      <c r="AN141" s="1"/>
      <c r="AO141" s="1" t="s">
        <v>727</v>
      </c>
      <c r="AP141" s="1"/>
      <c r="AQ141" s="1"/>
      <c r="AR141" s="1"/>
      <c r="AS141" s="1"/>
      <c r="AT141" s="1" t="s">
        <v>757</v>
      </c>
      <c r="AU141" s="3">
        <v>2012</v>
      </c>
      <c r="AV141" s="2"/>
      <c r="AW141" s="3">
        <v>49</v>
      </c>
      <c r="AX141" s="2"/>
      <c r="AY141" s="2"/>
      <c r="AZ141" s="1"/>
      <c r="BA141" s="2"/>
      <c r="BB141" s="3">
        <v>137</v>
      </c>
      <c r="BC141" s="3">
        <v>155</v>
      </c>
      <c r="BD141" s="2"/>
      <c r="BE141" s="1"/>
      <c r="BF141" s="1"/>
      <c r="BG141" s="1"/>
      <c r="BH141" s="1"/>
      <c r="BI141" s="1"/>
      <c r="BJ141" s="1"/>
      <c r="BK141" s="1"/>
      <c r="BL141" s="1"/>
      <c r="BM141" s="1"/>
      <c r="BN141" s="2"/>
      <c r="BO141" s="1"/>
      <c r="BP141" s="1"/>
      <c r="BQ141" s="1"/>
      <c r="BR141" s="1"/>
      <c r="BS141" s="1" t="s">
        <v>1414</v>
      </c>
      <c r="BT141" s="5">
        <f>HYPERLINK("https%3A%2F%2Fwww.webofscience.com%2Fwos%2Fwoscc%2Ffull-record%2FWOS:000316863200009","View Full Record in Web of Science")</f>
      </c>
    </row>
    <row x14ac:dyDescent="0.25" r="142" customHeight="1" ht="12.75">
      <c r="A142" s="1" t="s">
        <v>72</v>
      </c>
      <c r="B142" s="1" t="s">
        <v>1415</v>
      </c>
      <c r="C142" s="1"/>
      <c r="D142" s="1"/>
      <c r="E142" s="1"/>
      <c r="F142" s="1" t="s">
        <v>1416</v>
      </c>
      <c r="G142" s="1"/>
      <c r="H142" s="1"/>
      <c r="I142" s="1" t="s">
        <v>1417</v>
      </c>
      <c r="J142" s="1" t="s">
        <v>1418</v>
      </c>
      <c r="K142" s="1"/>
      <c r="L142" s="1"/>
      <c r="M142" s="1"/>
      <c r="N142" s="1"/>
      <c r="O142" s="1"/>
      <c r="P142" s="2"/>
      <c r="Q142" s="1"/>
      <c r="R142" s="1"/>
      <c r="S142" s="1"/>
      <c r="T142" s="1"/>
      <c r="U142" s="1"/>
      <c r="V142" s="1" t="s">
        <v>1419</v>
      </c>
      <c r="W142" s="1"/>
      <c r="X142" s="1"/>
      <c r="Y142" s="1"/>
      <c r="Z142" s="1"/>
      <c r="AA142" s="1" t="s">
        <v>1420</v>
      </c>
      <c r="AB142" s="1" t="s">
        <v>1421</v>
      </c>
      <c r="AC142" s="1"/>
      <c r="AD142" s="1"/>
      <c r="AE142" s="1"/>
      <c r="AF142" s="1"/>
      <c r="AG142" s="1"/>
      <c r="AH142" s="1"/>
      <c r="AI142" s="1"/>
      <c r="AJ142" s="1"/>
      <c r="AK142" s="1"/>
      <c r="AL142" s="1"/>
      <c r="AM142" s="1"/>
      <c r="AN142" s="1"/>
      <c r="AO142" s="1" t="s">
        <v>1422</v>
      </c>
      <c r="AP142" s="1"/>
      <c r="AQ142" s="1"/>
      <c r="AR142" s="1"/>
      <c r="AS142" s="1"/>
      <c r="AT142" s="1" t="s">
        <v>683</v>
      </c>
      <c r="AU142" s="3">
        <v>2012</v>
      </c>
      <c r="AV142" s="3">
        <v>158</v>
      </c>
      <c r="AW142" s="2"/>
      <c r="AX142" s="3">
        <v>5</v>
      </c>
      <c r="AY142" s="2"/>
      <c r="AZ142" s="1"/>
      <c r="BA142" s="2"/>
      <c r="BB142" s="3">
        <v>1279</v>
      </c>
      <c r="BC142" s="3">
        <v>1283</v>
      </c>
      <c r="BD142" s="2"/>
      <c r="BE142" s="1" t="s">
        <v>1423</v>
      </c>
      <c r="BF142" s="4">
        <f>HYPERLINK("http://dx.doi.org/10.1099/mic.0.056903-0","http://dx.doi.org/10.1099/mic.0.056903-0")</f>
      </c>
      <c r="BG142" s="1"/>
      <c r="BH142" s="1"/>
      <c r="BI142" s="1"/>
      <c r="BJ142" s="1"/>
      <c r="BK142" s="1"/>
      <c r="BL142" s="1"/>
      <c r="BM142" s="1"/>
      <c r="BN142" s="3">
        <v>22343353</v>
      </c>
      <c r="BO142" s="1"/>
      <c r="BP142" s="1"/>
      <c r="BQ142" s="1"/>
      <c r="BR142" s="1"/>
      <c r="BS142" s="1" t="s">
        <v>1424</v>
      </c>
      <c r="BT142" s="5">
        <f>HYPERLINK("https%3A%2F%2Fwww.webofscience.com%2Fwos%2Fwoscc%2Ffull-record%2FWOS:000305375900014","View Full Record in Web of Science")</f>
      </c>
    </row>
    <row x14ac:dyDescent="0.25" r="143" customHeight="1" ht="12.75">
      <c r="A143" s="1" t="s">
        <v>72</v>
      </c>
      <c r="B143" s="1" t="s">
        <v>1425</v>
      </c>
      <c r="C143" s="1"/>
      <c r="D143" s="1"/>
      <c r="E143" s="1"/>
      <c r="F143" s="1" t="s">
        <v>1426</v>
      </c>
      <c r="G143" s="1"/>
      <c r="H143" s="1"/>
      <c r="I143" s="1" t="s">
        <v>1427</v>
      </c>
      <c r="J143" s="1" t="s">
        <v>1428</v>
      </c>
      <c r="K143" s="1"/>
      <c r="L143" s="1"/>
      <c r="M143" s="1"/>
      <c r="N143" s="1"/>
      <c r="O143" s="1"/>
      <c r="P143" s="2"/>
      <c r="Q143" s="1"/>
      <c r="R143" s="1"/>
      <c r="S143" s="1"/>
      <c r="T143" s="1"/>
      <c r="U143" s="1"/>
      <c r="V143" s="1" t="s">
        <v>1429</v>
      </c>
      <c r="W143" s="1"/>
      <c r="X143" s="1"/>
      <c r="Y143" s="1"/>
      <c r="Z143" s="1"/>
      <c r="AA143" s="1" t="s">
        <v>1430</v>
      </c>
      <c r="AB143" s="1" t="s">
        <v>1431</v>
      </c>
      <c r="AC143" s="1"/>
      <c r="AD143" s="1"/>
      <c r="AE143" s="1"/>
      <c r="AF143" s="1"/>
      <c r="AG143" s="1"/>
      <c r="AH143" s="1"/>
      <c r="AI143" s="1"/>
      <c r="AJ143" s="1"/>
      <c r="AK143" s="1"/>
      <c r="AL143" s="1"/>
      <c r="AM143" s="1"/>
      <c r="AN143" s="1"/>
      <c r="AO143" s="1" t="s">
        <v>1432</v>
      </c>
      <c r="AP143" s="1"/>
      <c r="AQ143" s="1"/>
      <c r="AR143" s="1"/>
      <c r="AS143" s="1"/>
      <c r="AT143" s="1" t="s">
        <v>605</v>
      </c>
      <c r="AU143" s="3">
        <v>2012</v>
      </c>
      <c r="AV143" s="3">
        <v>14</v>
      </c>
      <c r="AW143" s="3">
        <v>3</v>
      </c>
      <c r="AX143" s="2"/>
      <c r="AY143" s="2"/>
      <c r="AZ143" s="1"/>
      <c r="BA143" s="2"/>
      <c r="BB143" s="3">
        <v>290</v>
      </c>
      <c r="BC143" s="3">
        <v>300</v>
      </c>
      <c r="BD143" s="2"/>
      <c r="BE143" s="1" t="s">
        <v>1433</v>
      </c>
      <c r="BF143" s="4">
        <f>HYPERLINK("http://dx.doi.org/10.1016/j.micinf.2011.11.002","http://dx.doi.org/10.1016/j.micinf.2011.11.002")</f>
      </c>
      <c r="BG143" s="1"/>
      <c r="BH143" s="1"/>
      <c r="BI143" s="1"/>
      <c r="BJ143" s="1"/>
      <c r="BK143" s="1"/>
      <c r="BL143" s="1"/>
      <c r="BM143" s="1"/>
      <c r="BN143" s="3">
        <v>22146107</v>
      </c>
      <c r="BO143" s="1"/>
      <c r="BP143" s="1"/>
      <c r="BQ143" s="1"/>
      <c r="BR143" s="1"/>
      <c r="BS143" s="1" t="s">
        <v>1434</v>
      </c>
      <c r="BT143" s="5">
        <f>HYPERLINK("https%3A%2F%2Fwww.webofscience.com%2Fwos%2Fwoscc%2Ffull-record%2FWOS:000301701100010","View Full Record in Web of Science")</f>
      </c>
    </row>
    <row x14ac:dyDescent="0.25" r="144" customHeight="1" ht="12.75">
      <c r="A144" s="1" t="s">
        <v>303</v>
      </c>
      <c r="B144" s="1" t="s">
        <v>1435</v>
      </c>
      <c r="C144" s="1"/>
      <c r="D144" s="1" t="s">
        <v>1436</v>
      </c>
      <c r="E144" s="1"/>
      <c r="F144" s="1" t="s">
        <v>1437</v>
      </c>
      <c r="G144" s="1"/>
      <c r="H144" s="1"/>
      <c r="I144" s="1" t="s">
        <v>1438</v>
      </c>
      <c r="J144" s="1" t="s">
        <v>1439</v>
      </c>
      <c r="K144" s="1" t="s">
        <v>1440</v>
      </c>
      <c r="L144" s="1"/>
      <c r="M144" s="1"/>
      <c r="N144" s="1"/>
      <c r="O144" s="1" t="s">
        <v>1441</v>
      </c>
      <c r="P144" s="2" t="s">
        <v>1442</v>
      </c>
      <c r="Q144" s="1" t="s">
        <v>1443</v>
      </c>
      <c r="R144" s="1" t="s">
        <v>1444</v>
      </c>
      <c r="S144" s="1"/>
      <c r="T144" s="1"/>
      <c r="U144" s="1"/>
      <c r="V144" s="1" t="s">
        <v>1445</v>
      </c>
      <c r="W144" s="1"/>
      <c r="X144" s="1"/>
      <c r="Y144" s="1"/>
      <c r="Z144" s="1"/>
      <c r="AA144" s="1" t="s">
        <v>679</v>
      </c>
      <c r="AB144" s="1" t="s">
        <v>1446</v>
      </c>
      <c r="AC144" s="1"/>
      <c r="AD144" s="1"/>
      <c r="AE144" s="1"/>
      <c r="AF144" s="1"/>
      <c r="AG144" s="1"/>
      <c r="AH144" s="1"/>
      <c r="AI144" s="1"/>
      <c r="AJ144" s="1"/>
      <c r="AK144" s="1"/>
      <c r="AL144" s="1"/>
      <c r="AM144" s="1"/>
      <c r="AN144" s="1"/>
      <c r="AO144" s="1" t="s">
        <v>1447</v>
      </c>
      <c r="AP144" s="1"/>
      <c r="AQ144" s="1"/>
      <c r="AR144" s="1"/>
      <c r="AS144" s="1"/>
      <c r="AT144" s="1"/>
      <c r="AU144" s="3">
        <v>2011</v>
      </c>
      <c r="AV144" s="3">
        <v>304</v>
      </c>
      <c r="AW144" s="2"/>
      <c r="AX144" s="2"/>
      <c r="AY144" s="2"/>
      <c r="AZ144" s="1"/>
      <c r="BA144" s="2"/>
      <c r="BB144" s="3">
        <v>33</v>
      </c>
      <c r="BC144" s="3">
        <v>39</v>
      </c>
      <c r="BD144" s="2"/>
      <c r="BE144" s="1" t="s">
        <v>1448</v>
      </c>
      <c r="BF144" s="4">
        <f>HYPERLINK("http://dx.doi.org/10.1002/masy.201150605","http://dx.doi.org/10.1002/masy.201150605")</f>
      </c>
      <c r="BG144" s="1"/>
      <c r="BH144" s="1"/>
      <c r="BI144" s="1"/>
      <c r="BJ144" s="1"/>
      <c r="BK144" s="1"/>
      <c r="BL144" s="1"/>
      <c r="BM144" s="1"/>
      <c r="BN144" s="2"/>
      <c r="BO144" s="1"/>
      <c r="BP144" s="1"/>
      <c r="BQ144" s="1"/>
      <c r="BR144" s="1"/>
      <c r="BS144" s="1" t="s">
        <v>1449</v>
      </c>
      <c r="BT144" s="5">
        <f>HYPERLINK("https%3A%2F%2Fwww.webofscience.com%2Fwos%2Fwoscc%2Ffull-record%2FWOS:000297026400005","View Full Record in Web of Science")</f>
      </c>
    </row>
    <row x14ac:dyDescent="0.25" r="145" customHeight="1" ht="12.75">
      <c r="A145" s="1" t="s">
        <v>72</v>
      </c>
      <c r="B145" s="1" t="s">
        <v>1450</v>
      </c>
      <c r="C145" s="1"/>
      <c r="D145" s="1"/>
      <c r="E145" s="1"/>
      <c r="F145" s="1" t="s">
        <v>1451</v>
      </c>
      <c r="G145" s="1"/>
      <c r="H145" s="1"/>
      <c r="I145" s="1" t="s">
        <v>1452</v>
      </c>
      <c r="J145" s="1" t="s">
        <v>470</v>
      </c>
      <c r="K145" s="1"/>
      <c r="L145" s="1"/>
      <c r="M145" s="1"/>
      <c r="N145" s="1"/>
      <c r="O145" s="1"/>
      <c r="P145" s="2"/>
      <c r="Q145" s="1"/>
      <c r="R145" s="1"/>
      <c r="S145" s="1"/>
      <c r="T145" s="1"/>
      <c r="U145" s="1"/>
      <c r="V145" s="1" t="s">
        <v>1453</v>
      </c>
      <c r="W145" s="1"/>
      <c r="X145" s="1"/>
      <c r="Y145" s="1"/>
      <c r="Z145" s="1"/>
      <c r="AA145" s="1"/>
      <c r="AB145" s="1"/>
      <c r="AC145" s="1"/>
      <c r="AD145" s="1"/>
      <c r="AE145" s="1"/>
      <c r="AF145" s="1"/>
      <c r="AG145" s="1"/>
      <c r="AH145" s="1"/>
      <c r="AI145" s="1"/>
      <c r="AJ145" s="1"/>
      <c r="AK145" s="1"/>
      <c r="AL145" s="1"/>
      <c r="AM145" s="1"/>
      <c r="AN145" s="1"/>
      <c r="AO145" s="1" t="s">
        <v>474</v>
      </c>
      <c r="AP145" s="1"/>
      <c r="AQ145" s="1"/>
      <c r="AR145" s="1"/>
      <c r="AS145" s="1"/>
      <c r="AT145" s="1"/>
      <c r="AU145" s="3">
        <v>2011</v>
      </c>
      <c r="AV145" s="3">
        <v>29</v>
      </c>
      <c r="AW145" s="3">
        <v>9</v>
      </c>
      <c r="AX145" s="2"/>
      <c r="AY145" s="2"/>
      <c r="AZ145" s="1"/>
      <c r="BA145" s="2"/>
      <c r="BB145" s="3">
        <v>1076</v>
      </c>
      <c r="BC145" s="3">
        <v>1089</v>
      </c>
      <c r="BD145" s="2"/>
      <c r="BE145" s="1" t="s">
        <v>1454</v>
      </c>
      <c r="BF145" s="4">
        <f>HYPERLINK("http://dx.doi.org/10.1080/07373937.2011.568657","http://dx.doi.org/10.1080/07373937.2011.568657")</f>
      </c>
      <c r="BG145" s="1"/>
      <c r="BH145" s="1"/>
      <c r="BI145" s="1"/>
      <c r="BJ145" s="1"/>
      <c r="BK145" s="1"/>
      <c r="BL145" s="1"/>
      <c r="BM145" s="1"/>
      <c r="BN145" s="2"/>
      <c r="BO145" s="1"/>
      <c r="BP145" s="1"/>
      <c r="BQ145" s="1"/>
      <c r="BR145" s="1"/>
      <c r="BS145" s="1" t="s">
        <v>1455</v>
      </c>
      <c r="BT145" s="5">
        <f>HYPERLINK("https%3A%2F%2Fwww.webofscience.com%2Fwos%2Fwoscc%2Ffull-record%2FWOS:000294803500009","View Full Record in Web of Science")</f>
      </c>
    </row>
    <row x14ac:dyDescent="0.25" r="146" customHeight="1" ht="12.75">
      <c r="A146" s="1" t="s">
        <v>72</v>
      </c>
      <c r="B146" s="1" t="s">
        <v>1456</v>
      </c>
      <c r="C146" s="1"/>
      <c r="D146" s="1"/>
      <c r="E146" s="1"/>
      <c r="F146" s="1" t="s">
        <v>1457</v>
      </c>
      <c r="G146" s="1"/>
      <c r="H146" s="1"/>
      <c r="I146" s="1" t="s">
        <v>1458</v>
      </c>
      <c r="J146" s="1" t="s">
        <v>1459</v>
      </c>
      <c r="K146" s="1"/>
      <c r="L146" s="1"/>
      <c r="M146" s="1"/>
      <c r="N146" s="1"/>
      <c r="O146" s="1"/>
      <c r="P146" s="2"/>
      <c r="Q146" s="1"/>
      <c r="R146" s="1"/>
      <c r="S146" s="1"/>
      <c r="T146" s="1"/>
      <c r="U146" s="1"/>
      <c r="V146" s="1" t="s">
        <v>1460</v>
      </c>
      <c r="W146" s="1"/>
      <c r="X146" s="1"/>
      <c r="Y146" s="1"/>
      <c r="Z146" s="1"/>
      <c r="AA146" s="1"/>
      <c r="AB146" s="1" t="s">
        <v>1461</v>
      </c>
      <c r="AC146" s="1"/>
      <c r="AD146" s="1"/>
      <c r="AE146" s="1"/>
      <c r="AF146" s="1"/>
      <c r="AG146" s="1"/>
      <c r="AH146" s="1"/>
      <c r="AI146" s="1"/>
      <c r="AJ146" s="1"/>
      <c r="AK146" s="1"/>
      <c r="AL146" s="1"/>
      <c r="AM146" s="1"/>
      <c r="AN146" s="1"/>
      <c r="AO146" s="1" t="s">
        <v>1462</v>
      </c>
      <c r="AP146" s="1"/>
      <c r="AQ146" s="1"/>
      <c r="AR146" s="1"/>
      <c r="AS146" s="1"/>
      <c r="AT146" s="1" t="s">
        <v>648</v>
      </c>
      <c r="AU146" s="3">
        <v>2010</v>
      </c>
      <c r="AV146" s="3">
        <v>46</v>
      </c>
      <c r="AW146" s="3">
        <v>3</v>
      </c>
      <c r="AX146" s="2"/>
      <c r="AY146" s="2"/>
      <c r="AZ146" s="1"/>
      <c r="BA146" s="2"/>
      <c r="BB146" s="3">
        <v>227</v>
      </c>
      <c r="BC146" s="3">
        <v>239</v>
      </c>
      <c r="BD146" s="2"/>
      <c r="BE146" s="1" t="s">
        <v>1463</v>
      </c>
      <c r="BF146" s="4">
        <f>HYPERLINK("http://dx.doi.org/10.3989/revmetalm.0929","http://dx.doi.org/10.3989/revmetalm.0929")</f>
      </c>
      <c r="BG146" s="1"/>
      <c r="BH146" s="1"/>
      <c r="BI146" s="1"/>
      <c r="BJ146" s="1"/>
      <c r="BK146" s="1"/>
      <c r="BL146" s="1"/>
      <c r="BM146" s="1"/>
      <c r="BN146" s="2"/>
      <c r="BO146" s="1"/>
      <c r="BP146" s="1"/>
      <c r="BQ146" s="1"/>
      <c r="BR146" s="1"/>
      <c r="BS146" s="1" t="s">
        <v>1464</v>
      </c>
      <c r="BT146" s="5">
        <f>HYPERLINK("https%3A%2F%2Fwww.webofscience.com%2Fwos%2Fwoscc%2Ffull-record%2FWOS:000282461300004","View Full Record in Web of Science")</f>
      </c>
    </row>
    <row x14ac:dyDescent="0.25" r="147" customHeight="1" ht="12.75">
      <c r="A147" s="1" t="s">
        <v>72</v>
      </c>
      <c r="B147" s="1" t="s">
        <v>548</v>
      </c>
      <c r="C147" s="1"/>
      <c r="D147" s="1"/>
      <c r="E147" s="1"/>
      <c r="F147" s="1" t="s">
        <v>549</v>
      </c>
      <c r="G147" s="1"/>
      <c r="H147" s="1"/>
      <c r="I147" s="1" t="s">
        <v>1465</v>
      </c>
      <c r="J147" s="1" t="s">
        <v>1466</v>
      </c>
      <c r="K147" s="1"/>
      <c r="L147" s="1"/>
      <c r="M147" s="1"/>
      <c r="N147" s="1"/>
      <c r="O147" s="1"/>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t="s">
        <v>1467</v>
      </c>
      <c r="AP147" s="1" t="s">
        <v>1468</v>
      </c>
      <c r="AQ147" s="1"/>
      <c r="AR147" s="1"/>
      <c r="AS147" s="1"/>
      <c r="AT147" s="1" t="s">
        <v>683</v>
      </c>
      <c r="AU147" s="3">
        <v>2010</v>
      </c>
      <c r="AV147" s="3">
        <v>42</v>
      </c>
      <c r="AW147" s="2"/>
      <c r="AX147" s="3">
        <v>2</v>
      </c>
      <c r="AY147" s="2"/>
      <c r="AZ147" s="1"/>
      <c r="BA147" s="2"/>
      <c r="BB147" s="3">
        <v>403</v>
      </c>
      <c r="BC147" s="3">
        <v>404</v>
      </c>
      <c r="BD147" s="2"/>
      <c r="BE147" s="1" t="s">
        <v>1469</v>
      </c>
      <c r="BF147" s="4">
        <f>HYPERLINK("http://dx.doi.org/10.1017/S0022216X10000593","http://dx.doi.org/10.1017/S0022216X10000593")</f>
      </c>
      <c r="BG147" s="1"/>
      <c r="BH147" s="1"/>
      <c r="BI147" s="1"/>
      <c r="BJ147" s="1"/>
      <c r="BK147" s="1"/>
      <c r="BL147" s="1"/>
      <c r="BM147" s="1"/>
      <c r="BN147" s="2"/>
      <c r="BO147" s="1"/>
      <c r="BP147" s="1"/>
      <c r="BQ147" s="1"/>
      <c r="BR147" s="1"/>
      <c r="BS147" s="1" t="s">
        <v>1470</v>
      </c>
      <c r="BT147" s="5">
        <f>HYPERLINK("https%3A%2F%2Fwww.webofscience.com%2Fwos%2Fwoscc%2Ffull-record%2FWOS:000280926400017","View Full Record in Web of Science")</f>
      </c>
    </row>
    <row x14ac:dyDescent="0.25" r="148" customHeight="1" ht="12.75">
      <c r="A148" s="1" t="s">
        <v>72</v>
      </c>
      <c r="B148" s="1" t="s">
        <v>1471</v>
      </c>
      <c r="C148" s="1"/>
      <c r="D148" s="1"/>
      <c r="E148" s="1"/>
      <c r="F148" s="1" t="s">
        <v>1472</v>
      </c>
      <c r="G148" s="1"/>
      <c r="H148" s="1"/>
      <c r="I148" s="1" t="s">
        <v>1473</v>
      </c>
      <c r="J148" s="1" t="s">
        <v>1474</v>
      </c>
      <c r="K148" s="1"/>
      <c r="L148" s="1"/>
      <c r="M148" s="1"/>
      <c r="N148" s="1"/>
      <c r="O148" s="1"/>
      <c r="P148" s="2"/>
      <c r="Q148" s="1"/>
      <c r="R148" s="1"/>
      <c r="S148" s="1"/>
      <c r="T148" s="1"/>
      <c r="U148" s="1"/>
      <c r="V148" s="1" t="s">
        <v>1475</v>
      </c>
      <c r="W148" s="1"/>
      <c r="X148" s="1"/>
      <c r="Y148" s="1"/>
      <c r="Z148" s="1"/>
      <c r="AA148" s="1" t="s">
        <v>1476</v>
      </c>
      <c r="AB148" s="1" t="s">
        <v>1477</v>
      </c>
      <c r="AC148" s="1"/>
      <c r="AD148" s="1"/>
      <c r="AE148" s="1"/>
      <c r="AF148" s="1"/>
      <c r="AG148" s="1"/>
      <c r="AH148" s="1"/>
      <c r="AI148" s="1"/>
      <c r="AJ148" s="1"/>
      <c r="AK148" s="1"/>
      <c r="AL148" s="1"/>
      <c r="AM148" s="1"/>
      <c r="AN148" s="1"/>
      <c r="AO148" s="1" t="s">
        <v>1478</v>
      </c>
      <c r="AP148" s="1"/>
      <c r="AQ148" s="1"/>
      <c r="AR148" s="1"/>
      <c r="AS148" s="1"/>
      <c r="AT148" s="1" t="s">
        <v>763</v>
      </c>
      <c r="AU148" s="3">
        <v>2010</v>
      </c>
      <c r="AV148" s="3">
        <v>639</v>
      </c>
      <c r="AW148" s="2" t="s">
        <v>1479</v>
      </c>
      <c r="AX148" s="2"/>
      <c r="AY148" s="2"/>
      <c r="AZ148" s="1"/>
      <c r="BA148" s="2"/>
      <c r="BB148" s="3">
        <v>88</v>
      </c>
      <c r="BC148" s="3">
        <v>94</v>
      </c>
      <c r="BD148" s="2"/>
      <c r="BE148" s="1" t="s">
        <v>1480</v>
      </c>
      <c r="BF148" s="4">
        <f>HYPERLINK("http://dx.doi.org/10.1016/j.jelechem.2009.11.027","http://dx.doi.org/10.1016/j.jelechem.2009.11.027")</f>
      </c>
      <c r="BG148" s="1"/>
      <c r="BH148" s="1"/>
      <c r="BI148" s="1"/>
      <c r="BJ148" s="1"/>
      <c r="BK148" s="1"/>
      <c r="BL148" s="1"/>
      <c r="BM148" s="1"/>
      <c r="BN148" s="2"/>
      <c r="BO148" s="1"/>
      <c r="BP148" s="1"/>
      <c r="BQ148" s="1"/>
      <c r="BR148" s="1"/>
      <c r="BS148" s="1" t="s">
        <v>1481</v>
      </c>
      <c r="BT148" s="5">
        <f>HYPERLINK("https%3A%2F%2Fwww.webofscience.com%2Fwos%2Fwoscc%2Ffull-record%2FWOS:000275137400013","View Full Record in Web of Science")</f>
      </c>
    </row>
    <row x14ac:dyDescent="0.25" r="149" customHeight="1" ht="12.75">
      <c r="A149" s="1" t="s">
        <v>303</v>
      </c>
      <c r="B149" s="1" t="s">
        <v>1482</v>
      </c>
      <c r="C149" s="1"/>
      <c r="D149" s="1"/>
      <c r="E149" s="1" t="s">
        <v>571</v>
      </c>
      <c r="F149" s="1" t="s">
        <v>1483</v>
      </c>
      <c r="G149" s="1"/>
      <c r="H149" s="1"/>
      <c r="I149" s="1" t="s">
        <v>1484</v>
      </c>
      <c r="J149" s="1" t="s">
        <v>1485</v>
      </c>
      <c r="K149" s="1"/>
      <c r="L149" s="1"/>
      <c r="M149" s="1"/>
      <c r="N149" s="1"/>
      <c r="O149" s="1" t="s">
        <v>1486</v>
      </c>
      <c r="P149" s="2" t="s">
        <v>1487</v>
      </c>
      <c r="Q149" s="1" t="s">
        <v>1488</v>
      </c>
      <c r="R149" s="1" t="s">
        <v>571</v>
      </c>
      <c r="S149" s="1"/>
      <c r="T149" s="1"/>
      <c r="U149" s="1"/>
      <c r="V149" s="1" t="s">
        <v>1489</v>
      </c>
      <c r="W149" s="1"/>
      <c r="X149" s="1"/>
      <c r="Y149" s="1"/>
      <c r="Z149" s="1"/>
      <c r="AA149" s="1"/>
      <c r="AB149" s="1" t="s">
        <v>1490</v>
      </c>
      <c r="AC149" s="1"/>
      <c r="AD149" s="1"/>
      <c r="AE149" s="1"/>
      <c r="AF149" s="1"/>
      <c r="AG149" s="1"/>
      <c r="AH149" s="1"/>
      <c r="AI149" s="1"/>
      <c r="AJ149" s="1"/>
      <c r="AK149" s="1"/>
      <c r="AL149" s="1"/>
      <c r="AM149" s="1"/>
      <c r="AN149" s="1"/>
      <c r="AO149" s="1"/>
      <c r="AP149" s="1"/>
      <c r="AQ149" s="1" t="s">
        <v>1491</v>
      </c>
      <c r="AR149" s="1"/>
      <c r="AS149" s="1"/>
      <c r="AT149" s="1"/>
      <c r="AU149" s="3">
        <v>2010</v>
      </c>
      <c r="AV149" s="2"/>
      <c r="AW149" s="2"/>
      <c r="AX149" s="2"/>
      <c r="AY149" s="2"/>
      <c r="AZ149" s="1"/>
      <c r="BA149" s="2"/>
      <c r="BB149" s="3">
        <v>121</v>
      </c>
      <c r="BC149" s="3">
        <v>127</v>
      </c>
      <c r="BD149" s="2"/>
      <c r="BE149" s="1"/>
      <c r="BF149" s="1"/>
      <c r="BG149" s="1"/>
      <c r="BH149" s="1"/>
      <c r="BI149" s="1"/>
      <c r="BJ149" s="1"/>
      <c r="BK149" s="1"/>
      <c r="BL149" s="1"/>
      <c r="BM149" s="1"/>
      <c r="BN149" s="2"/>
      <c r="BO149" s="1"/>
      <c r="BP149" s="1"/>
      <c r="BQ149" s="1"/>
      <c r="BR149" s="1"/>
      <c r="BS149" s="1" t="s">
        <v>1492</v>
      </c>
      <c r="BT149" s="5">
        <f>HYPERLINK("https%3A%2F%2Fwww.webofscience.com%2Fwos%2Fwoscc%2Ffull-record%2FWOS:000280196300016","View Full Record in Web of Science")</f>
      </c>
    </row>
    <row x14ac:dyDescent="0.25" r="150" customHeight="1" ht="12.75">
      <c r="A150" s="1" t="s">
        <v>72</v>
      </c>
      <c r="B150" s="1" t="s">
        <v>1493</v>
      </c>
      <c r="C150" s="1"/>
      <c r="D150" s="1"/>
      <c r="E150" s="1"/>
      <c r="F150" s="1" t="s">
        <v>1494</v>
      </c>
      <c r="G150" s="1"/>
      <c r="H150" s="1"/>
      <c r="I150" s="1" t="s">
        <v>1495</v>
      </c>
      <c r="J150" s="1" t="s">
        <v>1496</v>
      </c>
      <c r="K150" s="1"/>
      <c r="L150" s="1"/>
      <c r="M150" s="1"/>
      <c r="N150" s="1"/>
      <c r="O150" s="1"/>
      <c r="P150" s="2"/>
      <c r="Q150" s="1"/>
      <c r="R150" s="1"/>
      <c r="S150" s="1"/>
      <c r="T150" s="1"/>
      <c r="U150" s="1"/>
      <c r="V150" s="1" t="s">
        <v>1497</v>
      </c>
      <c r="W150" s="1"/>
      <c r="X150" s="1"/>
      <c r="Y150" s="1"/>
      <c r="Z150" s="1"/>
      <c r="AA150" s="1" t="s">
        <v>1498</v>
      </c>
      <c r="AB150" s="1" t="s">
        <v>1499</v>
      </c>
      <c r="AC150" s="1"/>
      <c r="AD150" s="1"/>
      <c r="AE150" s="1"/>
      <c r="AF150" s="1"/>
      <c r="AG150" s="1"/>
      <c r="AH150" s="1"/>
      <c r="AI150" s="1"/>
      <c r="AJ150" s="1"/>
      <c r="AK150" s="1"/>
      <c r="AL150" s="1"/>
      <c r="AM150" s="1"/>
      <c r="AN150" s="1"/>
      <c r="AO150" s="1" t="s">
        <v>1500</v>
      </c>
      <c r="AP150" s="1"/>
      <c r="AQ150" s="1"/>
      <c r="AR150" s="1"/>
      <c r="AS150" s="1"/>
      <c r="AT150" s="1" t="s">
        <v>1501</v>
      </c>
      <c r="AU150" s="3">
        <v>2009</v>
      </c>
      <c r="AV150" s="3">
        <v>24</v>
      </c>
      <c r="AW150" s="3">
        <v>31</v>
      </c>
      <c r="AX150" s="2"/>
      <c r="AY150" s="2"/>
      <c r="AZ150" s="1"/>
      <c r="BA150" s="2"/>
      <c r="BB150" s="3">
        <v>2539</v>
      </c>
      <c r="BC150" s="3">
        <v>2550</v>
      </c>
      <c r="BD150" s="2"/>
      <c r="BE150" s="1" t="s">
        <v>1502</v>
      </c>
      <c r="BF150" s="4">
        <f>HYPERLINK("http://dx.doi.org/10.1142/S0217732309030898","http://dx.doi.org/10.1142/S0217732309030898")</f>
      </c>
      <c r="BG150" s="1"/>
      <c r="BH150" s="1"/>
      <c r="BI150" s="1"/>
      <c r="BJ150" s="1"/>
      <c r="BK150" s="1"/>
      <c r="BL150" s="1"/>
      <c r="BM150" s="1"/>
      <c r="BN150" s="2"/>
      <c r="BO150" s="1"/>
      <c r="BP150" s="1"/>
      <c r="BQ150" s="1"/>
      <c r="BR150" s="1"/>
      <c r="BS150" s="1" t="s">
        <v>1503</v>
      </c>
      <c r="BT150" s="5">
        <f>HYPERLINK("https%3A%2F%2Fwww.webofscience.com%2Fwos%2Fwoscc%2Ffull-record%2FWOS:000271219600007","View Full Record in Web of Science")</f>
      </c>
    </row>
    <row x14ac:dyDescent="0.25" r="151" customHeight="1" ht="12.75">
      <c r="A151" s="1" t="s">
        <v>72</v>
      </c>
      <c r="B151" s="1" t="s">
        <v>1504</v>
      </c>
      <c r="C151" s="1"/>
      <c r="D151" s="1"/>
      <c r="E151" s="1"/>
      <c r="F151" s="1" t="s">
        <v>1505</v>
      </c>
      <c r="G151" s="1"/>
      <c r="H151" s="1"/>
      <c r="I151" s="1" t="s">
        <v>1506</v>
      </c>
      <c r="J151" s="1" t="s">
        <v>1507</v>
      </c>
      <c r="K151" s="1"/>
      <c r="L151" s="1"/>
      <c r="M151" s="1"/>
      <c r="N151" s="1"/>
      <c r="O151" s="1"/>
      <c r="P151" s="2"/>
      <c r="Q151" s="1"/>
      <c r="R151" s="1"/>
      <c r="S151" s="1"/>
      <c r="T151" s="1"/>
      <c r="U151" s="1"/>
      <c r="V151" s="1" t="s">
        <v>1508</v>
      </c>
      <c r="W151" s="1"/>
      <c r="X151" s="1"/>
      <c r="Y151" s="1"/>
      <c r="Z151" s="1"/>
      <c r="AA151" s="1" t="s">
        <v>1509</v>
      </c>
      <c r="AB151" s="1"/>
      <c r="AC151" s="1"/>
      <c r="AD151" s="1"/>
      <c r="AE151" s="1"/>
      <c r="AF151" s="1"/>
      <c r="AG151" s="1"/>
      <c r="AH151" s="1"/>
      <c r="AI151" s="1"/>
      <c r="AJ151" s="1"/>
      <c r="AK151" s="1"/>
      <c r="AL151" s="1"/>
      <c r="AM151" s="1"/>
      <c r="AN151" s="1"/>
      <c r="AO151" s="1" t="s">
        <v>1510</v>
      </c>
      <c r="AP151" s="1"/>
      <c r="AQ151" s="1"/>
      <c r="AR151" s="1"/>
      <c r="AS151" s="1"/>
      <c r="AT151" s="1" t="s">
        <v>292</v>
      </c>
      <c r="AU151" s="3">
        <v>2009</v>
      </c>
      <c r="AV151" s="3">
        <v>54</v>
      </c>
      <c r="AW151" s="3">
        <v>3</v>
      </c>
      <c r="AX151" s="2"/>
      <c r="AY151" s="2"/>
      <c r="AZ151" s="1"/>
      <c r="BA151" s="2"/>
      <c r="BB151" s="3">
        <v>323</v>
      </c>
      <c r="BC151" s="3">
        <v>326</v>
      </c>
      <c r="BD151" s="2"/>
      <c r="BE151" s="1" t="s">
        <v>1511</v>
      </c>
      <c r="BF151" s="4">
        <f>HYPERLINK("http://dx.doi.org/10.4067/S0717-97072009000300025","http://dx.doi.org/10.4067/S0717-97072009000300025")</f>
      </c>
      <c r="BG151" s="1"/>
      <c r="BH151" s="1"/>
      <c r="BI151" s="1"/>
      <c r="BJ151" s="1"/>
      <c r="BK151" s="1"/>
      <c r="BL151" s="1"/>
      <c r="BM151" s="1"/>
      <c r="BN151" s="2"/>
      <c r="BO151" s="1"/>
      <c r="BP151" s="1"/>
      <c r="BQ151" s="1"/>
      <c r="BR151" s="1"/>
      <c r="BS151" s="1" t="s">
        <v>1512</v>
      </c>
      <c r="BT151" s="5">
        <f>HYPERLINK("https%3A%2F%2Fwww.webofscience.com%2Fwos%2Fwoscc%2Ffull-record%2FWOS:000269814100025","View Full Record in Web of Science")</f>
      </c>
    </row>
    <row x14ac:dyDescent="0.25" r="152" customHeight="1" ht="12.75">
      <c r="A152" s="1" t="s">
        <v>72</v>
      </c>
      <c r="B152" s="1" t="s">
        <v>1513</v>
      </c>
      <c r="C152" s="1"/>
      <c r="D152" s="1"/>
      <c r="E152" s="1"/>
      <c r="F152" s="1" t="s">
        <v>1514</v>
      </c>
      <c r="G152" s="1"/>
      <c r="H152" s="1"/>
      <c r="I152" s="1" t="s">
        <v>1515</v>
      </c>
      <c r="J152" s="1" t="s">
        <v>1516</v>
      </c>
      <c r="K152" s="1"/>
      <c r="L152" s="1"/>
      <c r="M152" s="1"/>
      <c r="N152" s="1"/>
      <c r="O152" s="1"/>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t="s">
        <v>1517</v>
      </c>
      <c r="AP152" s="1"/>
      <c r="AQ152" s="1"/>
      <c r="AR152" s="1"/>
      <c r="AS152" s="1"/>
      <c r="AT152" s="1"/>
      <c r="AU152" s="3">
        <v>2009</v>
      </c>
      <c r="AV152" s="3">
        <v>65</v>
      </c>
      <c r="AW152" s="2"/>
      <c r="AX152" s="2"/>
      <c r="AY152" s="2" t="s">
        <v>778</v>
      </c>
      <c r="AZ152" s="1"/>
      <c r="BA152" s="2" t="s">
        <v>1518</v>
      </c>
      <c r="BB152" s="2" t="s">
        <v>1519</v>
      </c>
      <c r="BC152" s="2" t="s">
        <v>1519</v>
      </c>
      <c r="BD152" s="2"/>
      <c r="BE152" s="1" t="s">
        <v>1520</v>
      </c>
      <c r="BF152" s="4">
        <f>HYPERLINK("http://dx.doi.org/10.1107/S0108767309093131","http://dx.doi.org/10.1107/S0108767309093131")</f>
      </c>
      <c r="BG152" s="1"/>
      <c r="BH152" s="1"/>
      <c r="BI152" s="1"/>
      <c r="BJ152" s="1"/>
      <c r="BK152" s="1"/>
      <c r="BL152" s="1"/>
      <c r="BM152" s="1"/>
      <c r="BN152" s="2"/>
      <c r="BO152" s="1"/>
      <c r="BP152" s="1"/>
      <c r="BQ152" s="1"/>
      <c r="BR152" s="1"/>
      <c r="BS152" s="1" t="s">
        <v>1521</v>
      </c>
      <c r="BT152" s="5">
        <f>HYPERLINK("https%3A%2F%2Fwww.webofscience.com%2Fwos%2Fwoscc%2Ffull-record%2FWOS:000480362900686","View Full Record in Web of Science")</f>
      </c>
    </row>
    <row x14ac:dyDescent="0.25" r="153" customHeight="1" ht="12.75">
      <c r="A153" s="1" t="s">
        <v>303</v>
      </c>
      <c r="B153" s="1" t="s">
        <v>1522</v>
      </c>
      <c r="C153" s="1"/>
      <c r="D153" s="1"/>
      <c r="E153" s="1" t="s">
        <v>571</v>
      </c>
      <c r="F153" s="1" t="s">
        <v>1523</v>
      </c>
      <c r="G153" s="1"/>
      <c r="H153" s="1"/>
      <c r="I153" s="1" t="s">
        <v>1524</v>
      </c>
      <c r="J153" s="1" t="s">
        <v>1525</v>
      </c>
      <c r="K153" s="1"/>
      <c r="L153" s="1"/>
      <c r="M153" s="1"/>
      <c r="N153" s="1"/>
      <c r="O153" s="1" t="s">
        <v>1486</v>
      </c>
      <c r="P153" s="2" t="s">
        <v>1526</v>
      </c>
      <c r="Q153" s="1" t="s">
        <v>1527</v>
      </c>
      <c r="R153" s="1" t="s">
        <v>1528</v>
      </c>
      <c r="S153" s="1"/>
      <c r="T153" s="1"/>
      <c r="U153" s="1"/>
      <c r="V153" s="1" t="s">
        <v>1529</v>
      </c>
      <c r="W153" s="1"/>
      <c r="X153" s="1"/>
      <c r="Y153" s="1"/>
      <c r="Z153" s="1"/>
      <c r="AA153" s="1" t="s">
        <v>1530</v>
      </c>
      <c r="AB153" s="1" t="s">
        <v>1531</v>
      </c>
      <c r="AC153" s="1"/>
      <c r="AD153" s="1"/>
      <c r="AE153" s="1"/>
      <c r="AF153" s="1"/>
      <c r="AG153" s="1"/>
      <c r="AH153" s="1"/>
      <c r="AI153" s="1"/>
      <c r="AJ153" s="1"/>
      <c r="AK153" s="1"/>
      <c r="AL153" s="1"/>
      <c r="AM153" s="1"/>
      <c r="AN153" s="1"/>
      <c r="AO153" s="1"/>
      <c r="AP153" s="1"/>
      <c r="AQ153" s="1" t="s">
        <v>1532</v>
      </c>
      <c r="AR153" s="1"/>
      <c r="AS153" s="1"/>
      <c r="AT153" s="1"/>
      <c r="AU153" s="3">
        <v>2009</v>
      </c>
      <c r="AV153" s="2"/>
      <c r="AW153" s="2"/>
      <c r="AX153" s="2"/>
      <c r="AY153" s="2"/>
      <c r="AZ153" s="1"/>
      <c r="BA153" s="2"/>
      <c r="BB153" s="3">
        <v>611</v>
      </c>
      <c r="BC153" s="3">
        <v>620</v>
      </c>
      <c r="BD153" s="2"/>
      <c r="BE153" s="1"/>
      <c r="BF153" s="1"/>
      <c r="BG153" s="1"/>
      <c r="BH153" s="1"/>
      <c r="BI153" s="1"/>
      <c r="BJ153" s="1"/>
      <c r="BK153" s="1"/>
      <c r="BL153" s="1"/>
      <c r="BM153" s="1"/>
      <c r="BN153" s="2"/>
      <c r="BO153" s="1"/>
      <c r="BP153" s="1"/>
      <c r="BQ153" s="1"/>
      <c r="BR153" s="1"/>
      <c r="BS153" s="1" t="s">
        <v>1533</v>
      </c>
      <c r="BT153" s="5">
        <f>HYPERLINK("https%3A%2F%2Fwww.webofscience.com%2Fwos%2Fwoscc%2Ffull-record%2FWOS:000266546900077","View Full Record in Web of Science")</f>
      </c>
    </row>
    <row x14ac:dyDescent="0.25" r="154" customHeight="1" ht="12.75">
      <c r="A154" s="1" t="s">
        <v>72</v>
      </c>
      <c r="B154" s="1" t="s">
        <v>1534</v>
      </c>
      <c r="C154" s="1"/>
      <c r="D154" s="1"/>
      <c r="E154" s="1"/>
      <c r="F154" s="1" t="s">
        <v>1535</v>
      </c>
      <c r="G154" s="1"/>
      <c r="H154" s="1"/>
      <c r="I154" s="1" t="s">
        <v>1536</v>
      </c>
      <c r="J154" s="1" t="s">
        <v>1537</v>
      </c>
      <c r="K154" s="1"/>
      <c r="L154" s="1"/>
      <c r="M154" s="1"/>
      <c r="N154" s="1"/>
      <c r="O154" s="1"/>
      <c r="P154" s="2"/>
      <c r="Q154" s="1"/>
      <c r="R154" s="1"/>
      <c r="S154" s="1"/>
      <c r="T154" s="1"/>
      <c r="U154" s="1"/>
      <c r="V154" s="1" t="s">
        <v>1538</v>
      </c>
      <c r="W154" s="1"/>
      <c r="X154" s="1"/>
      <c r="Y154" s="1"/>
      <c r="Z154" s="1"/>
      <c r="AA154" s="1" t="s">
        <v>1539</v>
      </c>
      <c r="AB154" s="1" t="s">
        <v>1540</v>
      </c>
      <c r="AC154" s="1"/>
      <c r="AD154" s="1"/>
      <c r="AE154" s="1"/>
      <c r="AF154" s="1"/>
      <c r="AG154" s="1"/>
      <c r="AH154" s="1"/>
      <c r="AI154" s="1"/>
      <c r="AJ154" s="1"/>
      <c r="AK154" s="1"/>
      <c r="AL154" s="1"/>
      <c r="AM154" s="1"/>
      <c r="AN154" s="1"/>
      <c r="AO154" s="1" t="s">
        <v>1541</v>
      </c>
      <c r="AP154" s="1" t="s">
        <v>1542</v>
      </c>
      <c r="AQ154" s="1"/>
      <c r="AR154" s="1"/>
      <c r="AS154" s="1"/>
      <c r="AT154" s="1" t="s">
        <v>204</v>
      </c>
      <c r="AU154" s="3">
        <v>2008</v>
      </c>
      <c r="AV154" s="3">
        <v>16</v>
      </c>
      <c r="AW154" s="3">
        <v>4</v>
      </c>
      <c r="AX154" s="2"/>
      <c r="AY154" s="2"/>
      <c r="AZ154" s="1"/>
      <c r="BA154" s="2"/>
      <c r="BB154" s="3">
        <v>308</v>
      </c>
      <c r="BC154" s="3">
        <v>319</v>
      </c>
      <c r="BD154" s="2"/>
      <c r="BE154" s="1" t="s">
        <v>1543</v>
      </c>
      <c r="BF154" s="4">
        <f>HYPERLINK("http://dx.doi.org/10.1111/j.1745-4581.2008.00137.x","http://dx.doi.org/10.1111/j.1745-4581.2008.00137.x")</f>
      </c>
      <c r="BG154" s="1"/>
      <c r="BH154" s="1"/>
      <c r="BI154" s="1"/>
      <c r="BJ154" s="1"/>
      <c r="BK154" s="1"/>
      <c r="BL154" s="1"/>
      <c r="BM154" s="1"/>
      <c r="BN154" s="2"/>
      <c r="BO154" s="1"/>
      <c r="BP154" s="1"/>
      <c r="BQ154" s="1"/>
      <c r="BR154" s="1"/>
      <c r="BS154" s="1" t="s">
        <v>1544</v>
      </c>
      <c r="BT154" s="5">
        <f>HYPERLINK("https%3A%2F%2Fwww.webofscience.com%2Fwos%2Fwoscc%2Ffull-record%2FWOS:000261365100004","View Full Record in Web of Science")</f>
      </c>
    </row>
    <row x14ac:dyDescent="0.25" r="155" customHeight="1" ht="12.75">
      <c r="A155" s="1" t="s">
        <v>72</v>
      </c>
      <c r="B155" s="1" t="s">
        <v>1545</v>
      </c>
      <c r="C155" s="1"/>
      <c r="D155" s="1"/>
      <c r="E155" s="1"/>
      <c r="F155" s="1" t="s">
        <v>1546</v>
      </c>
      <c r="G155" s="1"/>
      <c r="H155" s="1"/>
      <c r="I155" s="1" t="s">
        <v>1547</v>
      </c>
      <c r="J155" s="1" t="s">
        <v>1548</v>
      </c>
      <c r="K155" s="1"/>
      <c r="L155" s="1"/>
      <c r="M155" s="1"/>
      <c r="N155" s="1"/>
      <c r="O155" s="1"/>
      <c r="P155" s="2"/>
      <c r="Q155" s="1"/>
      <c r="R155" s="1"/>
      <c r="S155" s="1"/>
      <c r="T155" s="1"/>
      <c r="U155" s="1"/>
      <c r="V155" s="1" t="s">
        <v>1549</v>
      </c>
      <c r="W155" s="1"/>
      <c r="X155" s="1"/>
      <c r="Y155" s="1"/>
      <c r="Z155" s="1"/>
      <c r="AA155" s="1" t="s">
        <v>1550</v>
      </c>
      <c r="AB155" s="1" t="s">
        <v>1551</v>
      </c>
      <c r="AC155" s="1"/>
      <c r="AD155" s="1"/>
      <c r="AE155" s="1"/>
      <c r="AF155" s="1"/>
      <c r="AG155" s="1"/>
      <c r="AH155" s="1"/>
      <c r="AI155" s="1"/>
      <c r="AJ155" s="1"/>
      <c r="AK155" s="1"/>
      <c r="AL155" s="1"/>
      <c r="AM155" s="1"/>
      <c r="AN155" s="1"/>
      <c r="AO155" s="1" t="s">
        <v>1552</v>
      </c>
      <c r="AP155" s="1" t="s">
        <v>1553</v>
      </c>
      <c r="AQ155" s="1"/>
      <c r="AR155" s="1"/>
      <c r="AS155" s="1"/>
      <c r="AT155" s="1" t="s">
        <v>204</v>
      </c>
      <c r="AU155" s="3">
        <v>2008</v>
      </c>
      <c r="AV155" s="3">
        <v>78</v>
      </c>
      <c r="AW155" s="3">
        <v>6</v>
      </c>
      <c r="AX155" s="3">
        <v>1</v>
      </c>
      <c r="AY155" s="2"/>
      <c r="AZ155" s="1"/>
      <c r="BA155" s="2"/>
      <c r="BB155" s="2"/>
      <c r="BC155" s="2"/>
      <c r="BD155" s="3">
        <v>61134</v>
      </c>
      <c r="BE155" s="1" t="s">
        <v>1554</v>
      </c>
      <c r="BF155" s="4">
        <f>HYPERLINK("http://dx.doi.org/10.1103/PhysRevE.78.061134","http://dx.doi.org/10.1103/PhysRevE.78.061134")</f>
      </c>
      <c r="BG155" s="1"/>
      <c r="BH155" s="1"/>
      <c r="BI155" s="1"/>
      <c r="BJ155" s="1"/>
      <c r="BK155" s="1"/>
      <c r="BL155" s="1"/>
      <c r="BM155" s="1"/>
      <c r="BN155" s="3">
        <v>19256829</v>
      </c>
      <c r="BO155" s="1"/>
      <c r="BP155" s="1"/>
      <c r="BQ155" s="1"/>
      <c r="BR155" s="1"/>
      <c r="BS155" s="1" t="s">
        <v>1555</v>
      </c>
      <c r="BT155" s="5">
        <f>HYPERLINK("https%3A%2F%2Fwww.webofscience.com%2Fwos%2Fwoscc%2Ffull-record%2FWOS:000262240300046","View Full Record in Web of Science")</f>
      </c>
    </row>
    <row x14ac:dyDescent="0.25" r="156" customHeight="1" ht="12.75">
      <c r="A156" s="1" t="s">
        <v>72</v>
      </c>
      <c r="B156" s="1" t="s">
        <v>1556</v>
      </c>
      <c r="C156" s="1"/>
      <c r="D156" s="1"/>
      <c r="E156" s="1"/>
      <c r="F156" s="1" t="s">
        <v>1557</v>
      </c>
      <c r="G156" s="1"/>
      <c r="H156" s="1"/>
      <c r="I156" s="1" t="s">
        <v>1558</v>
      </c>
      <c r="J156" s="1" t="s">
        <v>1559</v>
      </c>
      <c r="K156" s="1"/>
      <c r="L156" s="1"/>
      <c r="M156" s="1"/>
      <c r="N156" s="1"/>
      <c r="O156" s="1"/>
      <c r="P156" s="2"/>
      <c r="Q156" s="1"/>
      <c r="R156" s="1"/>
      <c r="S156" s="1"/>
      <c r="T156" s="1"/>
      <c r="U156" s="1"/>
      <c r="V156" s="1" t="s">
        <v>1560</v>
      </c>
      <c r="W156" s="1"/>
      <c r="X156" s="1"/>
      <c r="Y156" s="1"/>
      <c r="Z156" s="1"/>
      <c r="AA156" s="1" t="s">
        <v>1561</v>
      </c>
      <c r="AB156" s="1" t="s">
        <v>1562</v>
      </c>
      <c r="AC156" s="1"/>
      <c r="AD156" s="1"/>
      <c r="AE156" s="1"/>
      <c r="AF156" s="1"/>
      <c r="AG156" s="1"/>
      <c r="AH156" s="1"/>
      <c r="AI156" s="1"/>
      <c r="AJ156" s="1"/>
      <c r="AK156" s="1"/>
      <c r="AL156" s="1"/>
      <c r="AM156" s="1"/>
      <c r="AN156" s="1"/>
      <c r="AO156" s="1" t="s">
        <v>1563</v>
      </c>
      <c r="AP156" s="1" t="s">
        <v>1564</v>
      </c>
      <c r="AQ156" s="1"/>
      <c r="AR156" s="1"/>
      <c r="AS156" s="1"/>
      <c r="AT156" s="1"/>
      <c r="AU156" s="3">
        <v>2008</v>
      </c>
      <c r="AV156" s="3">
        <v>77</v>
      </c>
      <c r="AW156" s="3">
        <v>2</v>
      </c>
      <c r="AX156" s="2"/>
      <c r="AY156" s="2"/>
      <c r="AZ156" s="1"/>
      <c r="BA156" s="2"/>
      <c r="BB156" s="3">
        <v>441</v>
      </c>
      <c r="BC156" s="3">
        <v>445</v>
      </c>
      <c r="BD156" s="2"/>
      <c r="BE156" s="1" t="s">
        <v>1565</v>
      </c>
      <c r="BF156" s="4">
        <f>HYPERLINK("http://dx.doi.org/10.1016/j.dyepig.2007.07.011","http://dx.doi.org/10.1016/j.dyepig.2007.07.011")</f>
      </c>
      <c r="BG156" s="1"/>
      <c r="BH156" s="1"/>
      <c r="BI156" s="1"/>
      <c r="BJ156" s="1"/>
      <c r="BK156" s="1"/>
      <c r="BL156" s="1"/>
      <c r="BM156" s="1"/>
      <c r="BN156" s="2"/>
      <c r="BO156" s="1"/>
      <c r="BP156" s="1"/>
      <c r="BQ156" s="1"/>
      <c r="BR156" s="1"/>
      <c r="BS156" s="1" t="s">
        <v>1566</v>
      </c>
      <c r="BT156" s="5">
        <f>HYPERLINK("https%3A%2F%2Fwww.webofscience.com%2Fwos%2Fwoscc%2Ffull-record%2FWOS:000251488600027","View Full Record in Web of Science")</f>
      </c>
    </row>
    <row x14ac:dyDescent="0.25" r="157" customHeight="1" ht="12.75">
      <c r="A157" s="1" t="s">
        <v>72</v>
      </c>
      <c r="B157" s="1" t="s">
        <v>1567</v>
      </c>
      <c r="C157" s="1"/>
      <c r="D157" s="1"/>
      <c r="E157" s="1"/>
      <c r="F157" s="1" t="s">
        <v>1568</v>
      </c>
      <c r="G157" s="1"/>
      <c r="H157" s="1"/>
      <c r="I157" s="1" t="s">
        <v>1569</v>
      </c>
      <c r="J157" s="1" t="s">
        <v>1570</v>
      </c>
      <c r="K157" s="1"/>
      <c r="L157" s="1"/>
      <c r="M157" s="1"/>
      <c r="N157" s="1"/>
      <c r="O157" s="1"/>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t="s">
        <v>1571</v>
      </c>
      <c r="AP157" s="1" t="s">
        <v>1572</v>
      </c>
      <c r="AQ157" s="1"/>
      <c r="AR157" s="1"/>
      <c r="AS157" s="1"/>
      <c r="AT157" s="1" t="s">
        <v>204</v>
      </c>
      <c r="AU157" s="3">
        <v>2007</v>
      </c>
      <c r="AV157" s="3">
        <v>22</v>
      </c>
      <c r="AW157" s="3">
        <v>10</v>
      </c>
      <c r="AX157" s="2"/>
      <c r="AY157" s="2"/>
      <c r="AZ157" s="1"/>
      <c r="BA157" s="2"/>
      <c r="BB157" s="3">
        <v>915</v>
      </c>
      <c r="BC157" s="3">
        <v>916</v>
      </c>
      <c r="BD157" s="2"/>
      <c r="BE157" s="1"/>
      <c r="BF157" s="1"/>
      <c r="BG157" s="1"/>
      <c r="BH157" s="1"/>
      <c r="BI157" s="1"/>
      <c r="BJ157" s="1"/>
      <c r="BK157" s="1"/>
      <c r="BL157" s="1"/>
      <c r="BM157" s="1"/>
      <c r="BN157" s="3">
        <v>18040909</v>
      </c>
      <c r="BO157" s="1"/>
      <c r="BP157" s="1"/>
      <c r="BQ157" s="1"/>
      <c r="BR157" s="1"/>
      <c r="BS157" s="1" t="s">
        <v>1573</v>
      </c>
      <c r="BT157" s="5">
        <f>HYPERLINK("https%3A%2F%2Fwww.webofscience.com%2Fwos%2Fwoscc%2Ffull-record%2FWOS:000252672600011","View Full Record in Web of Science")</f>
      </c>
    </row>
    <row x14ac:dyDescent="0.25" r="158" customHeight="1" ht="12.75">
      <c r="A158" s="1" t="s">
        <v>72</v>
      </c>
      <c r="B158" s="1" t="s">
        <v>1574</v>
      </c>
      <c r="C158" s="1"/>
      <c r="D158" s="1"/>
      <c r="E158" s="1"/>
      <c r="F158" s="1" t="s">
        <v>1575</v>
      </c>
      <c r="G158" s="1"/>
      <c r="H158" s="1"/>
      <c r="I158" s="1" t="s">
        <v>1576</v>
      </c>
      <c r="J158" s="1" t="s">
        <v>1577</v>
      </c>
      <c r="K158" s="1"/>
      <c r="L158" s="1"/>
      <c r="M158" s="1"/>
      <c r="N158" s="1"/>
      <c r="O158" s="1" t="s">
        <v>1578</v>
      </c>
      <c r="P158" s="2" t="s">
        <v>1579</v>
      </c>
      <c r="Q158" s="1" t="s">
        <v>1580</v>
      </c>
      <c r="R158" s="1" t="s">
        <v>1581</v>
      </c>
      <c r="S158" s="1"/>
      <c r="T158" s="1"/>
      <c r="U158" s="1"/>
      <c r="V158" s="1"/>
      <c r="W158" s="1"/>
      <c r="X158" s="1"/>
      <c r="Y158" s="1"/>
      <c r="Z158" s="1"/>
      <c r="AA158" s="1"/>
      <c r="AB158" s="1"/>
      <c r="AC158" s="1"/>
      <c r="AD158" s="1"/>
      <c r="AE158" s="1"/>
      <c r="AF158" s="1"/>
      <c r="AG158" s="1"/>
      <c r="AH158" s="1"/>
      <c r="AI158" s="1"/>
      <c r="AJ158" s="1"/>
      <c r="AK158" s="1"/>
      <c r="AL158" s="1"/>
      <c r="AM158" s="1"/>
      <c r="AN158" s="1"/>
      <c r="AO158" s="1" t="s">
        <v>1582</v>
      </c>
      <c r="AP158" s="1"/>
      <c r="AQ158" s="1"/>
      <c r="AR158" s="1"/>
      <c r="AS158" s="1"/>
      <c r="AT158" s="1"/>
      <c r="AU158" s="3">
        <v>2007</v>
      </c>
      <c r="AV158" s="3">
        <v>272</v>
      </c>
      <c r="AW158" s="2"/>
      <c r="AX158" s="2"/>
      <c r="AY158" s="3">
        <v>1</v>
      </c>
      <c r="AZ158" s="1"/>
      <c r="BA158" s="2"/>
      <c r="BB158" s="2" t="s">
        <v>1583</v>
      </c>
      <c r="BC158" s="2" t="s">
        <v>1584</v>
      </c>
      <c r="BD158" s="2"/>
      <c r="BE158" s="1" t="s">
        <v>1585</v>
      </c>
      <c r="BF158" s="4">
        <f>HYPERLINK("http://dx.doi.org/10.1016/j.aquaculture.2007.07.196","http://dx.doi.org/10.1016/j.aquaculture.2007.07.196")</f>
      </c>
      <c r="BG158" s="1"/>
      <c r="BH158" s="1"/>
      <c r="BI158" s="1"/>
      <c r="BJ158" s="1"/>
      <c r="BK158" s="1"/>
      <c r="BL158" s="1"/>
      <c r="BM158" s="1"/>
      <c r="BN158" s="2"/>
      <c r="BO158" s="1"/>
      <c r="BP158" s="1"/>
      <c r="BQ158" s="1"/>
      <c r="BR158" s="1"/>
      <c r="BS158" s="1" t="s">
        <v>1586</v>
      </c>
      <c r="BT158" s="5">
        <f>HYPERLINK("https%3A%2F%2Fwww.webofscience.com%2Fwos%2Fwoscc%2Ffull-record%2FWOS:000252083500206","View Full Record in Web of Science")</f>
      </c>
    </row>
    <row x14ac:dyDescent="0.25" r="159" customHeight="1" ht="12.75">
      <c r="A159" s="1" t="s">
        <v>72</v>
      </c>
      <c r="B159" s="1" t="s">
        <v>1587</v>
      </c>
      <c r="C159" s="1"/>
      <c r="D159" s="1"/>
      <c r="E159" s="1"/>
      <c r="F159" s="1" t="s">
        <v>1588</v>
      </c>
      <c r="G159" s="1"/>
      <c r="H159" s="1"/>
      <c r="I159" s="1" t="s">
        <v>1589</v>
      </c>
      <c r="J159" s="1" t="s">
        <v>458</v>
      </c>
      <c r="K159" s="1"/>
      <c r="L159" s="1"/>
      <c r="M159" s="1"/>
      <c r="N159" s="1"/>
      <c r="O159" s="1"/>
      <c r="P159" s="2"/>
      <c r="Q159" s="1"/>
      <c r="R159" s="1"/>
      <c r="S159" s="1"/>
      <c r="T159" s="1"/>
      <c r="U159" s="1"/>
      <c r="V159" s="1" t="s">
        <v>1590</v>
      </c>
      <c r="W159" s="1"/>
      <c r="X159" s="1"/>
      <c r="Y159" s="1"/>
      <c r="Z159" s="1"/>
      <c r="AA159" s="1" t="s">
        <v>1591</v>
      </c>
      <c r="AB159" s="1"/>
      <c r="AC159" s="1"/>
      <c r="AD159" s="1"/>
      <c r="AE159" s="1"/>
      <c r="AF159" s="1"/>
      <c r="AG159" s="1"/>
      <c r="AH159" s="1"/>
      <c r="AI159" s="1"/>
      <c r="AJ159" s="1"/>
      <c r="AK159" s="1"/>
      <c r="AL159" s="1"/>
      <c r="AM159" s="1"/>
      <c r="AN159" s="1"/>
      <c r="AO159" s="1" t="s">
        <v>462</v>
      </c>
      <c r="AP159" s="1" t="s">
        <v>463</v>
      </c>
      <c r="AQ159" s="1"/>
      <c r="AR159" s="1"/>
      <c r="AS159" s="1"/>
      <c r="AT159" s="1" t="s">
        <v>1592</v>
      </c>
      <c r="AU159" s="3">
        <v>2006</v>
      </c>
      <c r="AV159" s="3">
        <v>23</v>
      </c>
      <c r="AW159" s="3">
        <v>3</v>
      </c>
      <c r="AX159" s="2"/>
      <c r="AY159" s="2"/>
      <c r="AZ159" s="1"/>
      <c r="BA159" s="2"/>
      <c r="BB159" s="3">
        <v>281</v>
      </c>
      <c r="BC159" s="3">
        <v>290</v>
      </c>
      <c r="BD159" s="2"/>
      <c r="BE159" s="1" t="s">
        <v>1593</v>
      </c>
      <c r="BF159" s="4">
        <f>HYPERLINK("http://dx.doi.org/10.1590/S0104-66322006000300002","http://dx.doi.org/10.1590/S0104-66322006000300002")</f>
      </c>
      <c r="BG159" s="1"/>
      <c r="BH159" s="1"/>
      <c r="BI159" s="1"/>
      <c r="BJ159" s="1"/>
      <c r="BK159" s="1"/>
      <c r="BL159" s="1"/>
      <c r="BM159" s="1"/>
      <c r="BN159" s="2"/>
      <c r="BO159" s="1"/>
      <c r="BP159" s="1"/>
      <c r="BQ159" s="1"/>
      <c r="BR159" s="1"/>
      <c r="BS159" s="1" t="s">
        <v>1594</v>
      </c>
      <c r="BT159" s="5">
        <f>HYPERLINK("https%3A%2F%2Fwww.webofscience.com%2Fwos%2Fwoscc%2Ffull-record%2FWOS:000239563800002","View Full Record in Web of Science")</f>
      </c>
    </row>
    <row x14ac:dyDescent="0.25" r="160" customHeight="1" ht="12.75">
      <c r="A160" s="1" t="s">
        <v>72</v>
      </c>
      <c r="B160" s="1" t="s">
        <v>1595</v>
      </c>
      <c r="C160" s="1"/>
      <c r="D160" s="1"/>
      <c r="E160" s="1"/>
      <c r="F160" s="1" t="s">
        <v>1595</v>
      </c>
      <c r="G160" s="1"/>
      <c r="H160" s="1"/>
      <c r="I160" s="1" t="s">
        <v>1596</v>
      </c>
      <c r="J160" s="1" t="s">
        <v>1597</v>
      </c>
      <c r="K160" s="1"/>
      <c r="L160" s="1"/>
      <c r="M160" s="1"/>
      <c r="N160" s="1"/>
      <c r="O160" s="1" t="s">
        <v>1598</v>
      </c>
      <c r="P160" s="2" t="s">
        <v>1599</v>
      </c>
      <c r="Q160" s="1" t="s">
        <v>1600</v>
      </c>
      <c r="R160" s="1"/>
      <c r="S160" s="1" t="s">
        <v>1601</v>
      </c>
      <c r="T160" s="1"/>
      <c r="U160" s="1"/>
      <c r="V160" s="1" t="s">
        <v>1602</v>
      </c>
      <c r="W160" s="1"/>
      <c r="X160" s="1"/>
      <c r="Y160" s="1"/>
      <c r="Z160" s="1"/>
      <c r="AA160" s="1"/>
      <c r="AB160" s="1" t="s">
        <v>1603</v>
      </c>
      <c r="AC160" s="1"/>
      <c r="AD160" s="1"/>
      <c r="AE160" s="1"/>
      <c r="AF160" s="1"/>
      <c r="AG160" s="1"/>
      <c r="AH160" s="1"/>
      <c r="AI160" s="1"/>
      <c r="AJ160" s="1"/>
      <c r="AK160" s="1"/>
      <c r="AL160" s="1"/>
      <c r="AM160" s="1"/>
      <c r="AN160" s="1"/>
      <c r="AO160" s="1" t="s">
        <v>1604</v>
      </c>
      <c r="AP160" s="1"/>
      <c r="AQ160" s="1"/>
      <c r="AR160" s="1"/>
      <c r="AS160" s="1"/>
      <c r="AT160" s="1" t="s">
        <v>683</v>
      </c>
      <c r="AU160" s="3">
        <v>2006</v>
      </c>
      <c r="AV160" s="3">
        <v>101</v>
      </c>
      <c r="AW160" s="3">
        <v>1</v>
      </c>
      <c r="AX160" s="2"/>
      <c r="AY160" s="2"/>
      <c r="AZ160" s="1"/>
      <c r="BA160" s="2"/>
      <c r="BB160" s="3">
        <v>150</v>
      </c>
      <c r="BC160" s="3">
        <v>158</v>
      </c>
      <c r="BD160" s="2"/>
      <c r="BE160" s="1" t="s">
        <v>1605</v>
      </c>
      <c r="BF160" s="4">
        <f>HYPERLINK("http://dx.doi.org/10.1016/j.ijpe.2005.05.012","http://dx.doi.org/10.1016/j.ijpe.2005.05.012")</f>
      </c>
      <c r="BG160" s="1"/>
      <c r="BH160" s="1"/>
      <c r="BI160" s="1"/>
      <c r="BJ160" s="1"/>
      <c r="BK160" s="1"/>
      <c r="BL160" s="1"/>
      <c r="BM160" s="1"/>
      <c r="BN160" s="2"/>
      <c r="BO160" s="1"/>
      <c r="BP160" s="1"/>
      <c r="BQ160" s="1"/>
      <c r="BR160" s="1"/>
      <c r="BS160" s="1" t="s">
        <v>1606</v>
      </c>
      <c r="BT160" s="5">
        <f>HYPERLINK("https%3A%2F%2Fwww.webofscience.com%2Fwos%2Fwoscc%2Ffull-record%2FWOS:000234645400012","View Full Record in Web of Science")</f>
      </c>
    </row>
    <row x14ac:dyDescent="0.25" r="161" customHeight="1" ht="12.75">
      <c r="A161" s="1" t="s">
        <v>72</v>
      </c>
      <c r="B161" s="1" t="s">
        <v>1607</v>
      </c>
      <c r="C161" s="1"/>
      <c r="D161" s="1"/>
      <c r="E161" s="1"/>
      <c r="F161" s="1" t="s">
        <v>1607</v>
      </c>
      <c r="G161" s="1"/>
      <c r="H161" s="1"/>
      <c r="I161" s="1" t="s">
        <v>1608</v>
      </c>
      <c r="J161" s="1" t="s">
        <v>1609</v>
      </c>
      <c r="K161" s="1"/>
      <c r="L161" s="1"/>
      <c r="M161" s="1"/>
      <c r="N161" s="1"/>
      <c r="O161" s="1"/>
      <c r="P161" s="2"/>
      <c r="Q161" s="1"/>
      <c r="R161" s="1"/>
      <c r="S161" s="1"/>
      <c r="T161" s="1"/>
      <c r="U161" s="1"/>
      <c r="V161" s="1"/>
      <c r="W161" s="1"/>
      <c r="X161" s="1"/>
      <c r="Y161" s="1"/>
      <c r="Z161" s="1"/>
      <c r="AA161" s="1"/>
      <c r="AB161" s="1" t="s">
        <v>1610</v>
      </c>
      <c r="AC161" s="1"/>
      <c r="AD161" s="1"/>
      <c r="AE161" s="1"/>
      <c r="AF161" s="1"/>
      <c r="AG161" s="1"/>
      <c r="AH161" s="1"/>
      <c r="AI161" s="1"/>
      <c r="AJ161" s="1"/>
      <c r="AK161" s="1"/>
      <c r="AL161" s="1"/>
      <c r="AM161" s="1"/>
      <c r="AN161" s="1"/>
      <c r="AO161" s="1" t="s">
        <v>1611</v>
      </c>
      <c r="AP161" s="1" t="s">
        <v>1612</v>
      </c>
      <c r="AQ161" s="1"/>
      <c r="AR161" s="1"/>
      <c r="AS161" s="1"/>
      <c r="AT161" s="1" t="s">
        <v>567</v>
      </c>
      <c r="AU161" s="3">
        <v>2006</v>
      </c>
      <c r="AV161" s="3">
        <v>34</v>
      </c>
      <c r="AW161" s="3">
        <v>4</v>
      </c>
      <c r="AX161" s="2"/>
      <c r="AY161" s="2"/>
      <c r="AZ161" s="1"/>
      <c r="BA161" s="2"/>
      <c r="BB161" s="3">
        <v>338</v>
      </c>
      <c r="BC161" s="3">
        <v>340</v>
      </c>
      <c r="BD161" s="2"/>
      <c r="BE161" s="1" t="s">
        <v>1613</v>
      </c>
      <c r="BF161" s="4">
        <f>HYPERLINK("http://dx.doi.org/10.1016/j.bse.2005.12.001","http://dx.doi.org/10.1016/j.bse.2005.12.001")</f>
      </c>
      <c r="BG161" s="1"/>
      <c r="BH161" s="1"/>
      <c r="BI161" s="1"/>
      <c r="BJ161" s="1"/>
      <c r="BK161" s="1"/>
      <c r="BL161" s="1"/>
      <c r="BM161" s="1"/>
      <c r="BN161" s="2"/>
      <c r="BO161" s="1"/>
      <c r="BP161" s="1"/>
      <c r="BQ161" s="1"/>
      <c r="BR161" s="1"/>
      <c r="BS161" s="1" t="s">
        <v>1614</v>
      </c>
      <c r="BT161" s="5">
        <f>HYPERLINK("https%3A%2F%2Fwww.webofscience.com%2Fwos%2Fwoscc%2Ffull-record%2FWOS:000236563400008","View Full Record in Web of Science")</f>
      </c>
    </row>
    <row x14ac:dyDescent="0.25" r="162" customHeight="1" ht="12.75">
      <c r="A162" s="1" t="s">
        <v>303</v>
      </c>
      <c r="B162" s="1" t="s">
        <v>1615</v>
      </c>
      <c r="C162" s="1"/>
      <c r="D162" s="1" t="s">
        <v>1616</v>
      </c>
      <c r="E162" s="1"/>
      <c r="F162" s="1" t="s">
        <v>1617</v>
      </c>
      <c r="G162" s="1"/>
      <c r="H162" s="1"/>
      <c r="I162" s="1" t="s">
        <v>1618</v>
      </c>
      <c r="J162" s="1" t="s">
        <v>1619</v>
      </c>
      <c r="K162" s="1" t="s">
        <v>1620</v>
      </c>
      <c r="L162" s="1"/>
      <c r="M162" s="1"/>
      <c r="N162" s="1"/>
      <c r="O162" s="1" t="s">
        <v>1621</v>
      </c>
      <c r="P162" s="3">
        <v>2005</v>
      </c>
      <c r="Q162" s="1" t="s">
        <v>1622</v>
      </c>
      <c r="R162" s="1" t="s">
        <v>1623</v>
      </c>
      <c r="S162" s="1" t="s">
        <v>1624</v>
      </c>
      <c r="T162" s="1"/>
      <c r="U162" s="1"/>
      <c r="V162" s="1" t="s">
        <v>1625</v>
      </c>
      <c r="W162" s="1"/>
      <c r="X162" s="1"/>
      <c r="Y162" s="1"/>
      <c r="Z162" s="1"/>
      <c r="AA162" s="1" t="s">
        <v>1626</v>
      </c>
      <c r="AB162" s="1" t="s">
        <v>1627</v>
      </c>
      <c r="AC162" s="1"/>
      <c r="AD162" s="1"/>
      <c r="AE162" s="1"/>
      <c r="AF162" s="1"/>
      <c r="AG162" s="1"/>
      <c r="AH162" s="1"/>
      <c r="AI162" s="1"/>
      <c r="AJ162" s="1"/>
      <c r="AK162" s="1"/>
      <c r="AL162" s="1"/>
      <c r="AM162" s="1"/>
      <c r="AN162" s="1"/>
      <c r="AO162" s="1" t="s">
        <v>1628</v>
      </c>
      <c r="AP162" s="1"/>
      <c r="AQ162" s="1" t="s">
        <v>1629</v>
      </c>
      <c r="AR162" s="1"/>
      <c r="AS162" s="1"/>
      <c r="AT162" s="1"/>
      <c r="AU162" s="3">
        <v>2006</v>
      </c>
      <c r="AV162" s="3">
        <v>86</v>
      </c>
      <c r="AW162" s="2"/>
      <c r="AX162" s="2"/>
      <c r="AY162" s="2"/>
      <c r="AZ162" s="1"/>
      <c r="BA162" s="2"/>
      <c r="BB162" s="3">
        <v>95</v>
      </c>
      <c r="BC162" s="2" t="s">
        <v>1630</v>
      </c>
      <c r="BD162" s="2"/>
      <c r="BE162" s="1" t="s">
        <v>1631</v>
      </c>
      <c r="BF162" s="4">
        <f>HYPERLINK("http://dx.doi.org/10.2495/AIR06010","http://dx.doi.org/10.2495/AIR06010")</f>
      </c>
      <c r="BG162" s="1"/>
      <c r="BH162" s="1"/>
      <c r="BI162" s="1"/>
      <c r="BJ162" s="1"/>
      <c r="BK162" s="1"/>
      <c r="BL162" s="1"/>
      <c r="BM162" s="1"/>
      <c r="BN162" s="2"/>
      <c r="BO162" s="1"/>
      <c r="BP162" s="1"/>
      <c r="BQ162" s="1"/>
      <c r="BR162" s="1"/>
      <c r="BS162" s="1" t="s">
        <v>1632</v>
      </c>
      <c r="BT162" s="5">
        <f>HYPERLINK("https%3A%2F%2Fwww.webofscience.com%2Fwos%2Fwoscc%2Ffull-record%2FWOS:000238644700010","View Full Record in Web of Science")</f>
      </c>
    </row>
    <row x14ac:dyDescent="0.25" r="163" customHeight="1" ht="12.75">
      <c r="A163" s="1" t="s">
        <v>72</v>
      </c>
      <c r="B163" s="1" t="s">
        <v>1633</v>
      </c>
      <c r="C163" s="1"/>
      <c r="D163" s="1"/>
      <c r="E163" s="1"/>
      <c r="F163" s="1" t="s">
        <v>1634</v>
      </c>
      <c r="G163" s="1"/>
      <c r="H163" s="1"/>
      <c r="I163" s="1" t="s">
        <v>1635</v>
      </c>
      <c r="J163" s="1" t="s">
        <v>1636</v>
      </c>
      <c r="K163" s="1"/>
      <c r="L163" s="1"/>
      <c r="M163" s="1"/>
      <c r="N163" s="1"/>
      <c r="O163" s="1"/>
      <c r="P163" s="2"/>
      <c r="Q163" s="1"/>
      <c r="R163" s="1"/>
      <c r="S163" s="1"/>
      <c r="T163" s="1"/>
      <c r="U163" s="1"/>
      <c r="V163" s="1" t="s">
        <v>1637</v>
      </c>
      <c r="W163" s="1"/>
      <c r="X163" s="1"/>
      <c r="Y163" s="1"/>
      <c r="Z163" s="1"/>
      <c r="AA163" s="1"/>
      <c r="AB163" s="1"/>
      <c r="AC163" s="1"/>
      <c r="AD163" s="1"/>
      <c r="AE163" s="1"/>
      <c r="AF163" s="1"/>
      <c r="AG163" s="1"/>
      <c r="AH163" s="1"/>
      <c r="AI163" s="1"/>
      <c r="AJ163" s="1"/>
      <c r="AK163" s="1"/>
      <c r="AL163" s="1"/>
      <c r="AM163" s="1"/>
      <c r="AN163" s="1"/>
      <c r="AO163" s="1" t="s">
        <v>1638</v>
      </c>
      <c r="AP163" s="1"/>
      <c r="AQ163" s="1"/>
      <c r="AR163" s="1"/>
      <c r="AS163" s="1"/>
      <c r="AT163" s="1"/>
      <c r="AU163" s="3">
        <v>2006</v>
      </c>
      <c r="AV163" s="3">
        <v>35</v>
      </c>
      <c r="AW163" s="2" t="s">
        <v>1639</v>
      </c>
      <c r="AX163" s="2"/>
      <c r="AY163" s="2"/>
      <c r="AZ163" s="1"/>
      <c r="BA163" s="2"/>
      <c r="BB163" s="3">
        <v>680</v>
      </c>
      <c r="BC163" s="3">
        <v>687</v>
      </c>
      <c r="BD163" s="2"/>
      <c r="BE163" s="1" t="s">
        <v>1640</v>
      </c>
      <c r="BF163" s="4">
        <f>HYPERLINK("http://dx.doi.org/10.1108/03684920610662395","http://dx.doi.org/10.1108/03684920610662395")</f>
      </c>
      <c r="BG163" s="1"/>
      <c r="BH163" s="1"/>
      <c r="BI163" s="1"/>
      <c r="BJ163" s="1"/>
      <c r="BK163" s="1"/>
      <c r="BL163" s="1"/>
      <c r="BM163" s="1"/>
      <c r="BN163" s="2"/>
      <c r="BO163" s="1"/>
      <c r="BP163" s="1"/>
      <c r="BQ163" s="1"/>
      <c r="BR163" s="1"/>
      <c r="BS163" s="1" t="s">
        <v>1641</v>
      </c>
      <c r="BT163" s="5">
        <f>HYPERLINK("https%3A%2F%2Fwww.webofscience.com%2Fwos%2Fwoscc%2Ffull-record%2FWOS:000238997900006","View Full Record in Web of Science")</f>
      </c>
    </row>
    <row x14ac:dyDescent="0.25" r="164" customHeight="1" ht="12.75">
      <c r="A164" s="1" t="s">
        <v>72</v>
      </c>
      <c r="B164" s="1" t="s">
        <v>1642</v>
      </c>
      <c r="C164" s="1"/>
      <c r="D164" s="1"/>
      <c r="E164" s="1"/>
      <c r="F164" s="1" t="s">
        <v>1642</v>
      </c>
      <c r="G164" s="1"/>
      <c r="H164" s="1"/>
      <c r="I164" s="1" t="s">
        <v>1643</v>
      </c>
      <c r="J164" s="1" t="s">
        <v>1644</v>
      </c>
      <c r="K164" s="1"/>
      <c r="L164" s="1"/>
      <c r="M164" s="1"/>
      <c r="N164" s="1"/>
      <c r="O164" s="1"/>
      <c r="P164" s="2"/>
      <c r="Q164" s="1"/>
      <c r="R164" s="1"/>
      <c r="S164" s="1"/>
      <c r="T164" s="1"/>
      <c r="U164" s="1"/>
      <c r="V164" s="1" t="s">
        <v>1645</v>
      </c>
      <c r="W164" s="1"/>
      <c r="X164" s="1"/>
      <c r="Y164" s="1"/>
      <c r="Z164" s="1"/>
      <c r="AA164" s="1" t="s">
        <v>691</v>
      </c>
      <c r="AB164" s="1"/>
      <c r="AC164" s="1"/>
      <c r="AD164" s="1"/>
      <c r="AE164" s="1"/>
      <c r="AF164" s="1"/>
      <c r="AG164" s="1"/>
      <c r="AH164" s="1"/>
      <c r="AI164" s="1"/>
      <c r="AJ164" s="1"/>
      <c r="AK164" s="1"/>
      <c r="AL164" s="1"/>
      <c r="AM164" s="1"/>
      <c r="AN164" s="1"/>
      <c r="AO164" s="1" t="s">
        <v>1646</v>
      </c>
      <c r="AP164" s="1" t="s">
        <v>1647</v>
      </c>
      <c r="AQ164" s="1"/>
      <c r="AR164" s="1"/>
      <c r="AS164" s="1"/>
      <c r="AT164" s="1"/>
      <c r="AU164" s="3">
        <v>2005</v>
      </c>
      <c r="AV164" s="3">
        <v>8</v>
      </c>
      <c r="AW164" s="3">
        <v>2</v>
      </c>
      <c r="AX164" s="2"/>
      <c r="AY164" s="2"/>
      <c r="AZ164" s="1"/>
      <c r="BA164" s="2"/>
      <c r="BB164" s="3">
        <v>289</v>
      </c>
      <c r="BC164" s="3">
        <v>299</v>
      </c>
      <c r="BD164" s="2"/>
      <c r="BE164" s="1" t="s">
        <v>1648</v>
      </c>
      <c r="BF164" s="4">
        <f>HYPERLINK("http://dx.doi.org/10.1081/JFP-200059480","http://dx.doi.org/10.1081/JFP-200059480")</f>
      </c>
      <c r="BG164" s="1"/>
      <c r="BH164" s="1"/>
      <c r="BI164" s="1"/>
      <c r="BJ164" s="1"/>
      <c r="BK164" s="1"/>
      <c r="BL164" s="1"/>
      <c r="BM164" s="1"/>
      <c r="BN164" s="2"/>
      <c r="BO164" s="1"/>
      <c r="BP164" s="1"/>
      <c r="BQ164" s="1"/>
      <c r="BR164" s="1"/>
      <c r="BS164" s="1" t="s">
        <v>1649</v>
      </c>
      <c r="BT164" s="5">
        <f>HYPERLINK("https%3A%2F%2Fwww.webofscience.com%2Fwos%2Fwoscc%2Ffull-record%2FWOS:000231829900011","View Full Record in Web of Science")</f>
      </c>
    </row>
    <row x14ac:dyDescent="0.25" r="165" customHeight="1" ht="12.75">
      <c r="A165" s="1" t="s">
        <v>72</v>
      </c>
      <c r="B165" s="1" t="s">
        <v>1650</v>
      </c>
      <c r="C165" s="1"/>
      <c r="D165" s="1"/>
      <c r="E165" s="1"/>
      <c r="F165" s="1" t="s">
        <v>1650</v>
      </c>
      <c r="G165" s="1"/>
      <c r="H165" s="1"/>
      <c r="I165" s="1" t="s">
        <v>1651</v>
      </c>
      <c r="J165" s="1" t="s">
        <v>1652</v>
      </c>
      <c r="K165" s="1"/>
      <c r="L165" s="1"/>
      <c r="M165" s="1"/>
      <c r="N165" s="1"/>
      <c r="O165" s="1"/>
      <c r="P165" s="2"/>
      <c r="Q165" s="1"/>
      <c r="R165" s="1"/>
      <c r="S165" s="1"/>
      <c r="T165" s="1"/>
      <c r="U165" s="1"/>
      <c r="V165" s="1" t="s">
        <v>1653</v>
      </c>
      <c r="W165" s="1"/>
      <c r="X165" s="1"/>
      <c r="Y165" s="1"/>
      <c r="Z165" s="1"/>
      <c r="AA165" s="1" t="s">
        <v>1654</v>
      </c>
      <c r="AB165" s="1" t="s">
        <v>1655</v>
      </c>
      <c r="AC165" s="1"/>
      <c r="AD165" s="1"/>
      <c r="AE165" s="1"/>
      <c r="AF165" s="1"/>
      <c r="AG165" s="1"/>
      <c r="AH165" s="1"/>
      <c r="AI165" s="1"/>
      <c r="AJ165" s="1"/>
      <c r="AK165" s="1"/>
      <c r="AL165" s="1"/>
      <c r="AM165" s="1"/>
      <c r="AN165" s="1"/>
      <c r="AO165" s="1" t="s">
        <v>1656</v>
      </c>
      <c r="AP165" s="1" t="s">
        <v>1657</v>
      </c>
      <c r="AQ165" s="1"/>
      <c r="AR165" s="1"/>
      <c r="AS165" s="1"/>
      <c r="AT165" s="1" t="s">
        <v>757</v>
      </c>
      <c r="AU165" s="3">
        <v>2004</v>
      </c>
      <c r="AV165" s="3">
        <v>60</v>
      </c>
      <c r="AW165" s="3">
        <v>7</v>
      </c>
      <c r="AX165" s="2"/>
      <c r="AY165" s="2"/>
      <c r="AZ165" s="1"/>
      <c r="BA165" s="2"/>
      <c r="BB165" s="3">
        <v>1637</v>
      </c>
      <c r="BC165" s="3">
        <v>1640</v>
      </c>
      <c r="BD165" s="2"/>
      <c r="BE165" s="1" t="s">
        <v>1658</v>
      </c>
      <c r="BF165" s="4">
        <f>HYPERLINK("http://dx.doi.org/10.1016/j.saa.2003.09.006","http://dx.doi.org/10.1016/j.saa.2003.09.006")</f>
      </c>
      <c r="BG165" s="1"/>
      <c r="BH165" s="1"/>
      <c r="BI165" s="1"/>
      <c r="BJ165" s="1"/>
      <c r="BK165" s="1"/>
      <c r="BL165" s="1"/>
      <c r="BM165" s="1"/>
      <c r="BN165" s="3">
        <v>15147709</v>
      </c>
      <c r="BO165" s="1"/>
      <c r="BP165" s="1"/>
      <c r="BQ165" s="1"/>
      <c r="BR165" s="1"/>
      <c r="BS165" s="1" t="s">
        <v>1659</v>
      </c>
      <c r="BT165" s="5">
        <f>HYPERLINK("https%3A%2F%2Fwww.webofscience.com%2Fwos%2Fwoscc%2Ffull-record%2FWOS:000221893700029","View Full Record in Web of Science")</f>
      </c>
    </row>
    <row x14ac:dyDescent="0.25" r="166" customHeight="1" ht="12.75">
      <c r="A166" s="1" t="s">
        <v>72</v>
      </c>
      <c r="B166" s="1" t="s">
        <v>697</v>
      </c>
      <c r="C166" s="1"/>
      <c r="D166" s="1"/>
      <c r="E166" s="1"/>
      <c r="F166" s="1" t="s">
        <v>697</v>
      </c>
      <c r="G166" s="1"/>
      <c r="H166" s="1"/>
      <c r="I166" s="1" t="s">
        <v>1660</v>
      </c>
      <c r="J166" s="1" t="s">
        <v>1661</v>
      </c>
      <c r="K166" s="1"/>
      <c r="L166" s="1"/>
      <c r="M166" s="1"/>
      <c r="N166" s="1"/>
      <c r="O166" s="1"/>
      <c r="P166" s="2"/>
      <c r="Q166" s="1"/>
      <c r="R166" s="1"/>
      <c r="S166" s="1"/>
      <c r="T166" s="1"/>
      <c r="U166" s="1"/>
      <c r="V166" s="1" t="s">
        <v>1662</v>
      </c>
      <c r="W166" s="1"/>
      <c r="X166" s="1"/>
      <c r="Y166" s="1"/>
      <c r="Z166" s="1"/>
      <c r="AA166" s="1" t="s">
        <v>702</v>
      </c>
      <c r="AB166" s="1" t="s">
        <v>703</v>
      </c>
      <c r="AC166" s="1"/>
      <c r="AD166" s="1"/>
      <c r="AE166" s="1"/>
      <c r="AF166" s="1"/>
      <c r="AG166" s="1"/>
      <c r="AH166" s="1"/>
      <c r="AI166" s="1"/>
      <c r="AJ166" s="1"/>
      <c r="AK166" s="1"/>
      <c r="AL166" s="1"/>
      <c r="AM166" s="1"/>
      <c r="AN166" s="1"/>
      <c r="AO166" s="1" t="s">
        <v>1663</v>
      </c>
      <c r="AP166" s="1" t="s">
        <v>1664</v>
      </c>
      <c r="AQ166" s="1"/>
      <c r="AR166" s="1"/>
      <c r="AS166" s="1"/>
      <c r="AT166" s="1" t="s">
        <v>683</v>
      </c>
      <c r="AU166" s="3">
        <v>2004</v>
      </c>
      <c r="AV166" s="3">
        <v>43</v>
      </c>
      <c r="AW166" s="3">
        <v>5</v>
      </c>
      <c r="AX166" s="2"/>
      <c r="AY166" s="2"/>
      <c r="AZ166" s="1"/>
      <c r="BA166" s="2"/>
      <c r="BB166" s="3">
        <v>1267</v>
      </c>
      <c r="BC166" s="3">
        <v>1286</v>
      </c>
      <c r="BD166" s="2"/>
      <c r="BE166" s="1" t="s">
        <v>1665</v>
      </c>
      <c r="BF166" s="4">
        <f>HYPERLINK("http://dx.doi.org/10.1023/B:IJTP.0000048614.90426.2f","http://dx.doi.org/10.1023/B:IJTP.0000048614.90426.2f")</f>
      </c>
      <c r="BG166" s="1"/>
      <c r="BH166" s="1"/>
      <c r="BI166" s="1"/>
      <c r="BJ166" s="1"/>
      <c r="BK166" s="1"/>
      <c r="BL166" s="1"/>
      <c r="BM166" s="1"/>
      <c r="BN166" s="2"/>
      <c r="BO166" s="1"/>
      <c r="BP166" s="1"/>
      <c r="BQ166" s="1"/>
      <c r="BR166" s="1"/>
      <c r="BS166" s="1" t="s">
        <v>1666</v>
      </c>
      <c r="BT166" s="5">
        <f>HYPERLINK("https%3A%2F%2Fwww.webofscience.com%2Fwos%2Fwoscc%2Ffull-record%2FWOS:000225192400007","View Full Record in Web of Science")</f>
      </c>
    </row>
    <row x14ac:dyDescent="0.25" r="167" customHeight="1" ht="12.75">
      <c r="A167" s="1" t="s">
        <v>72</v>
      </c>
      <c r="B167" s="1" t="s">
        <v>1667</v>
      </c>
      <c r="C167" s="1"/>
      <c r="D167" s="1"/>
      <c r="E167" s="1"/>
      <c r="F167" s="1" t="s">
        <v>1667</v>
      </c>
      <c r="G167" s="1"/>
      <c r="H167" s="1"/>
      <c r="I167" s="1" t="s">
        <v>1668</v>
      </c>
      <c r="J167" s="1" t="s">
        <v>1669</v>
      </c>
      <c r="K167" s="1"/>
      <c r="L167" s="1"/>
      <c r="M167" s="1"/>
      <c r="N167" s="1"/>
      <c r="O167" s="1"/>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t="s">
        <v>1670</v>
      </c>
      <c r="AP167" s="1"/>
      <c r="AQ167" s="1"/>
      <c r="AR167" s="1"/>
      <c r="AS167" s="1"/>
      <c r="AT167" s="1"/>
      <c r="AU167" s="3">
        <v>2003</v>
      </c>
      <c r="AV167" s="3">
        <v>29</v>
      </c>
      <c r="AW167" s="3">
        <v>58</v>
      </c>
      <c r="AX167" s="2"/>
      <c r="AY167" s="2"/>
      <c r="AZ167" s="1"/>
      <c r="BA167" s="2"/>
      <c r="BB167" s="3">
        <v>215</v>
      </c>
      <c r="BC167" s="3">
        <v>237</v>
      </c>
      <c r="BD167" s="2"/>
      <c r="BE167" s="1" t="s">
        <v>1671</v>
      </c>
      <c r="BF167" s="4">
        <f>HYPERLINK("http://dx.doi.org/10.2307/4531290","http://dx.doi.org/10.2307/4531290")</f>
      </c>
      <c r="BG167" s="1"/>
      <c r="BH167" s="1"/>
      <c r="BI167" s="1"/>
      <c r="BJ167" s="1"/>
      <c r="BK167" s="1"/>
      <c r="BL167" s="1"/>
      <c r="BM167" s="1"/>
      <c r="BN167" s="2"/>
      <c r="BO167" s="1"/>
      <c r="BP167" s="1"/>
      <c r="BQ167" s="1"/>
      <c r="BR167" s="1"/>
      <c r="BS167" s="1" t="s">
        <v>1672</v>
      </c>
      <c r="BT167" s="5">
        <f>HYPERLINK("https%3A%2F%2Fwww.webofscience.com%2Fwos%2Fwoscc%2Ffull-record%2FWOS:000188225300013","View Full Record in Web of Science")</f>
      </c>
    </row>
    <row x14ac:dyDescent="0.25" r="168" customHeight="1" ht="12.75">
      <c r="A168" s="1" t="s">
        <v>72</v>
      </c>
      <c r="B168" s="1" t="s">
        <v>1673</v>
      </c>
      <c r="C168" s="1"/>
      <c r="D168" s="1"/>
      <c r="E168" s="1"/>
      <c r="F168" s="1" t="s">
        <v>1673</v>
      </c>
      <c r="G168" s="1"/>
      <c r="H168" s="1"/>
      <c r="I168" s="1" t="s">
        <v>1674</v>
      </c>
      <c r="J168" s="1" t="s">
        <v>897</v>
      </c>
      <c r="K168" s="1"/>
      <c r="L168" s="1"/>
      <c r="M168" s="1"/>
      <c r="N168" s="1"/>
      <c r="O168" s="1"/>
      <c r="P168" s="2"/>
      <c r="Q168" s="1"/>
      <c r="R168" s="1"/>
      <c r="S168" s="1"/>
      <c r="T168" s="1"/>
      <c r="U168" s="1"/>
      <c r="V168" s="1" t="s">
        <v>1675</v>
      </c>
      <c r="W168" s="1"/>
      <c r="X168" s="1"/>
      <c r="Y168" s="1"/>
      <c r="Z168" s="1"/>
      <c r="AA168" s="1"/>
      <c r="AB168" s="1"/>
      <c r="AC168" s="1"/>
      <c r="AD168" s="1"/>
      <c r="AE168" s="1"/>
      <c r="AF168" s="1"/>
      <c r="AG168" s="1"/>
      <c r="AH168" s="1"/>
      <c r="AI168" s="1"/>
      <c r="AJ168" s="1"/>
      <c r="AK168" s="1"/>
      <c r="AL168" s="1"/>
      <c r="AM168" s="1"/>
      <c r="AN168" s="1"/>
      <c r="AO168" s="1" t="s">
        <v>900</v>
      </c>
      <c r="AP168" s="1"/>
      <c r="AQ168" s="1"/>
      <c r="AR168" s="1"/>
      <c r="AS168" s="1"/>
      <c r="AT168" s="1" t="s">
        <v>204</v>
      </c>
      <c r="AU168" s="3">
        <v>2002</v>
      </c>
      <c r="AV168" s="3">
        <v>47</v>
      </c>
      <c r="AW168" s="3">
        <v>4</v>
      </c>
      <c r="AX168" s="2"/>
      <c r="AY168" s="2"/>
      <c r="AZ168" s="1"/>
      <c r="BA168" s="2"/>
      <c r="BB168" s="3">
        <v>563</v>
      </c>
      <c r="BC168" s="3">
        <v>566</v>
      </c>
      <c r="BD168" s="2"/>
      <c r="BE168" s="1"/>
      <c r="BF168" s="1"/>
      <c r="BG168" s="1"/>
      <c r="BH168" s="1"/>
      <c r="BI168" s="1"/>
      <c r="BJ168" s="1"/>
      <c r="BK168" s="1"/>
      <c r="BL168" s="1"/>
      <c r="BM168" s="1"/>
      <c r="BN168" s="2"/>
      <c r="BO168" s="1"/>
      <c r="BP168" s="1"/>
      <c r="BQ168" s="1"/>
      <c r="BR168" s="1"/>
      <c r="BS168" s="1" t="s">
        <v>1676</v>
      </c>
      <c r="BT168" s="5">
        <f>HYPERLINK("https%3A%2F%2Fwww.webofscience.com%2Fwos%2Fwoscc%2Ffull-record%2FWOS:000180026700029","View Full Record in Web of Science")</f>
      </c>
    </row>
    <row x14ac:dyDescent="0.25" r="169" customHeight="1" ht="12.75">
      <c r="A169" s="1" t="s">
        <v>72</v>
      </c>
      <c r="B169" s="1" t="s">
        <v>1677</v>
      </c>
      <c r="C169" s="1"/>
      <c r="D169" s="1"/>
      <c r="E169" s="1"/>
      <c r="F169" s="1" t="s">
        <v>1677</v>
      </c>
      <c r="G169" s="1"/>
      <c r="H169" s="1"/>
      <c r="I169" s="1" t="s">
        <v>1678</v>
      </c>
      <c r="J169" s="1" t="s">
        <v>1679</v>
      </c>
      <c r="K169" s="1"/>
      <c r="L169" s="1"/>
      <c r="M169" s="1"/>
      <c r="N169" s="1"/>
      <c r="O169" s="1"/>
      <c r="P169" s="2"/>
      <c r="Q169" s="1"/>
      <c r="R169" s="1"/>
      <c r="S169" s="1"/>
      <c r="T169" s="1"/>
      <c r="U169" s="1"/>
      <c r="V169" s="1"/>
      <c r="W169" s="1"/>
      <c r="X169" s="1"/>
      <c r="Y169" s="1"/>
      <c r="Z169" s="1"/>
      <c r="AA169" s="1" t="s">
        <v>1680</v>
      </c>
      <c r="AB169" s="1"/>
      <c r="AC169" s="1"/>
      <c r="AD169" s="1"/>
      <c r="AE169" s="1"/>
      <c r="AF169" s="1"/>
      <c r="AG169" s="1"/>
      <c r="AH169" s="1"/>
      <c r="AI169" s="1"/>
      <c r="AJ169" s="1"/>
      <c r="AK169" s="1"/>
      <c r="AL169" s="1"/>
      <c r="AM169" s="1"/>
      <c r="AN169" s="1"/>
      <c r="AO169" s="1" t="s">
        <v>1681</v>
      </c>
      <c r="AP169" s="1"/>
      <c r="AQ169" s="1"/>
      <c r="AR169" s="1"/>
      <c r="AS169" s="1"/>
      <c r="AT169" s="1" t="s">
        <v>1682</v>
      </c>
      <c r="AU169" s="3">
        <v>2002</v>
      </c>
      <c r="AV169" s="3">
        <v>223</v>
      </c>
      <c r="AW169" s="2"/>
      <c r="AX169" s="3">
        <v>1</v>
      </c>
      <c r="AY169" s="2"/>
      <c r="AZ169" s="1"/>
      <c r="BA169" s="2" t="s">
        <v>1683</v>
      </c>
      <c r="BB169" s="2" t="s">
        <v>1684</v>
      </c>
      <c r="BC169" s="2" t="s">
        <v>1684</v>
      </c>
      <c r="BD169" s="2"/>
      <c r="BE169" s="1"/>
      <c r="BF169" s="1"/>
      <c r="BG169" s="1"/>
      <c r="BH169" s="1"/>
      <c r="BI169" s="1"/>
      <c r="BJ169" s="1"/>
      <c r="BK169" s="1"/>
      <c r="BL169" s="1"/>
      <c r="BM169" s="1"/>
      <c r="BN169" s="2"/>
      <c r="BO169" s="1"/>
      <c r="BP169" s="1"/>
      <c r="BQ169" s="1"/>
      <c r="BR169" s="1"/>
      <c r="BS169" s="1" t="s">
        <v>1685</v>
      </c>
      <c r="BT169" s="5">
        <f>HYPERLINK("https%3A%2F%2Fwww.webofscience.com%2Fwos%2Fwoscc%2Ffull-record%2FWOS:000176296701335","View Full Record in Web of Science")</f>
      </c>
    </row>
    <row x14ac:dyDescent="0.25" r="170" customHeight="1" ht="12.75">
      <c r="A170" s="1" t="s">
        <v>303</v>
      </c>
      <c r="B170" s="1" t="s">
        <v>1686</v>
      </c>
      <c r="C170" s="1"/>
      <c r="D170" s="1" t="s">
        <v>1687</v>
      </c>
      <c r="E170" s="1"/>
      <c r="F170" s="1" t="s">
        <v>1686</v>
      </c>
      <c r="G170" s="1"/>
      <c r="H170" s="1"/>
      <c r="I170" s="1" t="s">
        <v>1688</v>
      </c>
      <c r="J170" s="1" t="s">
        <v>1689</v>
      </c>
      <c r="K170" s="1" t="s">
        <v>1690</v>
      </c>
      <c r="L170" s="1"/>
      <c r="M170" s="1"/>
      <c r="N170" s="1"/>
      <c r="O170" s="1" t="s">
        <v>1691</v>
      </c>
      <c r="P170" s="2" t="s">
        <v>1692</v>
      </c>
      <c r="Q170" s="1" t="s">
        <v>1693</v>
      </c>
      <c r="R170" s="1" t="s">
        <v>1694</v>
      </c>
      <c r="S170" s="1"/>
      <c r="T170" s="1"/>
      <c r="U170" s="1"/>
      <c r="V170" s="1" t="s">
        <v>1695</v>
      </c>
      <c r="W170" s="1"/>
      <c r="X170" s="1"/>
      <c r="Y170" s="1"/>
      <c r="Z170" s="1"/>
      <c r="AA170" s="1" t="s">
        <v>1696</v>
      </c>
      <c r="AB170" s="1" t="s">
        <v>1697</v>
      </c>
      <c r="AC170" s="1"/>
      <c r="AD170" s="1"/>
      <c r="AE170" s="1"/>
      <c r="AF170" s="1"/>
      <c r="AG170" s="1"/>
      <c r="AH170" s="1"/>
      <c r="AI170" s="1"/>
      <c r="AJ170" s="1"/>
      <c r="AK170" s="1"/>
      <c r="AL170" s="1"/>
      <c r="AM170" s="1"/>
      <c r="AN170" s="1"/>
      <c r="AO170" s="1" t="s">
        <v>1698</v>
      </c>
      <c r="AP170" s="1"/>
      <c r="AQ170" s="1" t="s">
        <v>1699</v>
      </c>
      <c r="AR170" s="1"/>
      <c r="AS170" s="1"/>
      <c r="AT170" s="1"/>
      <c r="AU170" s="3">
        <v>2002</v>
      </c>
      <c r="AV170" s="2"/>
      <c r="AW170" s="2"/>
      <c r="AX170" s="2"/>
      <c r="AY170" s="2"/>
      <c r="AZ170" s="1"/>
      <c r="BA170" s="2"/>
      <c r="BB170" s="3">
        <v>889</v>
      </c>
      <c r="BC170" s="3">
        <v>891</v>
      </c>
      <c r="BD170" s="2"/>
      <c r="BE170" s="1" t="s">
        <v>1700</v>
      </c>
      <c r="BF170" s="4">
        <f>HYPERLINK("http://dx.doi.org/10.1109/NSSMIC.2001.1009698","http://dx.doi.org/10.1109/NSSMIC.2001.1009698")</f>
      </c>
      <c r="BG170" s="1"/>
      <c r="BH170" s="1"/>
      <c r="BI170" s="1"/>
      <c r="BJ170" s="1"/>
      <c r="BK170" s="1"/>
      <c r="BL170" s="1"/>
      <c r="BM170" s="1"/>
      <c r="BN170" s="2"/>
      <c r="BO170" s="1"/>
      <c r="BP170" s="1"/>
      <c r="BQ170" s="1"/>
      <c r="BR170" s="1"/>
      <c r="BS170" s="1" t="s">
        <v>1701</v>
      </c>
      <c r="BT170" s="5">
        <f>HYPERLINK("https%3A%2F%2Fwww.webofscience.com%2Fwos%2Fwoscc%2Ffull-record%2FWOS:000178495800194","View Full Record in Web of Science")</f>
      </c>
    </row>
    <row x14ac:dyDescent="0.25" r="171" customHeight="1" ht="12.75">
      <c r="A171" s="1" t="s">
        <v>303</v>
      </c>
      <c r="B171" s="1" t="s">
        <v>1702</v>
      </c>
      <c r="C171" s="1"/>
      <c r="D171" s="1"/>
      <c r="E171" s="1" t="s">
        <v>1703</v>
      </c>
      <c r="F171" s="1" t="s">
        <v>1702</v>
      </c>
      <c r="G171" s="1"/>
      <c r="H171" s="1"/>
      <c r="I171" s="1" t="s">
        <v>1704</v>
      </c>
      <c r="J171" s="1" t="s">
        <v>1705</v>
      </c>
      <c r="K171" s="1"/>
      <c r="L171" s="1"/>
      <c r="M171" s="1"/>
      <c r="N171" s="1"/>
      <c r="O171" s="1" t="s">
        <v>1706</v>
      </c>
      <c r="P171" s="2" t="s">
        <v>1707</v>
      </c>
      <c r="Q171" s="1" t="s">
        <v>1708</v>
      </c>
      <c r="R171" s="1" t="s">
        <v>1709</v>
      </c>
      <c r="S171" s="1"/>
      <c r="T171" s="1"/>
      <c r="U171" s="1"/>
      <c r="V171" s="1" t="s">
        <v>1710</v>
      </c>
      <c r="W171" s="1"/>
      <c r="X171" s="1"/>
      <c r="Y171" s="1"/>
      <c r="Z171" s="1"/>
      <c r="AA171" s="1" t="s">
        <v>1711</v>
      </c>
      <c r="AB171" s="1" t="s">
        <v>1712</v>
      </c>
      <c r="AC171" s="1"/>
      <c r="AD171" s="1"/>
      <c r="AE171" s="1"/>
      <c r="AF171" s="1"/>
      <c r="AG171" s="1"/>
      <c r="AH171" s="1"/>
      <c r="AI171" s="1"/>
      <c r="AJ171" s="1"/>
      <c r="AK171" s="1"/>
      <c r="AL171" s="1"/>
      <c r="AM171" s="1"/>
      <c r="AN171" s="1"/>
      <c r="AO171" s="1"/>
      <c r="AP171" s="1"/>
      <c r="AQ171" s="1" t="s">
        <v>1713</v>
      </c>
      <c r="AR171" s="1"/>
      <c r="AS171" s="1"/>
      <c r="AT171" s="1"/>
      <c r="AU171" s="3">
        <v>2001</v>
      </c>
      <c r="AV171" s="2"/>
      <c r="AW171" s="2"/>
      <c r="AX171" s="2"/>
      <c r="AY171" s="2"/>
      <c r="AZ171" s="1"/>
      <c r="BA171" s="2"/>
      <c r="BB171" s="3">
        <v>256</v>
      </c>
      <c r="BC171" s="3">
        <v>263</v>
      </c>
      <c r="BD171" s="2"/>
      <c r="BE171" s="1" t="s">
        <v>1714</v>
      </c>
      <c r="BF171" s="4">
        <f>HYPERLINK("http://dx.doi.org/10.1109/SCCC.2001.972655","http://dx.doi.org/10.1109/SCCC.2001.972655")</f>
      </c>
      <c r="BG171" s="1"/>
      <c r="BH171" s="1"/>
      <c r="BI171" s="1"/>
      <c r="BJ171" s="1"/>
      <c r="BK171" s="1"/>
      <c r="BL171" s="1"/>
      <c r="BM171" s="1"/>
      <c r="BN171" s="2"/>
      <c r="BO171" s="1"/>
      <c r="BP171" s="1"/>
      <c r="BQ171" s="1"/>
      <c r="BR171" s="1"/>
      <c r="BS171" s="1" t="s">
        <v>1715</v>
      </c>
      <c r="BT171" s="5">
        <f>HYPERLINK("https%3A%2F%2Fwww.webofscience.com%2Fwos%2Fwoscc%2Ffull-record%2FWOS:000172674500030","View Full Record in Web of Science")</f>
      </c>
    </row>
    <row x14ac:dyDescent="0.25" r="172" customHeight="1" ht="12.75">
      <c r="A172" s="1" t="s">
        <v>72</v>
      </c>
      <c r="B172" s="1" t="s">
        <v>1716</v>
      </c>
      <c r="C172" s="1"/>
      <c r="D172" s="1"/>
      <c r="E172" s="1"/>
      <c r="F172" s="1" t="s">
        <v>1716</v>
      </c>
      <c r="G172" s="1"/>
      <c r="H172" s="1"/>
      <c r="I172" s="1" t="s">
        <v>1717</v>
      </c>
      <c r="J172" s="1" t="s">
        <v>1609</v>
      </c>
      <c r="K172" s="1"/>
      <c r="L172" s="1"/>
      <c r="M172" s="1"/>
      <c r="N172" s="1"/>
      <c r="O172" s="1"/>
      <c r="P172" s="2"/>
      <c r="Q172" s="1"/>
      <c r="R172" s="1"/>
      <c r="S172" s="1"/>
      <c r="T172" s="1"/>
      <c r="U172" s="1"/>
      <c r="V172" s="1"/>
      <c r="W172" s="1"/>
      <c r="X172" s="1"/>
      <c r="Y172" s="1"/>
      <c r="Z172" s="1"/>
      <c r="AA172" s="1"/>
      <c r="AB172" s="1" t="s">
        <v>1610</v>
      </c>
      <c r="AC172" s="1"/>
      <c r="AD172" s="1"/>
      <c r="AE172" s="1"/>
      <c r="AF172" s="1"/>
      <c r="AG172" s="1"/>
      <c r="AH172" s="1"/>
      <c r="AI172" s="1"/>
      <c r="AJ172" s="1"/>
      <c r="AK172" s="1"/>
      <c r="AL172" s="1"/>
      <c r="AM172" s="1"/>
      <c r="AN172" s="1"/>
      <c r="AO172" s="1" t="s">
        <v>1611</v>
      </c>
      <c r="AP172" s="1"/>
      <c r="AQ172" s="1"/>
      <c r="AR172" s="1"/>
      <c r="AS172" s="1"/>
      <c r="AT172" s="1" t="s">
        <v>103</v>
      </c>
      <c r="AU172" s="3">
        <v>1998</v>
      </c>
      <c r="AV172" s="3">
        <v>26</v>
      </c>
      <c r="AW172" s="3">
        <v>1</v>
      </c>
      <c r="AX172" s="2"/>
      <c r="AY172" s="2"/>
      <c r="AZ172" s="1"/>
      <c r="BA172" s="2"/>
      <c r="BB172" s="3">
        <v>127</v>
      </c>
      <c r="BC172" s="3">
        <v>130</v>
      </c>
      <c r="BD172" s="2"/>
      <c r="BE172" s="1" t="s">
        <v>1718</v>
      </c>
      <c r="BF172" s="4">
        <f>HYPERLINK("http://dx.doi.org/10.1016/S0305-1978(97)00096-3","http://dx.doi.org/10.1016/S0305-1978(97)00096-3")</f>
      </c>
      <c r="BG172" s="1"/>
      <c r="BH172" s="1"/>
      <c r="BI172" s="1"/>
      <c r="BJ172" s="1"/>
      <c r="BK172" s="1"/>
      <c r="BL172" s="1"/>
      <c r="BM172" s="1"/>
      <c r="BN172" s="2"/>
      <c r="BO172" s="1"/>
      <c r="BP172" s="1"/>
      <c r="BQ172" s="1"/>
      <c r="BR172" s="1"/>
      <c r="BS172" s="1" t="s">
        <v>1719</v>
      </c>
      <c r="BT172" s="5">
        <f>HYPERLINK("https%3A%2F%2Fwww.webofscience.com%2Fwos%2Fwoscc%2Ffull-record%2FWOS:000073637100014","View Full Record in Web of Science")</f>
      </c>
    </row>
    <row x14ac:dyDescent="0.25" r="173" customHeight="1" ht="12.75">
      <c r="A173" s="1" t="s">
        <v>303</v>
      </c>
      <c r="B173" s="1" t="s">
        <v>1720</v>
      </c>
      <c r="C173" s="1"/>
      <c r="D173" s="1" t="s">
        <v>1721</v>
      </c>
      <c r="E173" s="1"/>
      <c r="F173" s="1" t="s">
        <v>1720</v>
      </c>
      <c r="G173" s="1"/>
      <c r="H173" s="1"/>
      <c r="I173" s="1" t="s">
        <v>1722</v>
      </c>
      <c r="J173" s="1" t="s">
        <v>1723</v>
      </c>
      <c r="K173" s="1" t="s">
        <v>1724</v>
      </c>
      <c r="L173" s="1"/>
      <c r="M173" s="1"/>
      <c r="N173" s="1"/>
      <c r="O173" s="1" t="s">
        <v>1725</v>
      </c>
      <c r="P173" s="2" t="s">
        <v>1726</v>
      </c>
      <c r="Q173" s="1" t="s">
        <v>1727</v>
      </c>
      <c r="R173" s="1" t="s">
        <v>1728</v>
      </c>
      <c r="S173" s="1" t="s">
        <v>1729</v>
      </c>
      <c r="T173" s="1"/>
      <c r="U173" s="1"/>
      <c r="V173" s="1" t="s">
        <v>1730</v>
      </c>
      <c r="W173" s="1"/>
      <c r="X173" s="1"/>
      <c r="Y173" s="1"/>
      <c r="Z173" s="1"/>
      <c r="AA173" s="1"/>
      <c r="AB173" s="1" t="s">
        <v>1731</v>
      </c>
      <c r="AC173" s="1"/>
      <c r="AD173" s="1"/>
      <c r="AE173" s="1"/>
      <c r="AF173" s="1"/>
      <c r="AG173" s="1"/>
      <c r="AH173" s="1"/>
      <c r="AI173" s="1"/>
      <c r="AJ173" s="1"/>
      <c r="AK173" s="1"/>
      <c r="AL173" s="1"/>
      <c r="AM173" s="1"/>
      <c r="AN173" s="1"/>
      <c r="AO173" s="1" t="s">
        <v>1732</v>
      </c>
      <c r="AP173" s="1"/>
      <c r="AQ173" s="1" t="s">
        <v>1733</v>
      </c>
      <c r="AR173" s="1"/>
      <c r="AS173" s="1"/>
      <c r="AT173" s="1"/>
      <c r="AU173" s="3">
        <v>1997</v>
      </c>
      <c r="AV173" s="2"/>
      <c r="AW173" s="2"/>
      <c r="AX173" s="2"/>
      <c r="AY173" s="2"/>
      <c r="AZ173" s="1"/>
      <c r="BA173" s="2"/>
      <c r="BB173" s="3">
        <v>961</v>
      </c>
      <c r="BC173" s="3">
        <v>966</v>
      </c>
      <c r="BD173" s="2"/>
      <c r="BE173" s="1"/>
      <c r="BF173" s="1"/>
      <c r="BG173" s="1"/>
      <c r="BH173" s="1"/>
      <c r="BI173" s="1"/>
      <c r="BJ173" s="1"/>
      <c r="BK173" s="1"/>
      <c r="BL173" s="1"/>
      <c r="BM173" s="1"/>
      <c r="BN173" s="2"/>
      <c r="BO173" s="1"/>
      <c r="BP173" s="1"/>
      <c r="BQ173" s="1"/>
      <c r="BR173" s="1"/>
      <c r="BS173" s="1" t="s">
        <v>1734</v>
      </c>
      <c r="BT173" s="5">
        <f>HYPERLINK("https%3A%2F%2Fwww.webofscience.com%2Fwos%2Fwoscc%2Ffull-record%2FWOS:000075340900154","View Full Record in Web of Science")</f>
      </c>
    </row>
    <row x14ac:dyDescent="0.25" r="174" customHeight="1" ht="12.75">
      <c r="A174" s="1" t="s">
        <v>72</v>
      </c>
      <c r="B174" s="1" t="s">
        <v>1735</v>
      </c>
      <c r="C174" s="1"/>
      <c r="D174" s="1"/>
      <c r="E174" s="1"/>
      <c r="F174" s="1" t="s">
        <v>1735</v>
      </c>
      <c r="G174" s="1"/>
      <c r="H174" s="1"/>
      <c r="I174" s="1" t="s">
        <v>1736</v>
      </c>
      <c r="J174" s="1" t="s">
        <v>897</v>
      </c>
      <c r="K174" s="1"/>
      <c r="L174" s="1"/>
      <c r="M174" s="1"/>
      <c r="N174" s="1"/>
      <c r="O174" s="1"/>
      <c r="P174" s="2"/>
      <c r="Q174" s="1"/>
      <c r="R174" s="1"/>
      <c r="S174" s="1"/>
      <c r="T174" s="1"/>
      <c r="U174" s="1"/>
      <c r="V174" s="1" t="s">
        <v>1737</v>
      </c>
      <c r="W174" s="1"/>
      <c r="X174" s="1"/>
      <c r="Y174" s="1"/>
      <c r="Z174" s="1"/>
      <c r="AA174" s="1" t="s">
        <v>1738</v>
      </c>
      <c r="AB174" s="1" t="s">
        <v>1739</v>
      </c>
      <c r="AC174" s="1"/>
      <c r="AD174" s="1"/>
      <c r="AE174" s="1"/>
      <c r="AF174" s="1"/>
      <c r="AG174" s="1"/>
      <c r="AH174" s="1"/>
      <c r="AI174" s="1"/>
      <c r="AJ174" s="1"/>
      <c r="AK174" s="1"/>
      <c r="AL174" s="1"/>
      <c r="AM174" s="1"/>
      <c r="AN174" s="1"/>
      <c r="AO174" s="1" t="s">
        <v>900</v>
      </c>
      <c r="AP174" s="1"/>
      <c r="AQ174" s="1"/>
      <c r="AR174" s="1"/>
      <c r="AS174" s="1"/>
      <c r="AT174" s="1" t="s">
        <v>292</v>
      </c>
      <c r="AU174" s="3">
        <v>1995</v>
      </c>
      <c r="AV174" s="3">
        <v>40</v>
      </c>
      <c r="AW174" s="3">
        <v>3</v>
      </c>
      <c r="AX174" s="2"/>
      <c r="AY174" s="2"/>
      <c r="AZ174" s="1"/>
      <c r="BA174" s="2"/>
      <c r="BB174" s="3">
        <v>269</v>
      </c>
      <c r="BC174" s="3">
        <v>278</v>
      </c>
      <c r="BD174" s="2"/>
      <c r="BE174" s="1"/>
      <c r="BF174" s="1"/>
      <c r="BG174" s="1"/>
      <c r="BH174" s="1"/>
      <c r="BI174" s="1"/>
      <c r="BJ174" s="1"/>
      <c r="BK174" s="1"/>
      <c r="BL174" s="1"/>
      <c r="BM174" s="1"/>
      <c r="BN174" s="2"/>
      <c r="BO174" s="1"/>
      <c r="BP174" s="1"/>
      <c r="BQ174" s="1"/>
      <c r="BR174" s="1"/>
      <c r="BS174" s="1" t="s">
        <v>1740</v>
      </c>
      <c r="BT174" s="5">
        <f>HYPERLINK("https%3A%2F%2Fwww.webofscience.com%2Fwos%2Fwoscc%2Ffull-record%2FWOS:A1995RY08900009","View Full Record in Web of Science")</f>
      </c>
    </row>
    <row x14ac:dyDescent="0.25" r="175" customHeight="1" ht="12.75">
      <c r="A175" s="1" t="s">
        <v>72</v>
      </c>
      <c r="B175" s="1" t="s">
        <v>1741</v>
      </c>
      <c r="C175" s="1"/>
      <c r="D175" s="1"/>
      <c r="E175" s="1"/>
      <c r="F175" s="1" t="s">
        <v>1741</v>
      </c>
      <c r="G175" s="1"/>
      <c r="H175" s="1"/>
      <c r="I175" s="1" t="s">
        <v>1742</v>
      </c>
      <c r="J175" s="1" t="s">
        <v>437</v>
      </c>
      <c r="K175" s="1"/>
      <c r="L175" s="1"/>
      <c r="M175" s="1"/>
      <c r="N175" s="1"/>
      <c r="O175" s="1"/>
      <c r="P175" s="2"/>
      <c r="Q175" s="1"/>
      <c r="R175" s="1"/>
      <c r="S175" s="1"/>
      <c r="T175" s="1"/>
      <c r="U175" s="1"/>
      <c r="V175" s="1" t="s">
        <v>1743</v>
      </c>
      <c r="W175" s="1"/>
      <c r="X175" s="1"/>
      <c r="Y175" s="1"/>
      <c r="Z175" s="1"/>
      <c r="AA175" s="1" t="s">
        <v>905</v>
      </c>
      <c r="AB175" s="1"/>
      <c r="AC175" s="1"/>
      <c r="AD175" s="1"/>
      <c r="AE175" s="1"/>
      <c r="AF175" s="1"/>
      <c r="AG175" s="1"/>
      <c r="AH175" s="1"/>
      <c r="AI175" s="1"/>
      <c r="AJ175" s="1"/>
      <c r="AK175" s="1"/>
      <c r="AL175" s="1"/>
      <c r="AM175" s="1"/>
      <c r="AN175" s="1"/>
      <c r="AO175" s="1" t="s">
        <v>441</v>
      </c>
      <c r="AP175" s="1"/>
      <c r="AQ175" s="1"/>
      <c r="AR175" s="1"/>
      <c r="AS175" s="1"/>
      <c r="AT175" s="1" t="s">
        <v>683</v>
      </c>
      <c r="AU175" s="3">
        <v>1992</v>
      </c>
      <c r="AV175" s="3">
        <v>28</v>
      </c>
      <c r="AW175" s="3">
        <v>5</v>
      </c>
      <c r="AX175" s="2"/>
      <c r="AY175" s="2"/>
      <c r="AZ175" s="1"/>
      <c r="BA175" s="2"/>
      <c r="BB175" s="3">
        <v>471</v>
      </c>
      <c r="BC175" s="3">
        <v>473</v>
      </c>
      <c r="BD175" s="2"/>
      <c r="BE175" s="1"/>
      <c r="BF175" s="1"/>
      <c r="BG175" s="1"/>
      <c r="BH175" s="1"/>
      <c r="BI175" s="1"/>
      <c r="BJ175" s="1"/>
      <c r="BK175" s="1"/>
      <c r="BL175" s="1"/>
      <c r="BM175" s="1"/>
      <c r="BN175" s="2"/>
      <c r="BO175" s="1"/>
      <c r="BP175" s="1"/>
      <c r="BQ175" s="1"/>
      <c r="BR175" s="1"/>
      <c r="BS175" s="1" t="s">
        <v>1744</v>
      </c>
      <c r="BT175" s="5">
        <f>HYPERLINK("https%3A%2F%2Fwww.webofscience.com%2Fwos%2Fwoscc%2Ffull-record%2FWOS:A1992HT53400004","View Full Record in Web of Science")</f>
      </c>
    </row>
    <row x14ac:dyDescent="0.25" r="176" customHeight="1" ht="12.75">
      <c r="A176" s="1" t="s">
        <v>72</v>
      </c>
      <c r="B176" s="1" t="s">
        <v>1745</v>
      </c>
      <c r="C176" s="1"/>
      <c r="D176" s="1"/>
      <c r="E176" s="1"/>
      <c r="F176" s="1" t="s">
        <v>1745</v>
      </c>
      <c r="G176" s="1"/>
      <c r="H176" s="1"/>
      <c r="I176" s="1" t="s">
        <v>1746</v>
      </c>
      <c r="J176" s="1" t="s">
        <v>874</v>
      </c>
      <c r="K176" s="1"/>
      <c r="L176" s="1"/>
      <c r="M176" s="1"/>
      <c r="N176" s="1"/>
      <c r="O176" s="1"/>
      <c r="P176" s="2"/>
      <c r="Q176" s="1"/>
      <c r="R176" s="1"/>
      <c r="S176" s="1"/>
      <c r="T176" s="1"/>
      <c r="U176" s="1"/>
      <c r="V176" s="1" t="s">
        <v>1747</v>
      </c>
      <c r="W176" s="1"/>
      <c r="X176" s="1"/>
      <c r="Y176" s="1"/>
      <c r="Z176" s="1"/>
      <c r="AA176" s="1" t="s">
        <v>1748</v>
      </c>
      <c r="AB176" s="1"/>
      <c r="AC176" s="1"/>
      <c r="AD176" s="1"/>
      <c r="AE176" s="1"/>
      <c r="AF176" s="1"/>
      <c r="AG176" s="1"/>
      <c r="AH176" s="1"/>
      <c r="AI176" s="1"/>
      <c r="AJ176" s="1"/>
      <c r="AK176" s="1"/>
      <c r="AL176" s="1"/>
      <c r="AM176" s="1"/>
      <c r="AN176" s="1"/>
      <c r="AO176" s="1" t="s">
        <v>876</v>
      </c>
      <c r="AP176" s="1" t="s">
        <v>1749</v>
      </c>
      <c r="AQ176" s="1"/>
      <c r="AR176" s="1"/>
      <c r="AS176" s="1"/>
      <c r="AT176" s="1" t="s">
        <v>1275</v>
      </c>
      <c r="AU176" s="3">
        <v>1989</v>
      </c>
      <c r="AV176" s="3">
        <v>128</v>
      </c>
      <c r="AW176" s="3">
        <v>2</v>
      </c>
      <c r="AX176" s="2"/>
      <c r="AY176" s="2"/>
      <c r="AZ176" s="1"/>
      <c r="BA176" s="2"/>
      <c r="BB176" s="3">
        <v>458</v>
      </c>
      <c r="BC176" s="3">
        <v>463</v>
      </c>
      <c r="BD176" s="2"/>
      <c r="BE176" s="1" t="s">
        <v>1750</v>
      </c>
      <c r="BF176" s="4">
        <f>HYPERLINK("http://dx.doi.org/10.1016/0021-9797(89)90361-5","http://dx.doi.org/10.1016/0021-9797(89)90361-5")</f>
      </c>
      <c r="BG176" s="1"/>
      <c r="BH176" s="1"/>
      <c r="BI176" s="1"/>
      <c r="BJ176" s="1"/>
      <c r="BK176" s="1"/>
      <c r="BL176" s="1"/>
      <c r="BM176" s="1"/>
      <c r="BN176" s="2"/>
      <c r="BO176" s="1"/>
      <c r="BP176" s="1"/>
      <c r="BQ176" s="1"/>
      <c r="BR176" s="1"/>
      <c r="BS176" s="1" t="s">
        <v>1751</v>
      </c>
      <c r="BT176" s="5">
        <f>HYPERLINK("https%3A%2F%2Fwww.webofscience.com%2Fwos%2Fwoscc%2Ffull-record%2FWOS:A1989T700400018","View Full Record in Web of Science")</f>
      </c>
    </row>
    <row x14ac:dyDescent="0.25" r="177" customHeight="1" ht="12.75">
      <c r="A177" s="1" t="s">
        <v>72</v>
      </c>
      <c r="B177" s="1" t="s">
        <v>1752</v>
      </c>
      <c r="C177" s="1"/>
      <c r="D177" s="1"/>
      <c r="E177" s="1"/>
      <c r="F177" s="1" t="s">
        <v>1752</v>
      </c>
      <c r="G177" s="1"/>
      <c r="H177" s="1"/>
      <c r="I177" s="1" t="s">
        <v>1753</v>
      </c>
      <c r="J177" s="1" t="s">
        <v>897</v>
      </c>
      <c r="K177" s="1"/>
      <c r="L177" s="1"/>
      <c r="M177" s="1"/>
      <c r="N177" s="1"/>
      <c r="O177" s="1"/>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t="s">
        <v>900</v>
      </c>
      <c r="AP177" s="1"/>
      <c r="AQ177" s="1"/>
      <c r="AR177" s="1"/>
      <c r="AS177" s="1"/>
      <c r="AT177" s="1" t="s">
        <v>204</v>
      </c>
      <c r="AU177" s="3">
        <v>1986</v>
      </c>
      <c r="AV177" s="3">
        <v>31</v>
      </c>
      <c r="AW177" s="3">
        <v>4</v>
      </c>
      <c r="AX177" s="2"/>
      <c r="AY177" s="2"/>
      <c r="AZ177" s="1"/>
      <c r="BA177" s="2"/>
      <c r="BB177" s="3">
        <v>141</v>
      </c>
      <c r="BC177" s="3">
        <v>143</v>
      </c>
      <c r="BD177" s="2"/>
      <c r="BE177" s="1"/>
      <c r="BF177" s="1"/>
      <c r="BG177" s="1"/>
      <c r="BH177" s="1"/>
      <c r="BI177" s="1"/>
      <c r="BJ177" s="1"/>
      <c r="BK177" s="1"/>
      <c r="BL177" s="1"/>
      <c r="BM177" s="1"/>
      <c r="BN177" s="2"/>
      <c r="BO177" s="1"/>
      <c r="BP177" s="1"/>
      <c r="BQ177" s="1"/>
      <c r="BR177" s="1"/>
      <c r="BS177" s="1" t="s">
        <v>1754</v>
      </c>
      <c r="BT177" s="5">
        <f>HYPERLINK("https%3A%2F%2Fwww.webofscience.com%2Fwos%2Fwoscc%2Ffull-record%2FWOS:A1986F585500002","View Full Record in Web of Science")</f>
      </c>
    </row>
    <row x14ac:dyDescent="0.25" r="178" customHeight="1" ht="12.75">
      <c r="A178" s="1" t="s">
        <v>72</v>
      </c>
      <c r="B178" s="1" t="s">
        <v>1755</v>
      </c>
      <c r="C178" s="1"/>
      <c r="D178" s="1"/>
      <c r="E178" s="1"/>
      <c r="F178" s="1" t="s">
        <v>1755</v>
      </c>
      <c r="G178" s="1"/>
      <c r="H178" s="1"/>
      <c r="I178" s="1" t="s">
        <v>1756</v>
      </c>
      <c r="J178" s="1" t="s">
        <v>1757</v>
      </c>
      <c r="K178" s="1"/>
      <c r="L178" s="1"/>
      <c r="M178" s="1"/>
      <c r="N178" s="1"/>
      <c r="O178" s="1"/>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t="s">
        <v>1758</v>
      </c>
      <c r="AP178" s="1"/>
      <c r="AQ178" s="1"/>
      <c r="AR178" s="1"/>
      <c r="AS178" s="1"/>
      <c r="AT178" s="1"/>
      <c r="AU178" s="3">
        <v>1982</v>
      </c>
      <c r="AV178" s="3">
        <v>73</v>
      </c>
      <c r="AW178" s="3">
        <v>2</v>
      </c>
      <c r="AX178" s="2"/>
      <c r="AY178" s="2"/>
      <c r="AZ178" s="1"/>
      <c r="BA178" s="2"/>
      <c r="BB178" s="3">
        <v>181</v>
      </c>
      <c r="BC178" s="3">
        <v>187</v>
      </c>
      <c r="BD178" s="2"/>
      <c r="BE178" s="1" t="s">
        <v>1759</v>
      </c>
      <c r="BF178" s="4">
        <f>HYPERLINK("http://dx.doi.org/10.1016/0305-0491(82)90269-3","http://dx.doi.org/10.1016/0305-0491(82)90269-3")</f>
      </c>
      <c r="BG178" s="1"/>
      <c r="BH178" s="1"/>
      <c r="BI178" s="1"/>
      <c r="BJ178" s="1"/>
      <c r="BK178" s="1"/>
      <c r="BL178" s="1"/>
      <c r="BM178" s="1"/>
      <c r="BN178" s="3">
        <v>6756767</v>
      </c>
      <c r="BO178" s="1"/>
      <c r="BP178" s="1"/>
      <c r="BQ178" s="1"/>
      <c r="BR178" s="1"/>
      <c r="BS178" s="1" t="s">
        <v>1760</v>
      </c>
      <c r="BT178" s="5">
        <f>HYPERLINK("https%3A%2F%2Fwww.webofscience.com%2Fwos%2Fwoscc%2Ffull-record%2FWOS:A1982PP88700001","View Full Record in Web of Science")</f>
      </c>
    </row>
    <row x14ac:dyDescent="0.25" r="179" customHeight="1" ht="12.75">
      <c r="A179" s="1" t="s">
        <v>72</v>
      </c>
      <c r="B179" s="1" t="s">
        <v>1761</v>
      </c>
      <c r="C179" s="1"/>
      <c r="D179" s="1"/>
      <c r="E179" s="1"/>
      <c r="F179" s="1" t="s">
        <v>1761</v>
      </c>
      <c r="G179" s="1"/>
      <c r="H179" s="1"/>
      <c r="I179" s="1" t="s">
        <v>1762</v>
      </c>
      <c r="J179" s="1" t="s">
        <v>1763</v>
      </c>
      <c r="K179" s="1"/>
      <c r="L179" s="1"/>
      <c r="M179" s="1"/>
      <c r="N179" s="1"/>
      <c r="O179" s="1"/>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t="s">
        <v>1764</v>
      </c>
      <c r="AP179" s="1"/>
      <c r="AQ179" s="1"/>
      <c r="AR179" s="1"/>
      <c r="AS179" s="1"/>
      <c r="AT179" s="1"/>
      <c r="AU179" s="3">
        <v>1981</v>
      </c>
      <c r="AV179" s="3">
        <v>88</v>
      </c>
      <c r="AW179" s="3">
        <v>1</v>
      </c>
      <c r="AX179" s="2"/>
      <c r="AY179" s="2"/>
      <c r="AZ179" s="1"/>
      <c r="BA179" s="2"/>
      <c r="BB179" s="3">
        <v>139</v>
      </c>
      <c r="BC179" s="3">
        <v>145</v>
      </c>
      <c r="BD179" s="2"/>
      <c r="BE179" s="1" t="s">
        <v>1765</v>
      </c>
      <c r="BF179" s="4">
        <f>HYPERLINK("http://dx.doi.org/10.1016/S0008-6215(00)84608-X","http://dx.doi.org/10.1016/S0008-6215(00)84608-X")</f>
      </c>
      <c r="BG179" s="1"/>
      <c r="BH179" s="1"/>
      <c r="BI179" s="1"/>
      <c r="BJ179" s="1"/>
      <c r="BK179" s="1"/>
      <c r="BL179" s="1"/>
      <c r="BM179" s="1"/>
      <c r="BN179" s="2"/>
      <c r="BO179" s="1"/>
      <c r="BP179" s="1"/>
      <c r="BQ179" s="1"/>
      <c r="BR179" s="1"/>
      <c r="BS179" s="1" t="s">
        <v>1766</v>
      </c>
      <c r="BT179" s="5">
        <f>HYPERLINK("https%3A%2F%2Fwww.webofscience.com%2Fwos%2Fwoscc%2Ffull-record%2FWOS:A1981LB49700013","View Full Record in Web of Science")</f>
      </c>
    </row>
    <row x14ac:dyDescent="0.25" r="180" customHeight="1" ht="12.75">
      <c r="A180" s="1" t="s">
        <v>72</v>
      </c>
      <c r="B180" s="1" t="s">
        <v>1767</v>
      </c>
      <c r="C180" s="1"/>
      <c r="D180" s="1"/>
      <c r="E180" s="1"/>
      <c r="F180" s="1" t="s">
        <v>1767</v>
      </c>
      <c r="G180" s="1"/>
      <c r="H180" s="1"/>
      <c r="I180" s="1" t="s">
        <v>1768</v>
      </c>
      <c r="J180" s="1" t="s">
        <v>1769</v>
      </c>
      <c r="K180" s="1"/>
      <c r="L180" s="1"/>
      <c r="M180" s="1"/>
      <c r="N180" s="1"/>
      <c r="O180" s="1"/>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t="s">
        <v>1770</v>
      </c>
      <c r="AP180" s="1"/>
      <c r="AQ180" s="1"/>
      <c r="AR180" s="1"/>
      <c r="AS180" s="1"/>
      <c r="AT180" s="1"/>
      <c r="AU180" s="3">
        <v>1980</v>
      </c>
      <c r="AV180" s="2"/>
      <c r="AW180" s="3">
        <v>1</v>
      </c>
      <c r="AX180" s="2"/>
      <c r="AY180" s="2"/>
      <c r="AZ180" s="1"/>
      <c r="BA180" s="2"/>
      <c r="BB180" s="3">
        <v>61</v>
      </c>
      <c r="BC180" s="3">
        <v>63</v>
      </c>
      <c r="BD180" s="2"/>
      <c r="BE180" s="1"/>
      <c r="BF180" s="1"/>
      <c r="BG180" s="1"/>
      <c r="BH180" s="1"/>
      <c r="BI180" s="1"/>
      <c r="BJ180" s="1"/>
      <c r="BK180" s="1"/>
      <c r="BL180" s="1"/>
      <c r="BM180" s="1"/>
      <c r="BN180" s="2"/>
      <c r="BO180" s="1"/>
      <c r="BP180" s="1"/>
      <c r="BQ180" s="1"/>
      <c r="BR180" s="1"/>
      <c r="BS180" s="1" t="s">
        <v>1771</v>
      </c>
      <c r="BT180" s="5">
        <f>HYPERLINK("https%3A%2F%2Fwww.webofscience.com%2Fwos%2Fwoscc%2Ffull-record%2FWOS:A1980JL22200007","View Full Record in Web of Science")</f>
      </c>
    </row>
    <row x14ac:dyDescent="0.25" r="181" customHeight="1" ht="12.75">
      <c r="A181" s="1" t="s">
        <v>72</v>
      </c>
      <c r="B181" s="1" t="s">
        <v>1772</v>
      </c>
      <c r="C181" s="1"/>
      <c r="D181" s="1"/>
      <c r="E181" s="1"/>
      <c r="F181" s="1" t="s">
        <v>1772</v>
      </c>
      <c r="G181" s="1"/>
      <c r="H181" s="1"/>
      <c r="I181" s="1" t="s">
        <v>1773</v>
      </c>
      <c r="J181" s="1" t="s">
        <v>1774</v>
      </c>
      <c r="K181" s="1"/>
      <c r="L181" s="1"/>
      <c r="M181" s="1"/>
      <c r="N181" s="1"/>
      <c r="O181" s="1"/>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t="s">
        <v>1775</v>
      </c>
      <c r="AP181" s="1"/>
      <c r="AQ181" s="1"/>
      <c r="AR181" s="1"/>
      <c r="AS181" s="1"/>
      <c r="AT181" s="1"/>
      <c r="AU181" s="3">
        <v>1978</v>
      </c>
      <c r="AV181" s="3">
        <v>10</v>
      </c>
      <c r="AW181" s="3">
        <v>7</v>
      </c>
      <c r="AX181" s="2"/>
      <c r="AY181" s="2"/>
      <c r="AZ181" s="1"/>
      <c r="BA181" s="2"/>
      <c r="BB181" s="3">
        <v>677</v>
      </c>
      <c r="BC181" s="3">
        <v>686</v>
      </c>
      <c r="BD181" s="2"/>
      <c r="BE181" s="1" t="s">
        <v>1776</v>
      </c>
      <c r="BF181" s="4">
        <f>HYPERLINK("http://dx.doi.org/10.1002/kin.550100704","http://dx.doi.org/10.1002/kin.550100704")</f>
      </c>
      <c r="BG181" s="1"/>
      <c r="BH181" s="1"/>
      <c r="BI181" s="1"/>
      <c r="BJ181" s="1"/>
      <c r="BK181" s="1"/>
      <c r="BL181" s="1"/>
      <c r="BM181" s="1"/>
      <c r="BN181" s="2"/>
      <c r="BO181" s="1"/>
      <c r="BP181" s="1"/>
      <c r="BQ181" s="1"/>
      <c r="BR181" s="1"/>
      <c r="BS181" s="1" t="s">
        <v>1777</v>
      </c>
      <c r="BT181" s="5">
        <f>HYPERLINK("https%3A%2F%2Fwww.webofscience.com%2Fwos%2Fwoscc%2Ffull-record%2FWOS:A1978FN31100003","View Full Record in Web of Science")</f>
      </c>
    </row>
    <row x14ac:dyDescent="0.25" r="182" customHeight="1" ht="12.75">
      <c r="A182" s="1" t="s">
        <v>72</v>
      </c>
      <c r="B182" s="1" t="s">
        <v>1778</v>
      </c>
      <c r="C182" s="1"/>
      <c r="D182" s="1"/>
      <c r="E182" s="1"/>
      <c r="F182" s="1" t="s">
        <v>1778</v>
      </c>
      <c r="G182" s="1"/>
      <c r="H182" s="1"/>
      <c r="I182" s="1" t="s">
        <v>1779</v>
      </c>
      <c r="J182" s="1" t="s">
        <v>1780</v>
      </c>
      <c r="K182" s="1"/>
      <c r="L182" s="1"/>
      <c r="M182" s="1"/>
      <c r="N182" s="1"/>
      <c r="O182" s="1"/>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t="s">
        <v>1781</v>
      </c>
      <c r="AP182" s="1"/>
      <c r="AQ182" s="1"/>
      <c r="AR182" s="1"/>
      <c r="AS182" s="1"/>
      <c r="AT182" s="1"/>
      <c r="AU182" s="3">
        <v>1977</v>
      </c>
      <c r="AV182" s="2" t="s">
        <v>1782</v>
      </c>
      <c r="AW182" s="3">
        <v>1</v>
      </c>
      <c r="AX182" s="2"/>
      <c r="AY182" s="2"/>
      <c r="AZ182" s="1"/>
      <c r="BA182" s="2"/>
      <c r="BB182" s="3">
        <v>65</v>
      </c>
      <c r="BC182" s="3">
        <v>72</v>
      </c>
      <c r="BD182" s="2"/>
      <c r="BE182" s="1" t="s">
        <v>1783</v>
      </c>
      <c r="BF182" s="4">
        <f>HYPERLINK("http://dx.doi.org/10.1080/00222337708061252","http://dx.doi.org/10.1080/00222337708061252")</f>
      </c>
      <c r="BG182" s="1"/>
      <c r="BH182" s="1"/>
      <c r="BI182" s="1"/>
      <c r="BJ182" s="1"/>
      <c r="BK182" s="1"/>
      <c r="BL182" s="1"/>
      <c r="BM182" s="1"/>
      <c r="BN182" s="2"/>
      <c r="BO182" s="1"/>
      <c r="BP182" s="1"/>
      <c r="BQ182" s="1"/>
      <c r="BR182" s="1"/>
      <c r="BS182" s="1" t="s">
        <v>1784</v>
      </c>
      <c r="BT182" s="5">
        <f>HYPERLINK("https%3A%2F%2Fwww.webofscience.com%2Fwos%2Fwoscc%2Ffull-record%2FWOS:A1977DP84900005","View Full Record in Web of Science")</f>
      </c>
    </row>
    <row x14ac:dyDescent="0.25" r="183" customHeight="1" ht="12.75">
      <c r="A183" s="1" t="s">
        <v>72</v>
      </c>
      <c r="B183" s="1" t="s">
        <v>1785</v>
      </c>
      <c r="C183" s="1"/>
      <c r="D183" s="1"/>
      <c r="E183" s="1"/>
      <c r="F183" s="1" t="s">
        <v>1785</v>
      </c>
      <c r="G183" s="1"/>
      <c r="H183" s="1"/>
      <c r="I183" s="1" t="s">
        <v>1786</v>
      </c>
      <c r="J183" s="1" t="s">
        <v>1787</v>
      </c>
      <c r="K183" s="1"/>
      <c r="L183" s="1"/>
      <c r="M183" s="1"/>
      <c r="N183" s="1"/>
      <c r="O183" s="1"/>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t="s">
        <v>1788</v>
      </c>
      <c r="AP183" s="1"/>
      <c r="AQ183" s="1"/>
      <c r="AR183" s="1"/>
      <c r="AS183" s="1"/>
      <c r="AT183" s="1"/>
      <c r="AU183" s="3">
        <v>1976</v>
      </c>
      <c r="AV183" s="3">
        <v>54</v>
      </c>
      <c r="AW183" s="3">
        <v>13</v>
      </c>
      <c r="AX183" s="2"/>
      <c r="AY183" s="2"/>
      <c r="AZ183" s="1"/>
      <c r="BA183" s="2"/>
      <c r="BB183" s="3">
        <v>1995</v>
      </c>
      <c r="BC183" s="3">
        <v>1997</v>
      </c>
      <c r="BD183" s="2"/>
      <c r="BE183" s="1" t="s">
        <v>1789</v>
      </c>
      <c r="BF183" s="4">
        <f>HYPERLINK("http://dx.doi.org/10.1139/v76-286","http://dx.doi.org/10.1139/v76-286")</f>
      </c>
      <c r="BG183" s="1"/>
      <c r="BH183" s="1"/>
      <c r="BI183" s="1"/>
      <c r="BJ183" s="1"/>
      <c r="BK183" s="1"/>
      <c r="BL183" s="1"/>
      <c r="BM183" s="1"/>
      <c r="BN183" s="2"/>
      <c r="BO183" s="1"/>
      <c r="BP183" s="1"/>
      <c r="BQ183" s="1"/>
      <c r="BR183" s="1"/>
      <c r="BS183" s="1" t="s">
        <v>1790</v>
      </c>
      <c r="BT183" s="5">
        <f>HYPERLINK("https%3A%2F%2Fwww.webofscience.com%2Fwos%2Fwoscc%2Ffull-record%2FWOS:A1976BZ88100001","View Full Record in Web of Science")</f>
      </c>
    </row>
    <row x14ac:dyDescent="0.25" r="184" customHeight="1" ht="12.75">
      <c r="A184" s="1" t="s">
        <v>72</v>
      </c>
      <c r="B184" s="1" t="s">
        <v>1791</v>
      </c>
      <c r="C184" s="1"/>
      <c r="D184" s="1"/>
      <c r="E184" s="1"/>
      <c r="F184" s="1" t="s">
        <v>1791</v>
      </c>
      <c r="G184" s="1"/>
      <c r="H184" s="1"/>
      <c r="I184" s="1" t="s">
        <v>1792</v>
      </c>
      <c r="J184" s="1" t="s">
        <v>1793</v>
      </c>
      <c r="K184" s="1"/>
      <c r="L184" s="1"/>
      <c r="M184" s="1"/>
      <c r="N184" s="1"/>
      <c r="O184" s="1"/>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t="s">
        <v>1794</v>
      </c>
      <c r="AP184" s="1"/>
      <c r="AQ184" s="1"/>
      <c r="AR184" s="1"/>
      <c r="AS184" s="1"/>
      <c r="AT184" s="1"/>
      <c r="AU184" s="3">
        <v>1976</v>
      </c>
      <c r="AV184" s="3">
        <v>14</v>
      </c>
      <c r="AW184" s="3">
        <v>8</v>
      </c>
      <c r="AX184" s="2"/>
      <c r="AY184" s="2"/>
      <c r="AZ184" s="1"/>
      <c r="BA184" s="2"/>
      <c r="BB184" s="3">
        <v>499</v>
      </c>
      <c r="BC184" s="3">
        <v>502</v>
      </c>
      <c r="BD184" s="2"/>
      <c r="BE184" s="1" t="s">
        <v>1795</v>
      </c>
      <c r="BF184" s="4">
        <f>HYPERLINK("http://dx.doi.org/10.1002/pol.1976.130140811","http://dx.doi.org/10.1002/pol.1976.130140811")</f>
      </c>
      <c r="BG184" s="1"/>
      <c r="BH184" s="1"/>
      <c r="BI184" s="1"/>
      <c r="BJ184" s="1"/>
      <c r="BK184" s="1"/>
      <c r="BL184" s="1"/>
      <c r="BM184" s="1"/>
      <c r="BN184" s="2"/>
      <c r="BO184" s="1"/>
      <c r="BP184" s="1"/>
      <c r="BQ184" s="1"/>
      <c r="BR184" s="1"/>
      <c r="BS184" s="1" t="s">
        <v>1796</v>
      </c>
      <c r="BT184" s="5">
        <f>HYPERLINK("https%3A%2F%2Fwww.webofscience.com%2Fwos%2Fwoscc%2Ffull-record%2FWOS:A1976CA38500011","View Full Record in Web of Science")</f>
      </c>
    </row>
    <row x14ac:dyDescent="0.25" r="185" customHeight="1" ht="12.75">
      <c r="A185" s="1" t="s">
        <v>72</v>
      </c>
      <c r="B185" s="1" t="s">
        <v>1797</v>
      </c>
      <c r="C185" s="1"/>
      <c r="D185" s="1"/>
      <c r="E185" s="1"/>
      <c r="F185" s="1" t="s">
        <v>1798</v>
      </c>
      <c r="G185" s="1"/>
      <c r="H185" s="1"/>
      <c r="I185" s="1" t="s">
        <v>1799</v>
      </c>
      <c r="J185" s="1" t="s">
        <v>1150</v>
      </c>
      <c r="K185" s="1"/>
      <c r="L185" s="1"/>
      <c r="M185" s="1"/>
      <c r="N185" s="1"/>
      <c r="O185" s="1"/>
      <c r="P185" s="2"/>
      <c r="Q185" s="1"/>
      <c r="R185" s="1"/>
      <c r="S185" s="1"/>
      <c r="T185" s="1"/>
      <c r="U185" s="1"/>
      <c r="V185" s="1" t="s">
        <v>1800</v>
      </c>
      <c r="W185" s="1"/>
      <c r="X185" s="1"/>
      <c r="Y185" s="1"/>
      <c r="Z185" s="1"/>
      <c r="AA185" s="1" t="s">
        <v>1801</v>
      </c>
      <c r="AB185" s="1"/>
      <c r="AC185" s="1"/>
      <c r="AD185" s="1"/>
      <c r="AE185" s="1"/>
      <c r="AF185" s="1"/>
      <c r="AG185" s="1"/>
      <c r="AH185" s="1"/>
      <c r="AI185" s="1"/>
      <c r="AJ185" s="1"/>
      <c r="AK185" s="1"/>
      <c r="AL185" s="1"/>
      <c r="AM185" s="1"/>
      <c r="AN185" s="1"/>
      <c r="AO185" s="1"/>
      <c r="AP185" s="1" t="s">
        <v>1153</v>
      </c>
      <c r="AQ185" s="1"/>
      <c r="AR185" s="1"/>
      <c r="AS185" s="1"/>
      <c r="AT185" s="1" t="s">
        <v>1802</v>
      </c>
      <c r="AU185" s="3">
        <v>2025</v>
      </c>
      <c r="AV185" s="3">
        <v>25</v>
      </c>
      <c r="AW185" s="3">
        <v>6</v>
      </c>
      <c r="AX185" s="2"/>
      <c r="AY185" s="2"/>
      <c r="AZ185" s="1"/>
      <c r="BA185" s="2"/>
      <c r="BB185" s="2"/>
      <c r="BC185" s="2"/>
      <c r="BD185" s="3">
        <v>1940</v>
      </c>
      <c r="BE185" s="1" t="s">
        <v>1803</v>
      </c>
      <c r="BF185" s="4">
        <f>HYPERLINK("http://dx.doi.org/10.3390/s25061940","http://dx.doi.org/10.3390/s25061940")</f>
      </c>
      <c r="BG185" s="1"/>
      <c r="BH185" s="1"/>
      <c r="BI185" s="1"/>
      <c r="BJ185" s="1"/>
      <c r="BK185" s="1"/>
      <c r="BL185" s="1"/>
      <c r="BM185" s="1"/>
      <c r="BN185" s="3">
        <v>40293078</v>
      </c>
      <c r="BO185" s="1"/>
      <c r="BP185" s="1"/>
      <c r="BQ185" s="1"/>
      <c r="BR185" s="1"/>
      <c r="BS185" s="1" t="s">
        <v>1804</v>
      </c>
      <c r="BT185" s="5">
        <f>HYPERLINK("https%3A%2F%2Fwww.webofscience.com%2Fwos%2Fwoscc%2Ffull-record%2FWOS:001453792900001","View Full Record in Web of Science")</f>
      </c>
    </row>
    <row x14ac:dyDescent="0.25" r="186" customHeight="1" ht="12.75">
      <c r="A186" s="1" t="s">
        <v>72</v>
      </c>
      <c r="B186" s="1" t="s">
        <v>1805</v>
      </c>
      <c r="C186" s="1"/>
      <c r="D186" s="1"/>
      <c r="E186" s="1"/>
      <c r="F186" s="1" t="s">
        <v>1806</v>
      </c>
      <c r="G186" s="1"/>
      <c r="H186" s="1"/>
      <c r="I186" s="1" t="s">
        <v>1807</v>
      </c>
      <c r="J186" s="1" t="s">
        <v>1808</v>
      </c>
      <c r="K186" s="1"/>
      <c r="L186" s="1"/>
      <c r="M186" s="1"/>
      <c r="N186" s="1"/>
      <c r="O186" s="1"/>
      <c r="P186" s="2"/>
      <c r="Q186" s="1"/>
      <c r="R186" s="1"/>
      <c r="S186" s="1"/>
      <c r="T186" s="1"/>
      <c r="U186" s="1"/>
      <c r="V186" s="1" t="s">
        <v>1809</v>
      </c>
      <c r="W186" s="1"/>
      <c r="X186" s="1"/>
      <c r="Y186" s="1"/>
      <c r="Z186" s="1"/>
      <c r="AA186" s="1"/>
      <c r="AB186" s="1"/>
      <c r="AC186" s="1"/>
      <c r="AD186" s="1"/>
      <c r="AE186" s="1"/>
      <c r="AF186" s="1"/>
      <c r="AG186" s="1"/>
      <c r="AH186" s="1"/>
      <c r="AI186" s="1"/>
      <c r="AJ186" s="1"/>
      <c r="AK186" s="1"/>
      <c r="AL186" s="1"/>
      <c r="AM186" s="1"/>
      <c r="AN186" s="1"/>
      <c r="AO186" s="1" t="s">
        <v>1810</v>
      </c>
      <c r="AP186" s="1"/>
      <c r="AQ186" s="1"/>
      <c r="AR186" s="1"/>
      <c r="AS186" s="1"/>
      <c r="AT186" s="1" t="s">
        <v>158</v>
      </c>
      <c r="AU186" s="3">
        <v>2024</v>
      </c>
      <c r="AV186" s="3">
        <v>22</v>
      </c>
      <c r="AW186" s="3">
        <v>1</v>
      </c>
      <c r="AX186" s="2"/>
      <c r="AY186" s="2"/>
      <c r="AZ186" s="1"/>
      <c r="BA186" s="2"/>
      <c r="BB186" s="2"/>
      <c r="BC186" s="2"/>
      <c r="BD186" s="3">
        <v>59027</v>
      </c>
      <c r="BE186" s="1" t="s">
        <v>1811</v>
      </c>
      <c r="BF186" s="4">
        <f>HYPERLINK("http://dx.doi.org/10.15517/psm.v22i1.59027","http://dx.doi.org/10.15517/psm.v22i1.59027")</f>
      </c>
      <c r="BG186" s="1"/>
      <c r="BH186" s="1"/>
      <c r="BI186" s="1"/>
      <c r="BJ186" s="1"/>
      <c r="BK186" s="1"/>
      <c r="BL186" s="1"/>
      <c r="BM186" s="1"/>
      <c r="BN186" s="2"/>
      <c r="BO186" s="1"/>
      <c r="BP186" s="1"/>
      <c r="BQ186" s="1"/>
      <c r="BR186" s="1"/>
      <c r="BS186" s="1" t="s">
        <v>1812</v>
      </c>
      <c r="BT186" s="5">
        <f>HYPERLINK("https%3A%2F%2Fwww.webofscience.com%2Fwos%2Fwoscc%2Ffull-record%2FWOS:001361732600004","View Full Record in Web of Science")</f>
      </c>
    </row>
    <row x14ac:dyDescent="0.25" r="187" customHeight="1" ht="12.75">
      <c r="A187" s="1" t="s">
        <v>72</v>
      </c>
      <c r="B187" s="1" t="s">
        <v>1813</v>
      </c>
      <c r="C187" s="1"/>
      <c r="D187" s="1"/>
      <c r="E187" s="1"/>
      <c r="F187" s="1" t="s">
        <v>1814</v>
      </c>
      <c r="G187" s="1"/>
      <c r="H187" s="1"/>
      <c r="I187" s="1" t="s">
        <v>1815</v>
      </c>
      <c r="J187" s="1" t="s">
        <v>1816</v>
      </c>
      <c r="K187" s="1"/>
      <c r="L187" s="1"/>
      <c r="M187" s="1"/>
      <c r="N187" s="1"/>
      <c r="O187" s="1"/>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t="s">
        <v>1817</v>
      </c>
      <c r="AP187" s="1" t="s">
        <v>1818</v>
      </c>
      <c r="AQ187" s="1"/>
      <c r="AR187" s="1"/>
      <c r="AS187" s="1"/>
      <c r="AT187" s="1" t="s">
        <v>757</v>
      </c>
      <c r="AU187" s="3">
        <v>2024</v>
      </c>
      <c r="AV187" s="3">
        <v>52</v>
      </c>
      <c r="AW187" s="2"/>
      <c r="AX187" s="2"/>
      <c r="AY187" s="2"/>
      <c r="AZ187" s="1"/>
      <c r="BA187" s="2"/>
      <c r="BB187" s="3">
        <v>325</v>
      </c>
      <c r="BC187" s="3">
        <v>328</v>
      </c>
      <c r="BD187" s="2"/>
      <c r="BE187" s="1" t="s">
        <v>1819</v>
      </c>
      <c r="BF187" s="4">
        <f>HYPERLINK("http://dx.doi.org/10.12795/Temas-Americanistas.2024.i52.18","http://dx.doi.org/10.12795/Temas-Americanistas.2024.i52.18")</f>
      </c>
      <c r="BG187" s="1"/>
      <c r="BH187" s="1"/>
      <c r="BI187" s="1"/>
      <c r="BJ187" s="1"/>
      <c r="BK187" s="1"/>
      <c r="BL187" s="1"/>
      <c r="BM187" s="1"/>
      <c r="BN187" s="2"/>
      <c r="BO187" s="1"/>
      <c r="BP187" s="1"/>
      <c r="BQ187" s="1"/>
      <c r="BR187" s="1"/>
      <c r="BS187" s="1" t="s">
        <v>1820</v>
      </c>
      <c r="BT187" s="5">
        <f>HYPERLINK("https%3A%2F%2Fwww.webofscience.com%2Fwos%2Fwoscc%2Ffull-record%2FWOS:001371367100018","View Full Record in Web of Science")</f>
      </c>
    </row>
    <row x14ac:dyDescent="0.25" r="188" customHeight="1" ht="12.75">
      <c r="A188" s="1" t="s">
        <v>72</v>
      </c>
      <c r="B188" s="1" t="s">
        <v>1821</v>
      </c>
      <c r="C188" s="1"/>
      <c r="D188" s="1"/>
      <c r="E188" s="1"/>
      <c r="F188" s="1" t="s">
        <v>1822</v>
      </c>
      <c r="G188" s="1"/>
      <c r="H188" s="1"/>
      <c r="I188" s="1" t="s">
        <v>1823</v>
      </c>
      <c r="J188" s="1" t="s">
        <v>1824</v>
      </c>
      <c r="K188" s="1"/>
      <c r="L188" s="1"/>
      <c r="M188" s="1"/>
      <c r="N188" s="1"/>
      <c r="O188" s="1"/>
      <c r="P188" s="2"/>
      <c r="Q188" s="1"/>
      <c r="R188" s="1"/>
      <c r="S188" s="1"/>
      <c r="T188" s="1"/>
      <c r="U188" s="1"/>
      <c r="V188" s="1" t="s">
        <v>1825</v>
      </c>
      <c r="W188" s="1"/>
      <c r="X188" s="1"/>
      <c r="Y188" s="1"/>
      <c r="Z188" s="1"/>
      <c r="AA188" s="1"/>
      <c r="AB188" s="1" t="s">
        <v>1826</v>
      </c>
      <c r="AC188" s="1"/>
      <c r="AD188" s="1"/>
      <c r="AE188" s="1"/>
      <c r="AF188" s="1"/>
      <c r="AG188" s="1"/>
      <c r="AH188" s="1"/>
      <c r="AI188" s="1"/>
      <c r="AJ188" s="1"/>
      <c r="AK188" s="1"/>
      <c r="AL188" s="1"/>
      <c r="AM188" s="1"/>
      <c r="AN188" s="1"/>
      <c r="AO188" s="1" t="s">
        <v>1827</v>
      </c>
      <c r="AP188" s="1"/>
      <c r="AQ188" s="1"/>
      <c r="AR188" s="1"/>
      <c r="AS188" s="1"/>
      <c r="AT188" s="1" t="s">
        <v>1828</v>
      </c>
      <c r="AU188" s="3">
        <v>2024</v>
      </c>
      <c r="AV188" s="3">
        <v>19</v>
      </c>
      <c r="AW188" s="3">
        <v>4</v>
      </c>
      <c r="AX188" s="2"/>
      <c r="AY188" s="2"/>
      <c r="AZ188" s="1"/>
      <c r="BA188" s="2"/>
      <c r="BB188" s="2"/>
      <c r="BC188" s="2"/>
      <c r="BD188" s="2" t="s">
        <v>1829</v>
      </c>
      <c r="BE188" s="1" t="s">
        <v>1830</v>
      </c>
      <c r="BF188" s="4">
        <f>HYPERLINK("http://dx.doi.org/10.1371/journal.pone.0297906","http://dx.doi.org/10.1371/journal.pone.0297906")</f>
      </c>
      <c r="BG188" s="1"/>
      <c r="BH188" s="1"/>
      <c r="BI188" s="1"/>
      <c r="BJ188" s="1"/>
      <c r="BK188" s="1"/>
      <c r="BL188" s="1"/>
      <c r="BM188" s="1"/>
      <c r="BN188" s="3">
        <v>38635512</v>
      </c>
      <c r="BO188" s="1"/>
      <c r="BP188" s="1"/>
      <c r="BQ188" s="1"/>
      <c r="BR188" s="1"/>
      <c r="BS188" s="1" t="s">
        <v>1831</v>
      </c>
      <c r="BT188" s="5">
        <f>HYPERLINK("https%3A%2F%2Fwww.webofscience.com%2Fwos%2Fwoscc%2Ffull-record%2FWOS:001207320100052","View Full Record in Web of Science")</f>
      </c>
    </row>
    <row x14ac:dyDescent="0.25" r="189" customHeight="1" ht="12.75">
      <c r="A189" s="1" t="s">
        <v>72</v>
      </c>
      <c r="B189" s="1" t="s">
        <v>1832</v>
      </c>
      <c r="C189" s="1"/>
      <c r="D189" s="1"/>
      <c r="E189" s="1"/>
      <c r="F189" s="1" t="s">
        <v>1833</v>
      </c>
      <c r="G189" s="1"/>
      <c r="H189" s="1"/>
      <c r="I189" s="1" t="s">
        <v>1834</v>
      </c>
      <c r="J189" s="1" t="s">
        <v>1835</v>
      </c>
      <c r="K189" s="1"/>
      <c r="L189" s="1"/>
      <c r="M189" s="1"/>
      <c r="N189" s="1"/>
      <c r="O189" s="1"/>
      <c r="P189" s="2"/>
      <c r="Q189" s="1"/>
      <c r="R189" s="1"/>
      <c r="S189" s="1"/>
      <c r="T189" s="1"/>
      <c r="U189" s="1"/>
      <c r="V189" s="1"/>
      <c r="W189" s="1"/>
      <c r="X189" s="1"/>
      <c r="Y189" s="1"/>
      <c r="Z189" s="1"/>
      <c r="AA189" s="1" t="s">
        <v>1836</v>
      </c>
      <c r="AB189" s="1"/>
      <c r="AC189" s="1"/>
      <c r="AD189" s="1"/>
      <c r="AE189" s="1"/>
      <c r="AF189" s="1"/>
      <c r="AG189" s="1"/>
      <c r="AH189" s="1"/>
      <c r="AI189" s="1"/>
      <c r="AJ189" s="1"/>
      <c r="AK189" s="1"/>
      <c r="AL189" s="1"/>
      <c r="AM189" s="1"/>
      <c r="AN189" s="1"/>
      <c r="AO189" s="1" t="s">
        <v>1837</v>
      </c>
      <c r="AP189" s="1" t="s">
        <v>1838</v>
      </c>
      <c r="AQ189" s="1"/>
      <c r="AR189" s="1"/>
      <c r="AS189" s="1"/>
      <c r="AT189" s="1"/>
      <c r="AU189" s="3">
        <v>2024</v>
      </c>
      <c r="AV189" s="2"/>
      <c r="AW189" s="3">
        <v>50</v>
      </c>
      <c r="AX189" s="2"/>
      <c r="AY189" s="2"/>
      <c r="AZ189" s="1"/>
      <c r="BA189" s="2"/>
      <c r="BB189" s="3">
        <v>122</v>
      </c>
      <c r="BC189" s="3">
        <v>123</v>
      </c>
      <c r="BD189" s="2"/>
      <c r="BE189" s="1"/>
      <c r="BF189" s="1"/>
      <c r="BG189" s="1"/>
      <c r="BH189" s="1"/>
      <c r="BI189" s="1"/>
      <c r="BJ189" s="1"/>
      <c r="BK189" s="1"/>
      <c r="BL189" s="1"/>
      <c r="BM189" s="1"/>
      <c r="BN189" s="2"/>
      <c r="BO189" s="1"/>
      <c r="BP189" s="1"/>
      <c r="BQ189" s="1"/>
      <c r="BR189" s="1"/>
      <c r="BS189" s="1" t="s">
        <v>1839</v>
      </c>
      <c r="BT189" s="5">
        <f>HYPERLINK("https%3A%2F%2Fwww.webofscience.com%2Fwos%2Fwoscc%2Ffull-record%2FWOS:001416185400011","View Full Record in Web of Science")</f>
      </c>
    </row>
    <row x14ac:dyDescent="0.25" r="190" customHeight="1" ht="12.75">
      <c r="A190" s="1" t="s">
        <v>72</v>
      </c>
      <c r="B190" s="1" t="s">
        <v>1840</v>
      </c>
      <c r="C190" s="1"/>
      <c r="D190" s="1"/>
      <c r="E190" s="1"/>
      <c r="F190" s="1" t="s">
        <v>1841</v>
      </c>
      <c r="G190" s="1"/>
      <c r="H190" s="1"/>
      <c r="I190" s="1" t="s">
        <v>1842</v>
      </c>
      <c r="J190" s="1" t="s">
        <v>1843</v>
      </c>
      <c r="K190" s="1"/>
      <c r="L190" s="1"/>
      <c r="M190" s="1"/>
      <c r="N190" s="1"/>
      <c r="O190" s="1"/>
      <c r="P190" s="2"/>
      <c r="Q190" s="1"/>
      <c r="R190" s="1"/>
      <c r="S190" s="1"/>
      <c r="T190" s="1"/>
      <c r="U190" s="1"/>
      <c r="V190" s="1" t="s">
        <v>1844</v>
      </c>
      <c r="W190" s="1"/>
      <c r="X190" s="1"/>
      <c r="Y190" s="1"/>
      <c r="Z190" s="1"/>
      <c r="AA190" s="1" t="s">
        <v>1845</v>
      </c>
      <c r="AB190" s="1" t="s">
        <v>1846</v>
      </c>
      <c r="AC190" s="1"/>
      <c r="AD190" s="1"/>
      <c r="AE190" s="1"/>
      <c r="AF190" s="1"/>
      <c r="AG190" s="1"/>
      <c r="AH190" s="1"/>
      <c r="AI190" s="1"/>
      <c r="AJ190" s="1"/>
      <c r="AK190" s="1"/>
      <c r="AL190" s="1"/>
      <c r="AM190" s="1"/>
      <c r="AN190" s="1"/>
      <c r="AO190" s="1" t="s">
        <v>1847</v>
      </c>
      <c r="AP190" s="1" t="s">
        <v>1848</v>
      </c>
      <c r="AQ190" s="1"/>
      <c r="AR190" s="1"/>
      <c r="AS190" s="1"/>
      <c r="AT190" s="1" t="s">
        <v>1849</v>
      </c>
      <c r="AU190" s="3">
        <v>2024</v>
      </c>
      <c r="AV190" s="3">
        <v>434</v>
      </c>
      <c r="AW190" s="2"/>
      <c r="AX190" s="2"/>
      <c r="AY190" s="2"/>
      <c r="AZ190" s="1"/>
      <c r="BA190" s="2"/>
      <c r="BB190" s="2"/>
      <c r="BC190" s="2"/>
      <c r="BD190" s="3">
        <v>140350</v>
      </c>
      <c r="BE190" s="1" t="s">
        <v>1850</v>
      </c>
      <c r="BF190" s="4">
        <f>HYPERLINK("http://dx.doi.org/10.1016/j.jclepro.2023.140350","http://dx.doi.org/10.1016/j.jclepro.2023.140350")</f>
      </c>
      <c r="BG190" s="1"/>
      <c r="BH190" s="1" t="s">
        <v>1851</v>
      </c>
      <c r="BI190" s="1"/>
      <c r="BJ190" s="1"/>
      <c r="BK190" s="1"/>
      <c r="BL190" s="1"/>
      <c r="BM190" s="1"/>
      <c r="BN190" s="2"/>
      <c r="BO190" s="1"/>
      <c r="BP190" s="1"/>
      <c r="BQ190" s="1"/>
      <c r="BR190" s="1"/>
      <c r="BS190" s="1" t="s">
        <v>1852</v>
      </c>
      <c r="BT190" s="5">
        <f>HYPERLINK("https%3A%2F%2Fwww.webofscience.com%2Fwos%2Fwoscc%2Ffull-record%2FWOS:001165939500001","View Full Record in Web of Science")</f>
      </c>
    </row>
    <row x14ac:dyDescent="0.25" r="191" customHeight="1" ht="12.75">
      <c r="A191" s="1" t="s">
        <v>72</v>
      </c>
      <c r="B191" s="1" t="s">
        <v>1853</v>
      </c>
      <c r="C191" s="1"/>
      <c r="D191" s="1"/>
      <c r="E191" s="1"/>
      <c r="F191" s="1" t="s">
        <v>1854</v>
      </c>
      <c r="G191" s="1"/>
      <c r="H191" s="1"/>
      <c r="I191" s="1" t="s">
        <v>1855</v>
      </c>
      <c r="J191" s="1" t="s">
        <v>1856</v>
      </c>
      <c r="K191" s="1"/>
      <c r="L191" s="1"/>
      <c r="M191" s="1"/>
      <c r="N191" s="1"/>
      <c r="O191" s="1"/>
      <c r="P191" s="2"/>
      <c r="Q191" s="1"/>
      <c r="R191" s="1"/>
      <c r="S191" s="1"/>
      <c r="T191" s="1"/>
      <c r="U191" s="1"/>
      <c r="V191" s="1" t="s">
        <v>1857</v>
      </c>
      <c r="W191" s="1"/>
      <c r="X191" s="1"/>
      <c r="Y191" s="1"/>
      <c r="Z191" s="1"/>
      <c r="AA191" s="1"/>
      <c r="AB191" s="1"/>
      <c r="AC191" s="1"/>
      <c r="AD191" s="1"/>
      <c r="AE191" s="1"/>
      <c r="AF191" s="1"/>
      <c r="AG191" s="1"/>
      <c r="AH191" s="1"/>
      <c r="AI191" s="1"/>
      <c r="AJ191" s="1"/>
      <c r="AK191" s="1"/>
      <c r="AL191" s="1"/>
      <c r="AM191" s="1"/>
      <c r="AN191" s="1"/>
      <c r="AO191" s="1" t="s">
        <v>1858</v>
      </c>
      <c r="AP191" s="1"/>
      <c r="AQ191" s="1"/>
      <c r="AR191" s="1"/>
      <c r="AS191" s="1"/>
      <c r="AT191" s="1" t="s">
        <v>126</v>
      </c>
      <c r="AU191" s="3">
        <v>2023</v>
      </c>
      <c r="AV191" s="3">
        <v>23</v>
      </c>
      <c r="AW191" s="2"/>
      <c r="AX191" s="2"/>
      <c r="AY191" s="2"/>
      <c r="AZ191" s="1"/>
      <c r="BA191" s="2"/>
      <c r="BB191" s="2"/>
      <c r="BC191" s="2"/>
      <c r="BD191" s="3">
        <v>101493</v>
      </c>
      <c r="BE191" s="1" t="s">
        <v>1859</v>
      </c>
      <c r="BF191" s="4">
        <f>HYPERLINK("http://dx.doi.org/10.1016/j.softx.2023.101493","http://dx.doi.org/10.1016/j.softx.2023.101493")</f>
      </c>
      <c r="BG191" s="1"/>
      <c r="BH191" s="1" t="s">
        <v>1019</v>
      </c>
      <c r="BI191" s="1"/>
      <c r="BJ191" s="1"/>
      <c r="BK191" s="1"/>
      <c r="BL191" s="1"/>
      <c r="BM191" s="1"/>
      <c r="BN191" s="2"/>
      <c r="BO191" s="1"/>
      <c r="BP191" s="1"/>
      <c r="BQ191" s="1"/>
      <c r="BR191" s="1"/>
      <c r="BS191" s="1" t="s">
        <v>1860</v>
      </c>
      <c r="BT191" s="5">
        <f>HYPERLINK("https%3A%2F%2Fwww.webofscience.com%2Fwos%2Fwoscc%2Ffull-record%2FWOS:001097091400001","View Full Record in Web of Science")</f>
      </c>
    </row>
    <row x14ac:dyDescent="0.25" r="192" customHeight="1" ht="12.75">
      <c r="A192" s="1" t="s">
        <v>72</v>
      </c>
      <c r="B192" s="1" t="s">
        <v>1861</v>
      </c>
      <c r="C192" s="1"/>
      <c r="D192" s="1"/>
      <c r="E192" s="1"/>
      <c r="F192" s="1" t="s">
        <v>1862</v>
      </c>
      <c r="G192" s="1"/>
      <c r="H192" s="1"/>
      <c r="I192" s="1" t="s">
        <v>1863</v>
      </c>
      <c r="J192" s="1" t="s">
        <v>1864</v>
      </c>
      <c r="K192" s="1"/>
      <c r="L192" s="1"/>
      <c r="M192" s="1"/>
      <c r="N192" s="1"/>
      <c r="O192" s="1"/>
      <c r="P192" s="2"/>
      <c r="Q192" s="1"/>
      <c r="R192" s="1"/>
      <c r="S192" s="1"/>
      <c r="T192" s="1"/>
      <c r="U192" s="1"/>
      <c r="V192" s="1" t="s">
        <v>1865</v>
      </c>
      <c r="W192" s="1"/>
      <c r="X192" s="1"/>
      <c r="Y192" s="1"/>
      <c r="Z192" s="1"/>
      <c r="AA192" s="1"/>
      <c r="AB192" s="1"/>
      <c r="AC192" s="1"/>
      <c r="AD192" s="1"/>
      <c r="AE192" s="1"/>
      <c r="AF192" s="1"/>
      <c r="AG192" s="1"/>
      <c r="AH192" s="1"/>
      <c r="AI192" s="1"/>
      <c r="AJ192" s="1"/>
      <c r="AK192" s="1"/>
      <c r="AL192" s="1"/>
      <c r="AM192" s="1"/>
      <c r="AN192" s="1"/>
      <c r="AO192" s="1" t="s">
        <v>1866</v>
      </c>
      <c r="AP192" s="1" t="s">
        <v>1867</v>
      </c>
      <c r="AQ192" s="1"/>
      <c r="AR192" s="1"/>
      <c r="AS192" s="1"/>
      <c r="AT192" s="1" t="s">
        <v>1868</v>
      </c>
      <c r="AU192" s="3">
        <v>2023</v>
      </c>
      <c r="AV192" s="3">
        <v>38</v>
      </c>
      <c r="AW192" s="3">
        <v>11</v>
      </c>
      <c r="AX192" s="2"/>
      <c r="AY192" s="2"/>
      <c r="AZ192" s="1"/>
      <c r="BA192" s="2"/>
      <c r="BB192" s="2"/>
      <c r="BC192" s="2"/>
      <c r="BD192" s="2"/>
      <c r="BE192" s="1" t="s">
        <v>1869</v>
      </c>
      <c r="BF192" s="4">
        <f>HYPERLINK("http://dx.doi.org/10.1142/S0217751X23500604","http://dx.doi.org/10.1142/S0217751X23500604")</f>
      </c>
      <c r="BG192" s="1"/>
      <c r="BH192" s="1" t="s">
        <v>1031</v>
      </c>
      <c r="BI192" s="1"/>
      <c r="BJ192" s="1"/>
      <c r="BK192" s="1"/>
      <c r="BL192" s="1"/>
      <c r="BM192" s="1"/>
      <c r="BN192" s="2"/>
      <c r="BO192" s="1"/>
      <c r="BP192" s="1"/>
      <c r="BQ192" s="1"/>
      <c r="BR192" s="1"/>
      <c r="BS192" s="1" t="s">
        <v>1870</v>
      </c>
      <c r="BT192" s="5">
        <f>HYPERLINK("https%3A%2F%2Fwww.webofscience.com%2Fwos%2Fwoscc%2Ffull-record%2FWOS:001018321900001","View Full Record in Web of Science")</f>
      </c>
    </row>
    <row x14ac:dyDescent="0.25" r="193" customHeight="1" ht="12.75">
      <c r="A193" s="1" t="s">
        <v>72</v>
      </c>
      <c r="B193" s="1" t="s">
        <v>160</v>
      </c>
      <c r="C193" s="1"/>
      <c r="D193" s="1"/>
      <c r="E193" s="1"/>
      <c r="F193" s="1" t="s">
        <v>161</v>
      </c>
      <c r="G193" s="1"/>
      <c r="H193" s="1"/>
      <c r="I193" s="1" t="s">
        <v>1871</v>
      </c>
      <c r="J193" s="1" t="s">
        <v>1872</v>
      </c>
      <c r="K193" s="1"/>
      <c r="L193" s="1"/>
      <c r="M193" s="1"/>
      <c r="N193" s="1"/>
      <c r="O193" s="1"/>
      <c r="P193" s="2"/>
      <c r="Q193" s="1"/>
      <c r="R193" s="1"/>
      <c r="S193" s="1"/>
      <c r="T193" s="1"/>
      <c r="U193" s="1"/>
      <c r="V193" s="1" t="s">
        <v>1873</v>
      </c>
      <c r="W193" s="1"/>
      <c r="X193" s="1"/>
      <c r="Y193" s="1"/>
      <c r="Z193" s="1"/>
      <c r="AA193" s="1" t="s">
        <v>1874</v>
      </c>
      <c r="AB193" s="1" t="s">
        <v>1875</v>
      </c>
      <c r="AC193" s="1"/>
      <c r="AD193" s="1"/>
      <c r="AE193" s="1"/>
      <c r="AF193" s="1"/>
      <c r="AG193" s="1"/>
      <c r="AH193" s="1"/>
      <c r="AI193" s="1"/>
      <c r="AJ193" s="1"/>
      <c r="AK193" s="1"/>
      <c r="AL193" s="1"/>
      <c r="AM193" s="1"/>
      <c r="AN193" s="1"/>
      <c r="AO193" s="1" t="s">
        <v>1876</v>
      </c>
      <c r="AP193" s="1" t="s">
        <v>1877</v>
      </c>
      <c r="AQ193" s="1"/>
      <c r="AR193" s="1"/>
      <c r="AS193" s="1"/>
      <c r="AT193" s="1" t="s">
        <v>757</v>
      </c>
      <c r="AU193" s="3">
        <v>2023</v>
      </c>
      <c r="AV193" s="3">
        <v>87</v>
      </c>
      <c r="AW193" s="2"/>
      <c r="AX193" s="2" t="s">
        <v>1878</v>
      </c>
      <c r="AY193" s="2"/>
      <c r="AZ193" s="1"/>
      <c r="BA193" s="2"/>
      <c r="BB193" s="2"/>
      <c r="BC193" s="2"/>
      <c r="BD193" s="3">
        <v>101554</v>
      </c>
      <c r="BE193" s="1" t="s">
        <v>1879</v>
      </c>
      <c r="BF193" s="4">
        <f>HYPERLINK("http://dx.doi.org/10.1016/j.seps.2023.101554","http://dx.doi.org/10.1016/j.seps.2023.101554")</f>
      </c>
      <c r="BG193" s="1"/>
      <c r="BH193" s="1" t="s">
        <v>172</v>
      </c>
      <c r="BI193" s="1"/>
      <c r="BJ193" s="1"/>
      <c r="BK193" s="1"/>
      <c r="BL193" s="1"/>
      <c r="BM193" s="1"/>
      <c r="BN193" s="2"/>
      <c r="BO193" s="1"/>
      <c r="BP193" s="1"/>
      <c r="BQ193" s="1"/>
      <c r="BR193" s="1"/>
      <c r="BS193" s="1" t="s">
        <v>1880</v>
      </c>
      <c r="BT193" s="5">
        <f>HYPERLINK("https%3A%2F%2Fwww.webofscience.com%2Fwos%2Fwoscc%2Ffull-record%2FWOS:001011322200001","View Full Record in Web of Science")</f>
      </c>
    </row>
    <row x14ac:dyDescent="0.25" r="194" customHeight="1" ht="12.75">
      <c r="A194" s="1" t="s">
        <v>72</v>
      </c>
      <c r="B194" s="1" t="s">
        <v>1881</v>
      </c>
      <c r="C194" s="1"/>
      <c r="D194" s="1"/>
      <c r="E194" s="1"/>
      <c r="F194" s="1" t="s">
        <v>1882</v>
      </c>
      <c r="G194" s="1"/>
      <c r="H194" s="1"/>
      <c r="I194" s="1" t="s">
        <v>1883</v>
      </c>
      <c r="J194" s="1" t="s">
        <v>1884</v>
      </c>
      <c r="K194" s="1"/>
      <c r="L194" s="1"/>
      <c r="M194" s="1"/>
      <c r="N194" s="1"/>
      <c r="O194" s="1"/>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t="s">
        <v>1885</v>
      </c>
      <c r="AP194" s="1" t="s">
        <v>1886</v>
      </c>
      <c r="AQ194" s="1"/>
      <c r="AR194" s="1"/>
      <c r="AS194" s="1"/>
      <c r="AT194" s="1"/>
      <c r="AU194" s="3">
        <v>2023</v>
      </c>
      <c r="AV194" s="2"/>
      <c r="AW194" s="3">
        <v>39</v>
      </c>
      <c r="AX194" s="2"/>
      <c r="AY194" s="2"/>
      <c r="AZ194" s="1"/>
      <c r="BA194" s="2"/>
      <c r="BB194" s="3">
        <v>170</v>
      </c>
      <c r="BC194" s="3">
        <v>172</v>
      </c>
      <c r="BD194" s="2"/>
      <c r="BE194" s="1"/>
      <c r="BF194" s="1"/>
      <c r="BG194" s="1"/>
      <c r="BH194" s="1"/>
      <c r="BI194" s="1"/>
      <c r="BJ194" s="1"/>
      <c r="BK194" s="1"/>
      <c r="BL194" s="1"/>
      <c r="BM194" s="1"/>
      <c r="BN194" s="2"/>
      <c r="BO194" s="1"/>
      <c r="BP194" s="1"/>
      <c r="BQ194" s="1"/>
      <c r="BR194" s="1"/>
      <c r="BS194" s="1" t="s">
        <v>1887</v>
      </c>
      <c r="BT194" s="5">
        <f>HYPERLINK("https%3A%2F%2Fwww.webofscience.com%2Fwos%2Fwoscc%2Ffull-record%2FWOS:001144754000009","View Full Record in Web of Science")</f>
      </c>
    </row>
    <row x14ac:dyDescent="0.25" r="195" customHeight="1" ht="12.75">
      <c r="A195" s="1" t="s">
        <v>72</v>
      </c>
      <c r="B195" s="1" t="s">
        <v>1888</v>
      </c>
      <c r="C195" s="1"/>
      <c r="D195" s="1"/>
      <c r="E195" s="1"/>
      <c r="F195" s="1" t="s">
        <v>1889</v>
      </c>
      <c r="G195" s="1"/>
      <c r="H195" s="1"/>
      <c r="I195" s="1" t="s">
        <v>1890</v>
      </c>
      <c r="J195" s="1" t="s">
        <v>1328</v>
      </c>
      <c r="K195" s="1"/>
      <c r="L195" s="1"/>
      <c r="M195" s="1"/>
      <c r="N195" s="1"/>
      <c r="O195" s="1"/>
      <c r="P195" s="2"/>
      <c r="Q195" s="1"/>
      <c r="R195" s="1"/>
      <c r="S195" s="1"/>
      <c r="T195" s="1"/>
      <c r="U195" s="1"/>
      <c r="V195" s="1" t="s">
        <v>1891</v>
      </c>
      <c r="W195" s="1"/>
      <c r="X195" s="1"/>
      <c r="Y195" s="1"/>
      <c r="Z195" s="1"/>
      <c r="AA195" s="1" t="s">
        <v>1892</v>
      </c>
      <c r="AB195" s="1" t="s">
        <v>1893</v>
      </c>
      <c r="AC195" s="1"/>
      <c r="AD195" s="1"/>
      <c r="AE195" s="1"/>
      <c r="AF195" s="1"/>
      <c r="AG195" s="1"/>
      <c r="AH195" s="1"/>
      <c r="AI195" s="1"/>
      <c r="AJ195" s="1"/>
      <c r="AK195" s="1"/>
      <c r="AL195" s="1"/>
      <c r="AM195" s="1"/>
      <c r="AN195" s="1"/>
      <c r="AO195" s="1" t="s">
        <v>1332</v>
      </c>
      <c r="AP195" s="1" t="s">
        <v>1333</v>
      </c>
      <c r="AQ195" s="1"/>
      <c r="AR195" s="1"/>
      <c r="AS195" s="1"/>
      <c r="AT195" s="1" t="s">
        <v>1894</v>
      </c>
      <c r="AU195" s="3">
        <v>2022</v>
      </c>
      <c r="AV195" s="3">
        <v>830</v>
      </c>
      <c r="AW195" s="2"/>
      <c r="AX195" s="2"/>
      <c r="AY195" s="2"/>
      <c r="AZ195" s="1"/>
      <c r="BA195" s="2"/>
      <c r="BB195" s="2"/>
      <c r="BC195" s="2"/>
      <c r="BD195" s="3">
        <v>154542</v>
      </c>
      <c r="BE195" s="1" t="s">
        <v>1895</v>
      </c>
      <c r="BF195" s="4">
        <f>HYPERLINK("http://dx.doi.org/10.1016/j.scitotenv.2022.154542","http://dx.doi.org/10.1016/j.scitotenv.2022.154542")</f>
      </c>
      <c r="BG195" s="1"/>
      <c r="BH195" s="1" t="s">
        <v>1896</v>
      </c>
      <c r="BI195" s="1"/>
      <c r="BJ195" s="1"/>
      <c r="BK195" s="1"/>
      <c r="BL195" s="1"/>
      <c r="BM195" s="1"/>
      <c r="BN195" s="3">
        <v>35337866</v>
      </c>
      <c r="BO195" s="1"/>
      <c r="BP195" s="1"/>
      <c r="BQ195" s="1"/>
      <c r="BR195" s="1"/>
      <c r="BS195" s="1" t="s">
        <v>1897</v>
      </c>
      <c r="BT195" s="5">
        <f>HYPERLINK("https%3A%2F%2Fwww.webofscience.com%2Fwos%2Fwoscc%2Ffull-record%2FWOS:000794864500009","View Full Record in Web of Science")</f>
      </c>
    </row>
    <row x14ac:dyDescent="0.25" r="196" customHeight="1" ht="12.75">
      <c r="A196" s="1" t="s">
        <v>72</v>
      </c>
      <c r="B196" s="1" t="s">
        <v>1898</v>
      </c>
      <c r="C196" s="1"/>
      <c r="D196" s="1"/>
      <c r="E196" s="1"/>
      <c r="F196" s="1" t="s">
        <v>1899</v>
      </c>
      <c r="G196" s="1"/>
      <c r="H196" s="1"/>
      <c r="I196" s="1" t="s">
        <v>1900</v>
      </c>
      <c r="J196" s="1" t="s">
        <v>1200</v>
      </c>
      <c r="K196" s="1"/>
      <c r="L196" s="1"/>
      <c r="M196" s="1"/>
      <c r="N196" s="1"/>
      <c r="O196" s="1"/>
      <c r="P196" s="2"/>
      <c r="Q196" s="1"/>
      <c r="R196" s="1"/>
      <c r="S196" s="1"/>
      <c r="T196" s="1"/>
      <c r="U196" s="1"/>
      <c r="V196" s="1" t="s">
        <v>1901</v>
      </c>
      <c r="W196" s="1"/>
      <c r="X196" s="1"/>
      <c r="Y196" s="1"/>
      <c r="Z196" s="1"/>
      <c r="AA196" s="1"/>
      <c r="AB196" s="1"/>
      <c r="AC196" s="1"/>
      <c r="AD196" s="1"/>
      <c r="AE196" s="1"/>
      <c r="AF196" s="1"/>
      <c r="AG196" s="1"/>
      <c r="AH196" s="1"/>
      <c r="AI196" s="1"/>
      <c r="AJ196" s="1"/>
      <c r="AK196" s="1"/>
      <c r="AL196" s="1"/>
      <c r="AM196" s="1"/>
      <c r="AN196" s="1"/>
      <c r="AO196" s="1" t="s">
        <v>1202</v>
      </c>
      <c r="AP196" s="1" t="s">
        <v>1203</v>
      </c>
      <c r="AQ196" s="1"/>
      <c r="AR196" s="1"/>
      <c r="AS196" s="1"/>
      <c r="AT196" s="1"/>
      <c r="AU196" s="3">
        <v>2022</v>
      </c>
      <c r="AV196" s="3">
        <v>32</v>
      </c>
      <c r="AW196" s="3">
        <v>1</v>
      </c>
      <c r="AX196" s="2"/>
      <c r="AY196" s="2"/>
      <c r="AZ196" s="1"/>
      <c r="BA196" s="2"/>
      <c r="BB196" s="3">
        <v>3</v>
      </c>
      <c r="BC196" s="3">
        <v>19</v>
      </c>
      <c r="BD196" s="2"/>
      <c r="BE196" s="1" t="s">
        <v>1902</v>
      </c>
      <c r="BF196" s="4">
        <f>HYPERLINK("http://dx.doi.org/10.15443/RL3201","http://dx.doi.org/10.15443/RL3201")</f>
      </c>
      <c r="BG196" s="1"/>
      <c r="BH196" s="1"/>
      <c r="BI196" s="1"/>
      <c r="BJ196" s="1"/>
      <c r="BK196" s="1"/>
      <c r="BL196" s="1"/>
      <c r="BM196" s="1"/>
      <c r="BN196" s="2"/>
      <c r="BO196" s="1"/>
      <c r="BP196" s="1"/>
      <c r="BQ196" s="1"/>
      <c r="BR196" s="1"/>
      <c r="BS196" s="1" t="s">
        <v>1903</v>
      </c>
      <c r="BT196" s="5">
        <f>HYPERLINK("https%3A%2F%2Fwww.webofscience.com%2Fwos%2Fwoscc%2Ffull-record%2FWOS:000822540000001","View Full Record in Web of Science")</f>
      </c>
    </row>
    <row x14ac:dyDescent="0.25" r="197" customHeight="1" ht="12.75">
      <c r="A197" s="1" t="s">
        <v>72</v>
      </c>
      <c r="B197" s="1" t="s">
        <v>1904</v>
      </c>
      <c r="C197" s="1"/>
      <c r="D197" s="1"/>
      <c r="E197" s="1"/>
      <c r="F197" s="1" t="s">
        <v>1905</v>
      </c>
      <c r="G197" s="1"/>
      <c r="H197" s="1"/>
      <c r="I197" s="1" t="s">
        <v>1906</v>
      </c>
      <c r="J197" s="1" t="s">
        <v>1907</v>
      </c>
      <c r="K197" s="1"/>
      <c r="L197" s="1"/>
      <c r="M197" s="1"/>
      <c r="N197" s="1"/>
      <c r="O197" s="1"/>
      <c r="P197" s="2"/>
      <c r="Q197" s="1"/>
      <c r="R197" s="1"/>
      <c r="S197" s="1"/>
      <c r="T197" s="1"/>
      <c r="U197" s="1"/>
      <c r="V197" s="1" t="s">
        <v>1908</v>
      </c>
      <c r="W197" s="1"/>
      <c r="X197" s="1"/>
      <c r="Y197" s="1"/>
      <c r="Z197" s="1"/>
      <c r="AA197" s="1"/>
      <c r="AB197" s="1" t="s">
        <v>1909</v>
      </c>
      <c r="AC197" s="1"/>
      <c r="AD197" s="1"/>
      <c r="AE197" s="1"/>
      <c r="AF197" s="1"/>
      <c r="AG197" s="1"/>
      <c r="AH197" s="1"/>
      <c r="AI197" s="1"/>
      <c r="AJ197" s="1"/>
      <c r="AK197" s="1"/>
      <c r="AL197" s="1"/>
      <c r="AM197" s="1"/>
      <c r="AN197" s="1"/>
      <c r="AO197" s="1" t="s">
        <v>1910</v>
      </c>
      <c r="AP197" s="1"/>
      <c r="AQ197" s="1"/>
      <c r="AR197" s="1"/>
      <c r="AS197" s="1"/>
      <c r="AT197" s="1" t="s">
        <v>204</v>
      </c>
      <c r="AU197" s="3">
        <v>2021</v>
      </c>
      <c r="AV197" s="3">
        <v>28</v>
      </c>
      <c r="AW197" s="2"/>
      <c r="AX197" s="2"/>
      <c r="AY197" s="2"/>
      <c r="AZ197" s="1"/>
      <c r="BA197" s="2"/>
      <c r="BB197" s="2"/>
      <c r="BC197" s="2"/>
      <c r="BD197" s="3">
        <v>101635</v>
      </c>
      <c r="BE197" s="1" t="s">
        <v>1911</v>
      </c>
      <c r="BF197" s="4">
        <f>HYPERLINK("http://dx.doi.org/10.1016/j.csite.2021.101635","http://dx.doi.org/10.1016/j.csite.2021.101635")</f>
      </c>
      <c r="BG197" s="1"/>
      <c r="BH197" s="1" t="s">
        <v>1912</v>
      </c>
      <c r="BI197" s="1"/>
      <c r="BJ197" s="1"/>
      <c r="BK197" s="1"/>
      <c r="BL197" s="1"/>
      <c r="BM197" s="1"/>
      <c r="BN197" s="2"/>
      <c r="BO197" s="1"/>
      <c r="BP197" s="1"/>
      <c r="BQ197" s="1"/>
      <c r="BR197" s="1"/>
      <c r="BS197" s="1" t="s">
        <v>1913</v>
      </c>
      <c r="BT197" s="5">
        <f>HYPERLINK("https%3A%2F%2Fwww.webofscience.com%2Fwos%2Fwoscc%2Ffull-record%2FWOS:000720793100055","View Full Record in Web of Science")</f>
      </c>
    </row>
    <row x14ac:dyDescent="0.25" r="198" customHeight="1" ht="12.75">
      <c r="A198" s="1" t="s">
        <v>72</v>
      </c>
      <c r="B198" s="1" t="s">
        <v>1914</v>
      </c>
      <c r="C198" s="1"/>
      <c r="D198" s="1"/>
      <c r="E198" s="1"/>
      <c r="F198" s="1" t="s">
        <v>1915</v>
      </c>
      <c r="G198" s="1"/>
      <c r="H198" s="1"/>
      <c r="I198" s="1" t="s">
        <v>1916</v>
      </c>
      <c r="J198" s="1" t="s">
        <v>1636</v>
      </c>
      <c r="K198" s="1"/>
      <c r="L198" s="1"/>
      <c r="M198" s="1"/>
      <c r="N198" s="1"/>
      <c r="O198" s="1"/>
      <c r="P198" s="2"/>
      <c r="Q198" s="1"/>
      <c r="R198" s="1"/>
      <c r="S198" s="1"/>
      <c r="T198" s="1"/>
      <c r="U198" s="1"/>
      <c r="V198" s="1" t="s">
        <v>1917</v>
      </c>
      <c r="W198" s="1"/>
      <c r="X198" s="1"/>
      <c r="Y198" s="1"/>
      <c r="Z198" s="1"/>
      <c r="AA198" s="1"/>
      <c r="AB198" s="1" t="s">
        <v>1918</v>
      </c>
      <c r="AC198" s="1"/>
      <c r="AD198" s="1"/>
      <c r="AE198" s="1"/>
      <c r="AF198" s="1"/>
      <c r="AG198" s="1"/>
      <c r="AH198" s="1"/>
      <c r="AI198" s="1"/>
      <c r="AJ198" s="1"/>
      <c r="AK198" s="1"/>
      <c r="AL198" s="1"/>
      <c r="AM198" s="1"/>
      <c r="AN198" s="1"/>
      <c r="AO198" s="1" t="s">
        <v>1638</v>
      </c>
      <c r="AP198" s="1" t="s">
        <v>1919</v>
      </c>
      <c r="AQ198" s="1"/>
      <c r="AR198" s="1"/>
      <c r="AS198" s="1"/>
      <c r="AT198" s="1" t="s">
        <v>1920</v>
      </c>
      <c r="AU198" s="3">
        <v>2023</v>
      </c>
      <c r="AV198" s="3">
        <v>52</v>
      </c>
      <c r="AW198" s="3">
        <v>1</v>
      </c>
      <c r="AX198" s="2"/>
      <c r="AY198" s="2"/>
      <c r="AZ198" s="1"/>
      <c r="BA198" s="2"/>
      <c r="BB198" s="3">
        <v>448</v>
      </c>
      <c r="BC198" s="3">
        <v>462</v>
      </c>
      <c r="BD198" s="2"/>
      <c r="BE198" s="1" t="s">
        <v>1921</v>
      </c>
      <c r="BF198" s="4">
        <f>HYPERLINK("http://dx.doi.org/10.1108/K-05-2021-0404","http://dx.doi.org/10.1108/K-05-2021-0404")</f>
      </c>
      <c r="BG198" s="1"/>
      <c r="BH198" s="1" t="s">
        <v>256</v>
      </c>
      <c r="BI198" s="1"/>
      <c r="BJ198" s="1"/>
      <c r="BK198" s="1"/>
      <c r="BL198" s="1"/>
      <c r="BM198" s="1"/>
      <c r="BN198" s="2"/>
      <c r="BO198" s="1"/>
      <c r="BP198" s="1"/>
      <c r="BQ198" s="1"/>
      <c r="BR198" s="1"/>
      <c r="BS198" s="1" t="s">
        <v>1922</v>
      </c>
      <c r="BT198" s="5">
        <f>HYPERLINK("https%3A%2F%2Fwww.webofscience.com%2Fwos%2Fwoscc%2Ffull-record%2FWOS:000711077500001","View Full Record in Web of Science")</f>
      </c>
    </row>
    <row x14ac:dyDescent="0.25" r="199" customHeight="1" ht="12.75">
      <c r="A199" s="1" t="s">
        <v>72</v>
      </c>
      <c r="B199" s="1" t="s">
        <v>1923</v>
      </c>
      <c r="C199" s="1"/>
      <c r="D199" s="1"/>
      <c r="E199" s="1"/>
      <c r="F199" s="1" t="s">
        <v>1924</v>
      </c>
      <c r="G199" s="1"/>
      <c r="H199" s="1"/>
      <c r="I199" s="1" t="s">
        <v>1925</v>
      </c>
      <c r="J199" s="1" t="s">
        <v>1926</v>
      </c>
      <c r="K199" s="1"/>
      <c r="L199" s="1"/>
      <c r="M199" s="1"/>
      <c r="N199" s="1"/>
      <c r="O199" s="1"/>
      <c r="P199" s="2"/>
      <c r="Q199" s="1"/>
      <c r="R199" s="1"/>
      <c r="S199" s="1"/>
      <c r="T199" s="1"/>
      <c r="U199" s="1"/>
      <c r="V199" s="1" t="s">
        <v>1927</v>
      </c>
      <c r="W199" s="1"/>
      <c r="X199" s="1"/>
      <c r="Y199" s="1"/>
      <c r="Z199" s="1"/>
      <c r="AA199" s="1"/>
      <c r="AB199" s="1"/>
      <c r="AC199" s="1"/>
      <c r="AD199" s="1"/>
      <c r="AE199" s="1"/>
      <c r="AF199" s="1"/>
      <c r="AG199" s="1"/>
      <c r="AH199" s="1"/>
      <c r="AI199" s="1"/>
      <c r="AJ199" s="1"/>
      <c r="AK199" s="1"/>
      <c r="AL199" s="1"/>
      <c r="AM199" s="1"/>
      <c r="AN199" s="1"/>
      <c r="AO199" s="1" t="s">
        <v>1928</v>
      </c>
      <c r="AP199" s="1"/>
      <c r="AQ199" s="1"/>
      <c r="AR199" s="1"/>
      <c r="AS199" s="1"/>
      <c r="AT199" s="1" t="s">
        <v>567</v>
      </c>
      <c r="AU199" s="3">
        <v>2021</v>
      </c>
      <c r="AV199" s="3">
        <v>50</v>
      </c>
      <c r="AW199" s="2"/>
      <c r="AX199" s="2"/>
      <c r="AY199" s="2"/>
      <c r="AZ199" s="1"/>
      <c r="BA199" s="2"/>
      <c r="BB199" s="2"/>
      <c r="BC199" s="2"/>
      <c r="BD199" s="2"/>
      <c r="BE199" s="1"/>
      <c r="BF199" s="1"/>
      <c r="BG199" s="1"/>
      <c r="BH199" s="1"/>
      <c r="BI199" s="1"/>
      <c r="BJ199" s="1"/>
      <c r="BK199" s="1"/>
      <c r="BL199" s="1"/>
      <c r="BM199" s="1"/>
      <c r="BN199" s="2"/>
      <c r="BO199" s="1"/>
      <c r="BP199" s="1"/>
      <c r="BQ199" s="1"/>
      <c r="BR199" s="1"/>
      <c r="BS199" s="1" t="s">
        <v>1929</v>
      </c>
      <c r="BT199" s="5">
        <f>HYPERLINK("https%3A%2F%2Fwww.webofscience.com%2Fwos%2Fwoscc%2Ffull-record%2FWOS:000706614500008","View Full Record in Web of Science")</f>
      </c>
    </row>
    <row x14ac:dyDescent="0.25" r="200" customHeight="1" ht="12.75">
      <c r="A200" s="1" t="s">
        <v>72</v>
      </c>
      <c r="B200" s="1" t="s">
        <v>1930</v>
      </c>
      <c r="C200" s="1"/>
      <c r="D200" s="1"/>
      <c r="E200" s="1"/>
      <c r="F200" s="1" t="s">
        <v>1931</v>
      </c>
      <c r="G200" s="1"/>
      <c r="H200" s="1"/>
      <c r="I200" s="1" t="s">
        <v>1932</v>
      </c>
      <c r="J200" s="1" t="s">
        <v>1933</v>
      </c>
      <c r="K200" s="1"/>
      <c r="L200" s="1"/>
      <c r="M200" s="1"/>
      <c r="N200" s="1"/>
      <c r="O200" s="1"/>
      <c r="P200" s="2"/>
      <c r="Q200" s="1"/>
      <c r="R200" s="1"/>
      <c r="S200" s="1"/>
      <c r="T200" s="1"/>
      <c r="U200" s="1"/>
      <c r="V200" s="1" t="s">
        <v>1934</v>
      </c>
      <c r="W200" s="1"/>
      <c r="X200" s="1"/>
      <c r="Y200" s="1"/>
      <c r="Z200" s="1"/>
      <c r="AA200" s="1" t="s">
        <v>1935</v>
      </c>
      <c r="AB200" s="1" t="s">
        <v>1936</v>
      </c>
      <c r="AC200" s="1"/>
      <c r="AD200" s="1"/>
      <c r="AE200" s="1"/>
      <c r="AF200" s="1"/>
      <c r="AG200" s="1"/>
      <c r="AH200" s="1"/>
      <c r="AI200" s="1"/>
      <c r="AJ200" s="1"/>
      <c r="AK200" s="1"/>
      <c r="AL200" s="1"/>
      <c r="AM200" s="1"/>
      <c r="AN200" s="1"/>
      <c r="AO200" s="1" t="s">
        <v>1937</v>
      </c>
      <c r="AP200" s="1" t="s">
        <v>1938</v>
      </c>
      <c r="AQ200" s="1"/>
      <c r="AR200" s="1"/>
      <c r="AS200" s="1"/>
      <c r="AT200" s="1" t="s">
        <v>605</v>
      </c>
      <c r="AU200" s="3">
        <v>2021</v>
      </c>
      <c r="AV200" s="3">
        <v>380</v>
      </c>
      <c r="AW200" s="2"/>
      <c r="AX200" s="2"/>
      <c r="AY200" s="2"/>
      <c r="AZ200" s="1"/>
      <c r="BA200" s="2"/>
      <c r="BB200" s="3">
        <v>385</v>
      </c>
      <c r="BC200" s="3">
        <v>393</v>
      </c>
      <c r="BD200" s="2"/>
      <c r="BE200" s="1" t="s">
        <v>1939</v>
      </c>
      <c r="BF200" s="4">
        <f>HYPERLINK("http://dx.doi.org/10.1016/j.powtec.2020.10.064","http://dx.doi.org/10.1016/j.powtec.2020.10.064")</f>
      </c>
      <c r="BG200" s="1"/>
      <c r="BH200" s="1"/>
      <c r="BI200" s="1"/>
      <c r="BJ200" s="1"/>
      <c r="BK200" s="1"/>
      <c r="BL200" s="1"/>
      <c r="BM200" s="1"/>
      <c r="BN200" s="2"/>
      <c r="BO200" s="1"/>
      <c r="BP200" s="1"/>
      <c r="BQ200" s="1"/>
      <c r="BR200" s="1"/>
      <c r="BS200" s="1" t="s">
        <v>1940</v>
      </c>
      <c r="BT200" s="5">
        <f>HYPERLINK("https%3A%2F%2Fwww.webofscience.com%2Fwos%2Fwoscc%2Ffull-record%2FWOS:000609427800011","View Full Record in Web of Science")</f>
      </c>
    </row>
    <row x14ac:dyDescent="0.25" r="201" customHeight="1" ht="12.75">
      <c r="A201" s="1" t="s">
        <v>267</v>
      </c>
      <c r="B201" s="1" t="s">
        <v>1941</v>
      </c>
      <c r="C201" s="1"/>
      <c r="D201" s="1" t="s">
        <v>1942</v>
      </c>
      <c r="E201" s="1"/>
      <c r="F201" s="1" t="s">
        <v>1943</v>
      </c>
      <c r="G201" s="1"/>
      <c r="H201" s="1"/>
      <c r="I201" s="1" t="s">
        <v>1944</v>
      </c>
      <c r="J201" s="1" t="s">
        <v>1945</v>
      </c>
      <c r="K201" s="1"/>
      <c r="L201" s="1"/>
      <c r="M201" s="1"/>
      <c r="N201" s="1"/>
      <c r="O201" s="1"/>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t="s">
        <v>1946</v>
      </c>
      <c r="AR201" s="1"/>
      <c r="AS201" s="1"/>
      <c r="AT201" s="1"/>
      <c r="AU201" s="3">
        <v>2021</v>
      </c>
      <c r="AV201" s="2"/>
      <c r="AW201" s="2"/>
      <c r="AX201" s="2"/>
      <c r="AY201" s="2"/>
      <c r="AZ201" s="1"/>
      <c r="BA201" s="2"/>
      <c r="BB201" s="3">
        <v>11</v>
      </c>
      <c r="BC201" s="3">
        <v>25</v>
      </c>
      <c r="BD201" s="2"/>
      <c r="BE201" s="1"/>
      <c r="BF201" s="1"/>
      <c r="BG201" s="1" t="s">
        <v>1947</v>
      </c>
      <c r="BH201" s="1"/>
      <c r="BI201" s="1"/>
      <c r="BJ201" s="1"/>
      <c r="BK201" s="1"/>
      <c r="BL201" s="1"/>
      <c r="BM201" s="1"/>
      <c r="BN201" s="2"/>
      <c r="BO201" s="1"/>
      <c r="BP201" s="1"/>
      <c r="BQ201" s="1"/>
      <c r="BR201" s="1"/>
      <c r="BS201" s="1" t="s">
        <v>1948</v>
      </c>
      <c r="BT201" s="5">
        <f>HYPERLINK("https%3A%2F%2Fwww.webofscience.com%2Fwos%2Fwoscc%2Ffull-record%2FWOS:000762754900002","View Full Record in Web of Science")</f>
      </c>
    </row>
    <row x14ac:dyDescent="0.25" r="202" customHeight="1" ht="12.75">
      <c r="A202" s="1" t="s">
        <v>303</v>
      </c>
      <c r="B202" s="1" t="s">
        <v>1949</v>
      </c>
      <c r="C202" s="1"/>
      <c r="D202" s="1"/>
      <c r="E202" s="1" t="s">
        <v>305</v>
      </c>
      <c r="F202" s="1" t="s">
        <v>1950</v>
      </c>
      <c r="G202" s="1"/>
      <c r="H202" s="1"/>
      <c r="I202" s="1" t="s">
        <v>1951</v>
      </c>
      <c r="J202" s="1" t="s">
        <v>1952</v>
      </c>
      <c r="K202" s="1"/>
      <c r="L202" s="1"/>
      <c r="M202" s="1"/>
      <c r="N202" s="1"/>
      <c r="O202" s="1" t="s">
        <v>1953</v>
      </c>
      <c r="P202" s="2" t="s">
        <v>1954</v>
      </c>
      <c r="Q202" s="1" t="s">
        <v>1218</v>
      </c>
      <c r="R202" s="1" t="s">
        <v>1955</v>
      </c>
      <c r="S202" s="1"/>
      <c r="T202" s="1"/>
      <c r="U202" s="1"/>
      <c r="V202" s="1" t="s">
        <v>1956</v>
      </c>
      <c r="W202" s="1"/>
      <c r="X202" s="1"/>
      <c r="Y202" s="1"/>
      <c r="Z202" s="1"/>
      <c r="AA202" s="1" t="s">
        <v>1957</v>
      </c>
      <c r="AB202" s="1"/>
      <c r="AC202" s="1"/>
      <c r="AD202" s="1"/>
      <c r="AE202" s="1"/>
      <c r="AF202" s="1"/>
      <c r="AG202" s="1"/>
      <c r="AH202" s="1"/>
      <c r="AI202" s="1"/>
      <c r="AJ202" s="1"/>
      <c r="AK202" s="1"/>
      <c r="AL202" s="1"/>
      <c r="AM202" s="1"/>
      <c r="AN202" s="1"/>
      <c r="AO202" s="1"/>
      <c r="AP202" s="1"/>
      <c r="AQ202" s="1" t="s">
        <v>1958</v>
      </c>
      <c r="AR202" s="1"/>
      <c r="AS202" s="1"/>
      <c r="AT202" s="1"/>
      <c r="AU202" s="3">
        <v>2021</v>
      </c>
      <c r="AV202" s="2"/>
      <c r="AW202" s="2"/>
      <c r="AX202" s="2"/>
      <c r="AY202" s="2"/>
      <c r="AZ202" s="1"/>
      <c r="BA202" s="2"/>
      <c r="BB202" s="3">
        <v>531</v>
      </c>
      <c r="BC202" s="3">
        <v>536</v>
      </c>
      <c r="BD202" s="2"/>
      <c r="BE202" s="1" t="s">
        <v>1959</v>
      </c>
      <c r="BF202" s="4">
        <f>HYPERLINK("http://dx.doi.org/10.1109/CHILECON54041.2021.9702918","http://dx.doi.org/10.1109/CHILECON54041.2021.9702918")</f>
      </c>
      <c r="BG202" s="1"/>
      <c r="BH202" s="1"/>
      <c r="BI202" s="1"/>
      <c r="BJ202" s="1"/>
      <c r="BK202" s="1"/>
      <c r="BL202" s="1"/>
      <c r="BM202" s="1"/>
      <c r="BN202" s="2"/>
      <c r="BO202" s="1"/>
      <c r="BP202" s="1"/>
      <c r="BQ202" s="1"/>
      <c r="BR202" s="1"/>
      <c r="BS202" s="1" t="s">
        <v>1960</v>
      </c>
      <c r="BT202" s="5">
        <f>HYPERLINK("https%3A%2F%2Fwww.webofscience.com%2Fwos%2Fwoscc%2Ffull-record%2FWOS:000788072700086","View Full Record in Web of Science")</f>
      </c>
    </row>
    <row x14ac:dyDescent="0.25" r="203" customHeight="1" ht="12.75">
      <c r="A203" s="1" t="s">
        <v>72</v>
      </c>
      <c r="B203" s="1" t="s">
        <v>1961</v>
      </c>
      <c r="C203" s="1"/>
      <c r="D203" s="1"/>
      <c r="E203" s="1"/>
      <c r="F203" s="1" t="s">
        <v>1962</v>
      </c>
      <c r="G203" s="1"/>
      <c r="H203" s="1"/>
      <c r="I203" s="1" t="s">
        <v>1963</v>
      </c>
      <c r="J203" s="1" t="s">
        <v>1964</v>
      </c>
      <c r="K203" s="1"/>
      <c r="L203" s="1"/>
      <c r="M203" s="1"/>
      <c r="N203" s="1"/>
      <c r="O203" s="1"/>
      <c r="P203" s="2"/>
      <c r="Q203" s="1"/>
      <c r="R203" s="1"/>
      <c r="S203" s="1"/>
      <c r="T203" s="1"/>
      <c r="U203" s="1"/>
      <c r="V203" s="1" t="s">
        <v>1965</v>
      </c>
      <c r="W203" s="1"/>
      <c r="X203" s="1"/>
      <c r="Y203" s="1"/>
      <c r="Z203" s="1"/>
      <c r="AA203" s="1" t="s">
        <v>1966</v>
      </c>
      <c r="AB203" s="1"/>
      <c r="AC203" s="1"/>
      <c r="AD203" s="1"/>
      <c r="AE203" s="1"/>
      <c r="AF203" s="1"/>
      <c r="AG203" s="1"/>
      <c r="AH203" s="1"/>
      <c r="AI203" s="1"/>
      <c r="AJ203" s="1"/>
      <c r="AK203" s="1"/>
      <c r="AL203" s="1"/>
      <c r="AM203" s="1"/>
      <c r="AN203" s="1"/>
      <c r="AO203" s="1" t="s">
        <v>1967</v>
      </c>
      <c r="AP203" s="1" t="s">
        <v>1968</v>
      </c>
      <c r="AQ203" s="1"/>
      <c r="AR203" s="1"/>
      <c r="AS203" s="1"/>
      <c r="AT203" s="1"/>
      <c r="AU203" s="3">
        <v>2021</v>
      </c>
      <c r="AV203" s="2"/>
      <c r="AW203" s="3">
        <v>136</v>
      </c>
      <c r="AX203" s="2"/>
      <c r="AY203" s="2"/>
      <c r="AZ203" s="1"/>
      <c r="BA203" s="2"/>
      <c r="BB203" s="2"/>
      <c r="BC203" s="2"/>
      <c r="BD203" s="2"/>
      <c r="BE203" s="1" t="s">
        <v>1969</v>
      </c>
      <c r="BF203" s="4">
        <f>HYPERLINK("http://dx.doi.org/10.5209/REVE.69188","http://dx.doi.org/10.5209/REVE.69188")</f>
      </c>
      <c r="BG203" s="1"/>
      <c r="BH203" s="1"/>
      <c r="BI203" s="1"/>
      <c r="BJ203" s="1"/>
      <c r="BK203" s="1"/>
      <c r="BL203" s="1"/>
      <c r="BM203" s="1"/>
      <c r="BN203" s="2"/>
      <c r="BO203" s="1"/>
      <c r="BP203" s="1"/>
      <c r="BQ203" s="1"/>
      <c r="BR203" s="1"/>
      <c r="BS203" s="1" t="s">
        <v>1970</v>
      </c>
      <c r="BT203" s="5">
        <f>HYPERLINK("https%3A%2F%2Fwww.webofscience.com%2Fwos%2Fwoscc%2Ffull-record%2FWOS:000606843100005","View Full Record in Web of Science")</f>
      </c>
    </row>
    <row x14ac:dyDescent="0.25" r="204" customHeight="1" ht="12.75">
      <c r="A204" s="1" t="s">
        <v>303</v>
      </c>
      <c r="B204" s="1" t="s">
        <v>1971</v>
      </c>
      <c r="C204" s="1"/>
      <c r="D204" s="1"/>
      <c r="E204" s="1" t="s">
        <v>305</v>
      </c>
      <c r="F204" s="1" t="s">
        <v>1972</v>
      </c>
      <c r="G204" s="1"/>
      <c r="H204" s="1"/>
      <c r="I204" s="1" t="s">
        <v>1973</v>
      </c>
      <c r="J204" s="1" t="s">
        <v>1952</v>
      </c>
      <c r="K204" s="1"/>
      <c r="L204" s="1"/>
      <c r="M204" s="1"/>
      <c r="N204" s="1"/>
      <c r="O204" s="1" t="s">
        <v>1953</v>
      </c>
      <c r="P204" s="2" t="s">
        <v>1954</v>
      </c>
      <c r="Q204" s="1" t="s">
        <v>1218</v>
      </c>
      <c r="R204" s="1" t="s">
        <v>1955</v>
      </c>
      <c r="S204" s="1"/>
      <c r="T204" s="1"/>
      <c r="U204" s="1"/>
      <c r="V204" s="1" t="s">
        <v>1974</v>
      </c>
      <c r="W204" s="1"/>
      <c r="X204" s="1"/>
      <c r="Y204" s="1"/>
      <c r="Z204" s="1"/>
      <c r="AA204" s="1" t="s">
        <v>1975</v>
      </c>
      <c r="AB204" s="1"/>
      <c r="AC204" s="1"/>
      <c r="AD204" s="1"/>
      <c r="AE204" s="1"/>
      <c r="AF204" s="1"/>
      <c r="AG204" s="1"/>
      <c r="AH204" s="1"/>
      <c r="AI204" s="1"/>
      <c r="AJ204" s="1"/>
      <c r="AK204" s="1"/>
      <c r="AL204" s="1"/>
      <c r="AM204" s="1"/>
      <c r="AN204" s="1"/>
      <c r="AO204" s="1"/>
      <c r="AP204" s="1"/>
      <c r="AQ204" s="1" t="s">
        <v>1958</v>
      </c>
      <c r="AR204" s="1"/>
      <c r="AS204" s="1"/>
      <c r="AT204" s="1"/>
      <c r="AU204" s="3">
        <v>2021</v>
      </c>
      <c r="AV204" s="2"/>
      <c r="AW204" s="2"/>
      <c r="AX204" s="2"/>
      <c r="AY204" s="2"/>
      <c r="AZ204" s="1"/>
      <c r="BA204" s="2"/>
      <c r="BB204" s="3">
        <v>727</v>
      </c>
      <c r="BC204" s="3">
        <v>732</v>
      </c>
      <c r="BD204" s="2"/>
      <c r="BE204" s="1" t="s">
        <v>1976</v>
      </c>
      <c r="BF204" s="4">
        <f>HYPERLINK("http://dx.doi.org/10.1109/CHILECON54041.2021.9702960","http://dx.doi.org/10.1109/CHILECON54041.2021.9702960")</f>
      </c>
      <c r="BG204" s="1"/>
      <c r="BH204" s="1"/>
      <c r="BI204" s="1"/>
      <c r="BJ204" s="1"/>
      <c r="BK204" s="1"/>
      <c r="BL204" s="1"/>
      <c r="BM204" s="1"/>
      <c r="BN204" s="2"/>
      <c r="BO204" s="1"/>
      <c r="BP204" s="1"/>
      <c r="BQ204" s="1"/>
      <c r="BR204" s="1"/>
      <c r="BS204" s="1" t="s">
        <v>1977</v>
      </c>
      <c r="BT204" s="5">
        <f>HYPERLINK("https%3A%2F%2Fwww.webofscience.com%2Fwos%2Fwoscc%2Ffull-record%2FWOS:000788072700119","View Full Record in Web of Science")</f>
      </c>
    </row>
    <row x14ac:dyDescent="0.25" r="205" customHeight="1" ht="12.75">
      <c r="A205" s="1" t="s">
        <v>72</v>
      </c>
      <c r="B205" s="1" t="s">
        <v>1978</v>
      </c>
      <c r="C205" s="1"/>
      <c r="D205" s="1"/>
      <c r="E205" s="1"/>
      <c r="F205" s="1" t="s">
        <v>1979</v>
      </c>
      <c r="G205" s="1"/>
      <c r="H205" s="1"/>
      <c r="I205" s="1" t="s">
        <v>1980</v>
      </c>
      <c r="J205" s="1" t="s">
        <v>1981</v>
      </c>
      <c r="K205" s="1"/>
      <c r="L205" s="1"/>
      <c r="M205" s="1"/>
      <c r="N205" s="1"/>
      <c r="O205" s="1"/>
      <c r="P205" s="2"/>
      <c r="Q205" s="1"/>
      <c r="R205" s="1"/>
      <c r="S205" s="1"/>
      <c r="T205" s="1"/>
      <c r="U205" s="1"/>
      <c r="V205" s="1" t="s">
        <v>1982</v>
      </c>
      <c r="W205" s="1"/>
      <c r="X205" s="1"/>
      <c r="Y205" s="1"/>
      <c r="Z205" s="1"/>
      <c r="AA205" s="1" t="s">
        <v>1983</v>
      </c>
      <c r="AB205" s="1" t="s">
        <v>1984</v>
      </c>
      <c r="AC205" s="1"/>
      <c r="AD205" s="1"/>
      <c r="AE205" s="1"/>
      <c r="AF205" s="1"/>
      <c r="AG205" s="1"/>
      <c r="AH205" s="1"/>
      <c r="AI205" s="1"/>
      <c r="AJ205" s="1"/>
      <c r="AK205" s="1"/>
      <c r="AL205" s="1"/>
      <c r="AM205" s="1"/>
      <c r="AN205" s="1"/>
      <c r="AO205" s="1" t="s">
        <v>1985</v>
      </c>
      <c r="AP205" s="1" t="s">
        <v>1986</v>
      </c>
      <c r="AQ205" s="1"/>
      <c r="AR205" s="1"/>
      <c r="AS205" s="1"/>
      <c r="AT205" s="1" t="s">
        <v>204</v>
      </c>
      <c r="AU205" s="3">
        <v>2020</v>
      </c>
      <c r="AV205" s="3">
        <v>88</v>
      </c>
      <c r="AW205" s="2"/>
      <c r="AX205" s="2"/>
      <c r="AY205" s="2"/>
      <c r="AZ205" s="1"/>
      <c r="BA205" s="2"/>
      <c r="BB205" s="3">
        <v>529</v>
      </c>
      <c r="BC205" s="3">
        <v>549</v>
      </c>
      <c r="BD205" s="2"/>
      <c r="BE205" s="1" t="s">
        <v>1987</v>
      </c>
      <c r="BF205" s="4">
        <f>HYPERLINK("http://dx.doi.org/10.1016/j.apm.2020.06.066","http://dx.doi.org/10.1016/j.apm.2020.06.066")</f>
      </c>
      <c r="BG205" s="1"/>
      <c r="BH205" s="1"/>
      <c r="BI205" s="1"/>
      <c r="BJ205" s="1"/>
      <c r="BK205" s="1"/>
      <c r="BL205" s="1"/>
      <c r="BM205" s="1"/>
      <c r="BN205" s="2"/>
      <c r="BO205" s="1"/>
      <c r="BP205" s="1"/>
      <c r="BQ205" s="1"/>
      <c r="BR205" s="1"/>
      <c r="BS205" s="1" t="s">
        <v>1988</v>
      </c>
      <c r="BT205" s="5">
        <f>HYPERLINK("https%3A%2F%2Fwww.webofscience.com%2Fwos%2Fwoscc%2Ffull-record%2FWOS:000568770800007","View Full Record in Web of Science")</f>
      </c>
    </row>
    <row x14ac:dyDescent="0.25" r="206" customHeight="1" ht="12.75">
      <c r="A206" s="1" t="s">
        <v>72</v>
      </c>
      <c r="B206" s="1" t="s">
        <v>1989</v>
      </c>
      <c r="C206" s="1"/>
      <c r="D206" s="1"/>
      <c r="E206" s="1"/>
      <c r="F206" s="1" t="s">
        <v>1990</v>
      </c>
      <c r="G206" s="1"/>
      <c r="H206" s="1"/>
      <c r="I206" s="1" t="s">
        <v>1991</v>
      </c>
      <c r="J206" s="1" t="s">
        <v>1992</v>
      </c>
      <c r="K206" s="1"/>
      <c r="L206" s="1"/>
      <c r="M206" s="1"/>
      <c r="N206" s="1"/>
      <c r="O206" s="1" t="s">
        <v>1993</v>
      </c>
      <c r="P206" s="2" t="s">
        <v>1994</v>
      </c>
      <c r="Q206" s="1" t="s">
        <v>1218</v>
      </c>
      <c r="R206" s="1" t="s">
        <v>1995</v>
      </c>
      <c r="S206" s="1"/>
      <c r="T206" s="1"/>
      <c r="U206" s="1"/>
      <c r="V206" s="1"/>
      <c r="W206" s="1"/>
      <c r="X206" s="1"/>
      <c r="Y206" s="1"/>
      <c r="Z206" s="1"/>
      <c r="AA206" s="1"/>
      <c r="AB206" s="1"/>
      <c r="AC206" s="1"/>
      <c r="AD206" s="1"/>
      <c r="AE206" s="1"/>
      <c r="AF206" s="1"/>
      <c r="AG206" s="1"/>
      <c r="AH206" s="1"/>
      <c r="AI206" s="1"/>
      <c r="AJ206" s="1"/>
      <c r="AK206" s="1"/>
      <c r="AL206" s="1"/>
      <c r="AM206" s="1"/>
      <c r="AN206" s="1"/>
      <c r="AO206" s="1" t="s">
        <v>1996</v>
      </c>
      <c r="AP206" s="1" t="s">
        <v>1997</v>
      </c>
      <c r="AQ206" s="1"/>
      <c r="AR206" s="1"/>
      <c r="AS206" s="1"/>
      <c r="AT206" s="1" t="s">
        <v>431</v>
      </c>
      <c r="AU206" s="3">
        <v>2020</v>
      </c>
      <c r="AV206" s="3">
        <v>59</v>
      </c>
      <c r="AW206" s="3">
        <v>10</v>
      </c>
      <c r="AX206" s="2"/>
      <c r="AY206" s="2" t="s">
        <v>778</v>
      </c>
      <c r="AZ206" s="1"/>
      <c r="BA206" s="6">
        <v>29.7</v>
      </c>
      <c r="BB206" s="2" t="s">
        <v>1998</v>
      </c>
      <c r="BC206" s="2" t="s">
        <v>1998</v>
      </c>
      <c r="BD206" s="2"/>
      <c r="BE206" s="1" t="s">
        <v>1999</v>
      </c>
      <c r="BF206" s="4">
        <f>HYPERLINK("http://dx.doi.org/10.1016/j.jaac.2020.08.264","http://dx.doi.org/10.1016/j.jaac.2020.08.264")</f>
      </c>
      <c r="BG206" s="1"/>
      <c r="BH206" s="1"/>
      <c r="BI206" s="1"/>
      <c r="BJ206" s="1"/>
      <c r="BK206" s="1"/>
      <c r="BL206" s="1"/>
      <c r="BM206" s="1"/>
      <c r="BN206" s="2"/>
      <c r="BO206" s="1"/>
      <c r="BP206" s="1"/>
      <c r="BQ206" s="1"/>
      <c r="BR206" s="1"/>
      <c r="BS206" s="1" t="s">
        <v>2000</v>
      </c>
      <c r="BT206" s="5">
        <f>HYPERLINK("https%3A%2F%2Fwww.webofscience.com%2Fwos%2Fwoscc%2Ffull-record%2FWOS:000579844101111","View Full Record in Web of Science")</f>
      </c>
    </row>
    <row x14ac:dyDescent="0.25" r="207" customHeight="1" ht="12.75">
      <c r="A207" s="1" t="s">
        <v>72</v>
      </c>
      <c r="B207" s="1" t="s">
        <v>2001</v>
      </c>
      <c r="C207" s="1"/>
      <c r="D207" s="1"/>
      <c r="E207" s="1"/>
      <c r="F207" s="1" t="s">
        <v>2002</v>
      </c>
      <c r="G207" s="1"/>
      <c r="H207" s="1"/>
      <c r="I207" s="1" t="s">
        <v>2003</v>
      </c>
      <c r="J207" s="1" t="s">
        <v>1884</v>
      </c>
      <c r="K207" s="1"/>
      <c r="L207" s="1"/>
      <c r="M207" s="1"/>
      <c r="N207" s="1"/>
      <c r="O207" s="1"/>
      <c r="P207" s="2"/>
      <c r="Q207" s="1"/>
      <c r="R207" s="1"/>
      <c r="S207" s="1"/>
      <c r="T207" s="1"/>
      <c r="U207" s="1"/>
      <c r="V207" s="1" t="s">
        <v>2004</v>
      </c>
      <c r="W207" s="1"/>
      <c r="X207" s="1"/>
      <c r="Y207" s="1"/>
      <c r="Z207" s="1"/>
      <c r="AA207" s="1"/>
      <c r="AB207" s="1"/>
      <c r="AC207" s="1"/>
      <c r="AD207" s="1"/>
      <c r="AE207" s="1"/>
      <c r="AF207" s="1"/>
      <c r="AG207" s="1"/>
      <c r="AH207" s="1"/>
      <c r="AI207" s="1"/>
      <c r="AJ207" s="1"/>
      <c r="AK207" s="1"/>
      <c r="AL207" s="1"/>
      <c r="AM207" s="1"/>
      <c r="AN207" s="1"/>
      <c r="AO207" s="1" t="s">
        <v>1885</v>
      </c>
      <c r="AP207" s="1" t="s">
        <v>1886</v>
      </c>
      <c r="AQ207" s="1"/>
      <c r="AR207" s="1"/>
      <c r="AS207" s="1"/>
      <c r="AT207" s="1" t="s">
        <v>431</v>
      </c>
      <c r="AU207" s="3">
        <v>2020</v>
      </c>
      <c r="AV207" s="2"/>
      <c r="AW207" s="3">
        <v>33</v>
      </c>
      <c r="AX207" s="2"/>
      <c r="AY207" s="2"/>
      <c r="AZ207" s="1"/>
      <c r="BA207" s="2"/>
      <c r="BB207" s="3">
        <v>52</v>
      </c>
      <c r="BC207" s="3">
        <v>60</v>
      </c>
      <c r="BD207" s="2"/>
      <c r="BE207" s="1" t="s">
        <v>2005</v>
      </c>
      <c r="BF207" s="4">
        <f>HYPERLINK("http://dx.doi.org/10.35588/rea.v1i33.4670","http://dx.doi.org/10.35588/rea.v1i33.4670")</f>
      </c>
      <c r="BG207" s="1"/>
      <c r="BH207" s="1"/>
      <c r="BI207" s="1"/>
      <c r="BJ207" s="1"/>
      <c r="BK207" s="1"/>
      <c r="BL207" s="1"/>
      <c r="BM207" s="1"/>
      <c r="BN207" s="2"/>
      <c r="BO207" s="1"/>
      <c r="BP207" s="1"/>
      <c r="BQ207" s="1"/>
      <c r="BR207" s="1"/>
      <c r="BS207" s="1" t="s">
        <v>2006</v>
      </c>
      <c r="BT207" s="5">
        <f>HYPERLINK("https%3A%2F%2Fwww.webofscience.com%2Fwos%2Fwoscc%2Ffull-record%2FWOS:000581929300005","View Full Record in Web of Science")</f>
      </c>
    </row>
    <row x14ac:dyDescent="0.25" r="208" customHeight="1" ht="12.75">
      <c r="A208" s="1" t="s">
        <v>72</v>
      </c>
      <c r="B208" s="1" t="s">
        <v>2007</v>
      </c>
      <c r="C208" s="1"/>
      <c r="D208" s="1"/>
      <c r="E208" s="1"/>
      <c r="F208" s="1" t="s">
        <v>2008</v>
      </c>
      <c r="G208" s="1"/>
      <c r="H208" s="1"/>
      <c r="I208" s="1" t="s">
        <v>2009</v>
      </c>
      <c r="J208" s="1" t="s">
        <v>2010</v>
      </c>
      <c r="K208" s="1"/>
      <c r="L208" s="1"/>
      <c r="M208" s="1"/>
      <c r="N208" s="1"/>
      <c r="O208" s="1"/>
      <c r="P208" s="2"/>
      <c r="Q208" s="1"/>
      <c r="R208" s="1"/>
      <c r="S208" s="1"/>
      <c r="T208" s="1"/>
      <c r="U208" s="1"/>
      <c r="V208" s="1" t="s">
        <v>2011</v>
      </c>
      <c r="W208" s="1"/>
      <c r="X208" s="1"/>
      <c r="Y208" s="1"/>
      <c r="Z208" s="1"/>
      <c r="AA208" s="1"/>
      <c r="AB208" s="1" t="s">
        <v>2012</v>
      </c>
      <c r="AC208" s="1"/>
      <c r="AD208" s="1"/>
      <c r="AE208" s="1"/>
      <c r="AF208" s="1"/>
      <c r="AG208" s="1"/>
      <c r="AH208" s="1"/>
      <c r="AI208" s="1"/>
      <c r="AJ208" s="1"/>
      <c r="AK208" s="1"/>
      <c r="AL208" s="1"/>
      <c r="AM208" s="1"/>
      <c r="AN208" s="1"/>
      <c r="AO208" s="1" t="s">
        <v>2013</v>
      </c>
      <c r="AP208" s="1"/>
      <c r="AQ208" s="1"/>
      <c r="AR208" s="1"/>
      <c r="AS208" s="1"/>
      <c r="AT208" s="1" t="s">
        <v>265</v>
      </c>
      <c r="AU208" s="3">
        <v>2020</v>
      </c>
      <c r="AV208" s="3">
        <v>47</v>
      </c>
      <c r="AW208" s="3">
        <v>4</v>
      </c>
      <c r="AX208" s="2"/>
      <c r="AY208" s="2"/>
      <c r="AZ208" s="1"/>
      <c r="BA208" s="2"/>
      <c r="BB208" s="3">
        <v>612</v>
      </c>
      <c r="BC208" s="3">
        <v>619</v>
      </c>
      <c r="BD208" s="2"/>
      <c r="BE208" s="1" t="s">
        <v>2014</v>
      </c>
      <c r="BF208" s="4">
        <f>HYPERLINK("http://dx.doi.org/10.4067/S0717-75182020000400612","http://dx.doi.org/10.4067/S0717-75182020000400612")</f>
      </c>
      <c r="BG208" s="1"/>
      <c r="BH208" s="1"/>
      <c r="BI208" s="1"/>
      <c r="BJ208" s="1"/>
      <c r="BK208" s="1"/>
      <c r="BL208" s="1"/>
      <c r="BM208" s="1"/>
      <c r="BN208" s="2"/>
      <c r="BO208" s="1"/>
      <c r="BP208" s="1"/>
      <c r="BQ208" s="1"/>
      <c r="BR208" s="1"/>
      <c r="BS208" s="1" t="s">
        <v>2015</v>
      </c>
      <c r="BT208" s="5">
        <f>HYPERLINK("https%3A%2F%2Fwww.webofscience.com%2Fwos%2Fwoscc%2Ffull-record%2FWOS:000577089200009","View Full Record in Web of Science")</f>
      </c>
    </row>
    <row x14ac:dyDescent="0.25" r="209" customHeight="1" ht="12.75">
      <c r="A209" s="1" t="s">
        <v>303</v>
      </c>
      <c r="B209" s="1" t="s">
        <v>2016</v>
      </c>
      <c r="C209" s="1"/>
      <c r="D209" s="1"/>
      <c r="E209" s="1" t="s">
        <v>305</v>
      </c>
      <c r="F209" s="1" t="s">
        <v>2017</v>
      </c>
      <c r="G209" s="1"/>
      <c r="H209" s="1"/>
      <c r="I209" s="1" t="s">
        <v>2018</v>
      </c>
      <c r="J209" s="1" t="s">
        <v>2019</v>
      </c>
      <c r="K209" s="1" t="s">
        <v>2020</v>
      </c>
      <c r="L209" s="1"/>
      <c r="M209" s="1"/>
      <c r="N209" s="1"/>
      <c r="O209" s="1" t="s">
        <v>2021</v>
      </c>
      <c r="P209" s="2" t="s">
        <v>2022</v>
      </c>
      <c r="Q209" s="1" t="s">
        <v>2023</v>
      </c>
      <c r="R209" s="1" t="s">
        <v>2024</v>
      </c>
      <c r="S209" s="1" t="s">
        <v>2025</v>
      </c>
      <c r="T209" s="1"/>
      <c r="U209" s="1"/>
      <c r="V209" s="1"/>
      <c r="W209" s="1"/>
      <c r="X209" s="1"/>
      <c r="Y209" s="1"/>
      <c r="Z209" s="1"/>
      <c r="AA209" s="1" t="s">
        <v>2026</v>
      </c>
      <c r="AB209" s="1" t="s">
        <v>2027</v>
      </c>
      <c r="AC209" s="1"/>
      <c r="AD209" s="1"/>
      <c r="AE209" s="1"/>
      <c r="AF209" s="1"/>
      <c r="AG209" s="1"/>
      <c r="AH209" s="1"/>
      <c r="AI209" s="1"/>
      <c r="AJ209" s="1"/>
      <c r="AK209" s="1"/>
      <c r="AL209" s="1"/>
      <c r="AM209" s="1"/>
      <c r="AN209" s="1"/>
      <c r="AO209" s="1" t="s">
        <v>2028</v>
      </c>
      <c r="AP209" s="1"/>
      <c r="AQ209" s="1" t="s">
        <v>2029</v>
      </c>
      <c r="AR209" s="1"/>
      <c r="AS209" s="1"/>
      <c r="AT209" s="1"/>
      <c r="AU209" s="3">
        <v>2020</v>
      </c>
      <c r="AV209" s="2"/>
      <c r="AW209" s="2"/>
      <c r="AX209" s="2"/>
      <c r="AY209" s="2"/>
      <c r="AZ209" s="1"/>
      <c r="BA209" s="2"/>
      <c r="BB209" s="2"/>
      <c r="BC209" s="2"/>
      <c r="BD209" s="2"/>
      <c r="BE209" s="1"/>
      <c r="BF209" s="1"/>
      <c r="BG209" s="1"/>
      <c r="BH209" s="1"/>
      <c r="BI209" s="1"/>
      <c r="BJ209" s="1"/>
      <c r="BK209" s="1"/>
      <c r="BL209" s="1"/>
      <c r="BM209" s="1"/>
      <c r="BN209" s="2"/>
      <c r="BO209" s="1"/>
      <c r="BP209" s="1"/>
      <c r="BQ209" s="1"/>
      <c r="BR209" s="1"/>
      <c r="BS209" s="1" t="s">
        <v>2030</v>
      </c>
      <c r="BT209" s="5">
        <f>HYPERLINK("https%3A%2F%2Fwww.webofscience.com%2Fwos%2Fwoscc%2Ffull-record%2FWOS:000848755600064","View Full Record in Web of Science")</f>
      </c>
    </row>
    <row x14ac:dyDescent="0.25" r="210" customHeight="1" ht="12.75">
      <c r="A210" s="1" t="s">
        <v>72</v>
      </c>
      <c r="B210" s="1" t="s">
        <v>2031</v>
      </c>
      <c r="C210" s="1"/>
      <c r="D210" s="1"/>
      <c r="E210" s="1"/>
      <c r="F210" s="1" t="s">
        <v>2032</v>
      </c>
      <c r="G210" s="1"/>
      <c r="H210" s="1"/>
      <c r="I210" s="1" t="s">
        <v>2033</v>
      </c>
      <c r="J210" s="1" t="s">
        <v>2034</v>
      </c>
      <c r="K210" s="1"/>
      <c r="L210" s="1"/>
      <c r="M210" s="1"/>
      <c r="N210" s="1"/>
      <c r="O210" s="1"/>
      <c r="P210" s="2"/>
      <c r="Q210" s="1"/>
      <c r="R210" s="1"/>
      <c r="S210" s="1"/>
      <c r="T210" s="1"/>
      <c r="U210" s="1"/>
      <c r="V210" s="1" t="s">
        <v>2035</v>
      </c>
      <c r="W210" s="1"/>
      <c r="X210" s="1"/>
      <c r="Y210" s="1"/>
      <c r="Z210" s="1"/>
      <c r="AA210" s="1"/>
      <c r="AB210" s="1"/>
      <c r="AC210" s="1"/>
      <c r="AD210" s="1"/>
      <c r="AE210" s="1"/>
      <c r="AF210" s="1"/>
      <c r="AG210" s="1"/>
      <c r="AH210" s="1"/>
      <c r="AI210" s="1"/>
      <c r="AJ210" s="1"/>
      <c r="AK210" s="1"/>
      <c r="AL210" s="1"/>
      <c r="AM210" s="1"/>
      <c r="AN210" s="1"/>
      <c r="AO210" s="1" t="s">
        <v>2036</v>
      </c>
      <c r="AP210" s="1" t="s">
        <v>2037</v>
      </c>
      <c r="AQ210" s="1"/>
      <c r="AR210" s="1"/>
      <c r="AS210" s="1"/>
      <c r="AT210" s="1" t="s">
        <v>538</v>
      </c>
      <c r="AU210" s="3">
        <v>2020</v>
      </c>
      <c r="AV210" s="3">
        <v>24</v>
      </c>
      <c r="AW210" s="3">
        <v>1</v>
      </c>
      <c r="AX210" s="2"/>
      <c r="AY210" s="2"/>
      <c r="AZ210" s="1"/>
      <c r="BA210" s="2"/>
      <c r="BB210" s="3">
        <v>37</v>
      </c>
      <c r="BC210" s="3">
        <v>52</v>
      </c>
      <c r="BD210" s="2"/>
      <c r="BE210" s="1" t="s">
        <v>2038</v>
      </c>
      <c r="BF210" s="4">
        <f>HYPERLINK("http://dx.doi.org/10.19137/anclajes-2020-2413","http://dx.doi.org/10.19137/anclajes-2020-2413")</f>
      </c>
      <c r="BG210" s="1"/>
      <c r="BH210" s="1"/>
      <c r="BI210" s="1"/>
      <c r="BJ210" s="1"/>
      <c r="BK210" s="1"/>
      <c r="BL210" s="1"/>
      <c r="BM210" s="1"/>
      <c r="BN210" s="2"/>
      <c r="BO210" s="1"/>
      <c r="BP210" s="1"/>
      <c r="BQ210" s="1"/>
      <c r="BR210" s="1"/>
      <c r="BS210" s="1" t="s">
        <v>2039</v>
      </c>
      <c r="BT210" s="5">
        <f>HYPERLINK("https%3A%2F%2Fwww.webofscience.com%2Fwos%2Fwoscc%2Ffull-record%2FWOS:000576187200003","View Full Record in Web of Science")</f>
      </c>
    </row>
    <row x14ac:dyDescent="0.25" r="211" customHeight="1" ht="12.75">
      <c r="A211" s="1" t="s">
        <v>303</v>
      </c>
      <c r="B211" s="1" t="s">
        <v>2040</v>
      </c>
      <c r="C211" s="1"/>
      <c r="D211" s="1"/>
      <c r="E211" s="1" t="s">
        <v>305</v>
      </c>
      <c r="F211" s="1" t="s">
        <v>2041</v>
      </c>
      <c r="G211" s="1"/>
      <c r="H211" s="1"/>
      <c r="I211" s="1" t="s">
        <v>2042</v>
      </c>
      <c r="J211" s="1" t="s">
        <v>2019</v>
      </c>
      <c r="K211" s="1" t="s">
        <v>2020</v>
      </c>
      <c r="L211" s="1"/>
      <c r="M211" s="1"/>
      <c r="N211" s="1"/>
      <c r="O211" s="1" t="s">
        <v>2021</v>
      </c>
      <c r="P211" s="2" t="s">
        <v>2022</v>
      </c>
      <c r="Q211" s="1" t="s">
        <v>2023</v>
      </c>
      <c r="R211" s="1" t="s">
        <v>2024</v>
      </c>
      <c r="S211" s="1" t="s">
        <v>2025</v>
      </c>
      <c r="T211" s="1"/>
      <c r="U211" s="1"/>
      <c r="V211" s="1"/>
      <c r="W211" s="1"/>
      <c r="X211" s="1"/>
      <c r="Y211" s="1"/>
      <c r="Z211" s="1"/>
      <c r="AA211" s="1" t="s">
        <v>2043</v>
      </c>
      <c r="AB211" s="1"/>
      <c r="AC211" s="1"/>
      <c r="AD211" s="1"/>
      <c r="AE211" s="1"/>
      <c r="AF211" s="1"/>
      <c r="AG211" s="1"/>
      <c r="AH211" s="1"/>
      <c r="AI211" s="1"/>
      <c r="AJ211" s="1"/>
      <c r="AK211" s="1"/>
      <c r="AL211" s="1"/>
      <c r="AM211" s="1"/>
      <c r="AN211" s="1"/>
      <c r="AO211" s="1" t="s">
        <v>2028</v>
      </c>
      <c r="AP211" s="1"/>
      <c r="AQ211" s="1" t="s">
        <v>2029</v>
      </c>
      <c r="AR211" s="1"/>
      <c r="AS211" s="1"/>
      <c r="AT211" s="1"/>
      <c r="AU211" s="3">
        <v>2020</v>
      </c>
      <c r="AV211" s="2"/>
      <c r="AW211" s="2"/>
      <c r="AX211" s="2"/>
      <c r="AY211" s="2"/>
      <c r="AZ211" s="1"/>
      <c r="BA211" s="2"/>
      <c r="BB211" s="2"/>
      <c r="BC211" s="2"/>
      <c r="BD211" s="2"/>
      <c r="BE211" s="1"/>
      <c r="BF211" s="1"/>
      <c r="BG211" s="1"/>
      <c r="BH211" s="1"/>
      <c r="BI211" s="1"/>
      <c r="BJ211" s="1"/>
      <c r="BK211" s="1"/>
      <c r="BL211" s="1"/>
      <c r="BM211" s="1"/>
      <c r="BN211" s="2"/>
      <c r="BO211" s="1"/>
      <c r="BP211" s="1"/>
      <c r="BQ211" s="1"/>
      <c r="BR211" s="1"/>
      <c r="BS211" s="1" t="s">
        <v>2044</v>
      </c>
      <c r="BT211" s="5">
        <f>HYPERLINK("https%3A%2F%2Fwww.webofscience.com%2Fwos%2Fwoscc%2Ffull-record%2FWOS:000848755600051","View Full Record in Web of Science")</f>
      </c>
    </row>
    <row x14ac:dyDescent="0.25" r="212" customHeight="1" ht="12.75">
      <c r="A212" s="1" t="s">
        <v>72</v>
      </c>
      <c r="B212" s="1" t="s">
        <v>2045</v>
      </c>
      <c r="C212" s="1"/>
      <c r="D212" s="1"/>
      <c r="E212" s="1"/>
      <c r="F212" s="1" t="s">
        <v>2046</v>
      </c>
      <c r="G212" s="1"/>
      <c r="H212" s="1"/>
      <c r="I212" s="1" t="s">
        <v>2047</v>
      </c>
      <c r="J212" s="1" t="s">
        <v>2048</v>
      </c>
      <c r="K212" s="1"/>
      <c r="L212" s="1"/>
      <c r="M212" s="1"/>
      <c r="N212" s="1"/>
      <c r="O212" s="1"/>
      <c r="P212" s="2"/>
      <c r="Q212" s="1"/>
      <c r="R212" s="1"/>
      <c r="S212" s="1"/>
      <c r="T212" s="1"/>
      <c r="U212" s="1"/>
      <c r="V212" s="1" t="s">
        <v>2049</v>
      </c>
      <c r="W212" s="1"/>
      <c r="X212" s="1"/>
      <c r="Y212" s="1"/>
      <c r="Z212" s="1"/>
      <c r="AA212" s="1" t="s">
        <v>2050</v>
      </c>
      <c r="AB212" s="1" t="s">
        <v>2051</v>
      </c>
      <c r="AC212" s="1"/>
      <c r="AD212" s="1"/>
      <c r="AE212" s="1"/>
      <c r="AF212" s="1"/>
      <c r="AG212" s="1"/>
      <c r="AH212" s="1"/>
      <c r="AI212" s="1"/>
      <c r="AJ212" s="1"/>
      <c r="AK212" s="1"/>
      <c r="AL212" s="1"/>
      <c r="AM212" s="1"/>
      <c r="AN212" s="1"/>
      <c r="AO212" s="1" t="s">
        <v>2052</v>
      </c>
      <c r="AP212" s="1"/>
      <c r="AQ212" s="1"/>
      <c r="AR212" s="1"/>
      <c r="AS212" s="1"/>
      <c r="AT212" s="1" t="s">
        <v>126</v>
      </c>
      <c r="AU212" s="3">
        <v>2019</v>
      </c>
      <c r="AV212" s="3">
        <v>57</v>
      </c>
      <c r="AW212" s="3">
        <v>1</v>
      </c>
      <c r="AX212" s="2"/>
      <c r="AY212" s="2"/>
      <c r="AZ212" s="1"/>
      <c r="BA212" s="2"/>
      <c r="BB212" s="3">
        <v>51</v>
      </c>
      <c r="BC212" s="3">
        <v>78</v>
      </c>
      <c r="BD212" s="2"/>
      <c r="BE212" s="1" t="s">
        <v>2053</v>
      </c>
      <c r="BF212" s="4">
        <f>HYPERLINK("http://dx.doi.org/10.4067/S0718-48832019000100051","http://dx.doi.org/10.4067/S0718-48832019000100051")</f>
      </c>
      <c r="BG212" s="1"/>
      <c r="BH212" s="1"/>
      <c r="BI212" s="1"/>
      <c r="BJ212" s="1"/>
      <c r="BK212" s="1"/>
      <c r="BL212" s="1"/>
      <c r="BM212" s="1"/>
      <c r="BN212" s="2"/>
      <c r="BO212" s="1"/>
      <c r="BP212" s="1"/>
      <c r="BQ212" s="1"/>
      <c r="BR212" s="1"/>
      <c r="BS212" s="1" t="s">
        <v>2054</v>
      </c>
      <c r="BT212" s="5">
        <f>HYPERLINK("https%3A%2F%2Fwww.webofscience.com%2Fwos%2Fwoscc%2Ffull-record%2FWOS:000477796900004","View Full Record in Web of Science")</f>
      </c>
    </row>
    <row x14ac:dyDescent="0.25" r="213" customHeight="1" ht="12.75">
      <c r="A213" s="1" t="s">
        <v>72</v>
      </c>
      <c r="B213" s="1" t="s">
        <v>2055</v>
      </c>
      <c r="C213" s="1"/>
      <c r="D213" s="1"/>
      <c r="E213" s="1"/>
      <c r="F213" s="1" t="s">
        <v>2056</v>
      </c>
      <c r="G213" s="1"/>
      <c r="H213" s="1"/>
      <c r="I213" s="1" t="s">
        <v>2057</v>
      </c>
      <c r="J213" s="1" t="s">
        <v>2058</v>
      </c>
      <c r="K213" s="1"/>
      <c r="L213" s="1"/>
      <c r="M213" s="1"/>
      <c r="N213" s="1"/>
      <c r="O213" s="1"/>
      <c r="P213" s="2"/>
      <c r="Q213" s="1"/>
      <c r="R213" s="1"/>
      <c r="S213" s="1"/>
      <c r="T213" s="1"/>
      <c r="U213" s="1"/>
      <c r="V213" s="1" t="s">
        <v>2059</v>
      </c>
      <c r="W213" s="1"/>
      <c r="X213" s="1"/>
      <c r="Y213" s="1"/>
      <c r="Z213" s="1"/>
      <c r="AA213" s="1" t="s">
        <v>2060</v>
      </c>
      <c r="AB213" s="1" t="s">
        <v>2061</v>
      </c>
      <c r="AC213" s="1"/>
      <c r="AD213" s="1"/>
      <c r="AE213" s="1"/>
      <c r="AF213" s="1"/>
      <c r="AG213" s="1"/>
      <c r="AH213" s="1"/>
      <c r="AI213" s="1"/>
      <c r="AJ213" s="1"/>
      <c r="AK213" s="1"/>
      <c r="AL213" s="1"/>
      <c r="AM213" s="1"/>
      <c r="AN213" s="1"/>
      <c r="AO213" s="1" t="s">
        <v>2062</v>
      </c>
      <c r="AP213" s="1" t="s">
        <v>2063</v>
      </c>
      <c r="AQ213" s="1"/>
      <c r="AR213" s="1"/>
      <c r="AS213" s="1"/>
      <c r="AT213" s="1" t="s">
        <v>2064</v>
      </c>
      <c r="AU213" s="3">
        <v>2019</v>
      </c>
      <c r="AV213" s="3">
        <v>21</v>
      </c>
      <c r="AW213" s="3">
        <v>8</v>
      </c>
      <c r="AX213" s="2"/>
      <c r="AY213" s="2"/>
      <c r="AZ213" s="1"/>
      <c r="BA213" s="2"/>
      <c r="BB213" s="3">
        <v>4339</v>
      </c>
      <c r="BC213" s="3">
        <v>4348</v>
      </c>
      <c r="BD213" s="2"/>
      <c r="BE213" s="1" t="s">
        <v>2065</v>
      </c>
      <c r="BF213" s="4">
        <f>HYPERLINK("http://dx.doi.org/10.1039/c8cp06988c","http://dx.doi.org/10.1039/c8cp06988c")</f>
      </c>
      <c r="BG213" s="1"/>
      <c r="BH213" s="1"/>
      <c r="BI213" s="1"/>
      <c r="BJ213" s="1"/>
      <c r="BK213" s="1"/>
      <c r="BL213" s="1"/>
      <c r="BM213" s="1"/>
      <c r="BN213" s="3">
        <v>30724278</v>
      </c>
      <c r="BO213" s="1"/>
      <c r="BP213" s="1"/>
      <c r="BQ213" s="1"/>
      <c r="BR213" s="1"/>
      <c r="BS213" s="1" t="s">
        <v>2066</v>
      </c>
      <c r="BT213" s="5">
        <f>HYPERLINK("https%3A%2F%2Fwww.webofscience.com%2Fwos%2Fwoscc%2Ffull-record%2FWOS:000461722500020","View Full Record in Web of Science")</f>
      </c>
    </row>
    <row x14ac:dyDescent="0.25" r="214" customHeight="1" ht="12.75">
      <c r="A214" s="1" t="s">
        <v>303</v>
      </c>
      <c r="B214" s="1" t="s">
        <v>2067</v>
      </c>
      <c r="C214" s="1"/>
      <c r="D214" s="1"/>
      <c r="E214" s="1" t="s">
        <v>305</v>
      </c>
      <c r="F214" s="1" t="s">
        <v>2068</v>
      </c>
      <c r="G214" s="1"/>
      <c r="H214" s="1"/>
      <c r="I214" s="1" t="s">
        <v>2069</v>
      </c>
      <c r="J214" s="1" t="s">
        <v>2070</v>
      </c>
      <c r="K214" s="1"/>
      <c r="L214" s="1"/>
      <c r="M214" s="1"/>
      <c r="N214" s="1"/>
      <c r="O214" s="1" t="s">
        <v>2071</v>
      </c>
      <c r="P214" s="2" t="s">
        <v>2072</v>
      </c>
      <c r="Q214" s="1" t="s">
        <v>2073</v>
      </c>
      <c r="R214" s="1" t="s">
        <v>2074</v>
      </c>
      <c r="S214" s="1"/>
      <c r="T214" s="1"/>
      <c r="U214" s="1"/>
      <c r="V214" s="1" t="s">
        <v>2075</v>
      </c>
      <c r="W214" s="1"/>
      <c r="X214" s="1"/>
      <c r="Y214" s="1"/>
      <c r="Z214" s="1"/>
      <c r="AA214" s="1"/>
      <c r="AB214" s="1"/>
      <c r="AC214" s="1"/>
      <c r="AD214" s="1"/>
      <c r="AE214" s="1"/>
      <c r="AF214" s="1"/>
      <c r="AG214" s="1"/>
      <c r="AH214" s="1"/>
      <c r="AI214" s="1"/>
      <c r="AJ214" s="1"/>
      <c r="AK214" s="1"/>
      <c r="AL214" s="1"/>
      <c r="AM214" s="1"/>
      <c r="AN214" s="1"/>
      <c r="AO214" s="1"/>
      <c r="AP214" s="1"/>
      <c r="AQ214" s="1" t="s">
        <v>2076</v>
      </c>
      <c r="AR214" s="1"/>
      <c r="AS214" s="1"/>
      <c r="AT214" s="1"/>
      <c r="AU214" s="3">
        <v>2019</v>
      </c>
      <c r="AV214" s="2"/>
      <c r="AW214" s="2"/>
      <c r="AX214" s="2"/>
      <c r="AY214" s="2"/>
      <c r="AZ214" s="1"/>
      <c r="BA214" s="2"/>
      <c r="BB214" s="2"/>
      <c r="BC214" s="2"/>
      <c r="BD214" s="2"/>
      <c r="BE214" s="1"/>
      <c r="BF214" s="1"/>
      <c r="BG214" s="1"/>
      <c r="BH214" s="1"/>
      <c r="BI214" s="1"/>
      <c r="BJ214" s="1"/>
      <c r="BK214" s="1"/>
      <c r="BL214" s="1"/>
      <c r="BM214" s="1"/>
      <c r="BN214" s="2"/>
      <c r="BO214" s="1"/>
      <c r="BP214" s="1"/>
      <c r="BQ214" s="1"/>
      <c r="BR214" s="1"/>
      <c r="BS214" s="1" t="s">
        <v>2077</v>
      </c>
      <c r="BT214" s="5">
        <f>HYPERLINK("https%3A%2F%2Fwww.webofscience.com%2Fwos%2Fwoscc%2Ffull-record%2FWOS:000542919100150","View Full Record in Web of Science")</f>
      </c>
    </row>
    <row x14ac:dyDescent="0.25" r="215" customHeight="1" ht="12.75">
      <c r="A215" s="1" t="s">
        <v>778</v>
      </c>
      <c r="B215" s="1" t="s">
        <v>2078</v>
      </c>
      <c r="C215" s="1"/>
      <c r="D215" s="1" t="s">
        <v>2079</v>
      </c>
      <c r="E215" s="1"/>
      <c r="F215" s="1" t="s">
        <v>2080</v>
      </c>
      <c r="G215" s="1"/>
      <c r="H215" s="1"/>
      <c r="I215" s="1" t="s">
        <v>2081</v>
      </c>
      <c r="J215" s="1" t="s">
        <v>2082</v>
      </c>
      <c r="K215" s="1" t="s">
        <v>2083</v>
      </c>
      <c r="L215" s="1"/>
      <c r="M215" s="1"/>
      <c r="N215" s="1"/>
      <c r="O215" s="1"/>
      <c r="P215" s="2"/>
      <c r="Q215" s="1"/>
      <c r="R215" s="1"/>
      <c r="S215" s="1"/>
      <c r="T215" s="1"/>
      <c r="U215" s="1"/>
      <c r="V215" s="1" t="s">
        <v>2084</v>
      </c>
      <c r="W215" s="1"/>
      <c r="X215" s="1"/>
      <c r="Y215" s="1"/>
      <c r="Z215" s="1"/>
      <c r="AA215" s="1"/>
      <c r="AB215" s="1"/>
      <c r="AC215" s="1"/>
      <c r="AD215" s="1"/>
      <c r="AE215" s="1"/>
      <c r="AF215" s="1"/>
      <c r="AG215" s="1"/>
      <c r="AH215" s="1"/>
      <c r="AI215" s="1"/>
      <c r="AJ215" s="1"/>
      <c r="AK215" s="1"/>
      <c r="AL215" s="1"/>
      <c r="AM215" s="1"/>
      <c r="AN215" s="1"/>
      <c r="AO215" s="1" t="s">
        <v>2085</v>
      </c>
      <c r="AP215" s="1"/>
      <c r="AQ215" s="1" t="s">
        <v>2086</v>
      </c>
      <c r="AR215" s="1"/>
      <c r="AS215" s="1"/>
      <c r="AT215" s="1"/>
      <c r="AU215" s="3">
        <v>2019</v>
      </c>
      <c r="AV215" s="3">
        <v>40</v>
      </c>
      <c r="AW215" s="2"/>
      <c r="AX215" s="2"/>
      <c r="AY215" s="2"/>
      <c r="AZ215" s="1"/>
      <c r="BA215" s="2"/>
      <c r="BB215" s="3">
        <v>67</v>
      </c>
      <c r="BC215" s="3">
        <v>86</v>
      </c>
      <c r="BD215" s="2"/>
      <c r="BE215" s="1" t="s">
        <v>2087</v>
      </c>
      <c r="BF215" s="4">
        <f>HYPERLINK("http://dx.doi.org/10.1007/978-3-030-28756-6_4","http://dx.doi.org/10.1007/978-3-030-28756-6_4")</f>
      </c>
      <c r="BG215" s="1" t="s">
        <v>2088</v>
      </c>
      <c r="BH215" s="1"/>
      <c r="BI215" s="1"/>
      <c r="BJ215" s="1"/>
      <c r="BK215" s="1"/>
      <c r="BL215" s="1"/>
      <c r="BM215" s="1"/>
      <c r="BN215" s="2"/>
      <c r="BO215" s="1"/>
      <c r="BP215" s="1"/>
      <c r="BQ215" s="1"/>
      <c r="BR215" s="1"/>
      <c r="BS215" s="1" t="s">
        <v>2089</v>
      </c>
      <c r="BT215" s="5">
        <f>HYPERLINK("https%3A%2F%2Fwww.webofscience.com%2Fwos%2Fwoscc%2Ffull-record%2FWOS:000672492900005","View Full Record in Web of Science")</f>
      </c>
    </row>
    <row x14ac:dyDescent="0.25" r="216" customHeight="1" ht="12.75">
      <c r="A216" s="1" t="s">
        <v>72</v>
      </c>
      <c r="B216" s="1" t="s">
        <v>555</v>
      </c>
      <c r="C216" s="1"/>
      <c r="D216" s="1"/>
      <c r="E216" s="1"/>
      <c r="F216" s="1" t="s">
        <v>556</v>
      </c>
      <c r="G216" s="1"/>
      <c r="H216" s="1"/>
      <c r="I216" s="1" t="s">
        <v>2090</v>
      </c>
      <c r="J216" s="1" t="s">
        <v>2091</v>
      </c>
      <c r="K216" s="1"/>
      <c r="L216" s="1"/>
      <c r="M216" s="1"/>
      <c r="N216" s="1"/>
      <c r="O216" s="1"/>
      <c r="P216" s="2"/>
      <c r="Q216" s="1"/>
      <c r="R216" s="1"/>
      <c r="S216" s="1"/>
      <c r="T216" s="1"/>
      <c r="U216" s="1"/>
      <c r="V216" s="1" t="s">
        <v>2092</v>
      </c>
      <c r="W216" s="1"/>
      <c r="X216" s="1"/>
      <c r="Y216" s="1"/>
      <c r="Z216" s="1"/>
      <c r="AA216" s="1"/>
      <c r="AB216" s="1" t="s">
        <v>559</v>
      </c>
      <c r="AC216" s="1"/>
      <c r="AD216" s="1"/>
      <c r="AE216" s="1"/>
      <c r="AF216" s="1"/>
      <c r="AG216" s="1"/>
      <c r="AH216" s="1"/>
      <c r="AI216" s="1"/>
      <c r="AJ216" s="1"/>
      <c r="AK216" s="1"/>
      <c r="AL216" s="1"/>
      <c r="AM216" s="1"/>
      <c r="AN216" s="1"/>
      <c r="AO216" s="1" t="s">
        <v>2093</v>
      </c>
      <c r="AP216" s="1"/>
      <c r="AQ216" s="1"/>
      <c r="AR216" s="1"/>
      <c r="AS216" s="1"/>
      <c r="AT216" s="1" t="s">
        <v>204</v>
      </c>
      <c r="AU216" s="3">
        <v>2018</v>
      </c>
      <c r="AV216" s="3">
        <v>45</v>
      </c>
      <c r="AW216" s="3">
        <v>3</v>
      </c>
      <c r="AX216" s="2"/>
      <c r="AY216" s="2"/>
      <c r="AZ216" s="1"/>
      <c r="BA216" s="2"/>
      <c r="BB216" s="3">
        <v>571</v>
      </c>
      <c r="BC216" s="3">
        <v>596</v>
      </c>
      <c r="BD216" s="2"/>
      <c r="BE216" s="1"/>
      <c r="BF216" s="1"/>
      <c r="BG216" s="1"/>
      <c r="BH216" s="1"/>
      <c r="BI216" s="1"/>
      <c r="BJ216" s="1"/>
      <c r="BK216" s="1"/>
      <c r="BL216" s="1"/>
      <c r="BM216" s="1"/>
      <c r="BN216" s="2"/>
      <c r="BO216" s="1"/>
      <c r="BP216" s="1"/>
      <c r="BQ216" s="1"/>
      <c r="BR216" s="1"/>
      <c r="BS216" s="1" t="s">
        <v>2094</v>
      </c>
      <c r="BT216" s="5">
        <f>HYPERLINK("https%3A%2F%2Fwww.webofscience.com%2Fwos%2Fwoscc%2Ffull-record%2FWOS:000457386700002","View Full Record in Web of Science")</f>
      </c>
    </row>
    <row x14ac:dyDescent="0.25" r="217" customHeight="1" ht="12.75">
      <c r="A217" s="1" t="s">
        <v>72</v>
      </c>
      <c r="B217" s="1" t="s">
        <v>2095</v>
      </c>
      <c r="C217" s="1"/>
      <c r="D217" s="1"/>
      <c r="E217" s="1"/>
      <c r="F217" s="1" t="s">
        <v>2096</v>
      </c>
      <c r="G217" s="1"/>
      <c r="H217" s="1"/>
      <c r="I217" s="1" t="s">
        <v>2097</v>
      </c>
      <c r="J217" s="1" t="s">
        <v>2098</v>
      </c>
      <c r="K217" s="1"/>
      <c r="L217" s="1"/>
      <c r="M217" s="1"/>
      <c r="N217" s="1"/>
      <c r="O217" s="1"/>
      <c r="P217" s="2"/>
      <c r="Q217" s="1"/>
      <c r="R217" s="1"/>
      <c r="S217" s="1"/>
      <c r="T217" s="1"/>
      <c r="U217" s="1"/>
      <c r="V217" s="1" t="s">
        <v>2099</v>
      </c>
      <c r="W217" s="1"/>
      <c r="X217" s="1"/>
      <c r="Y217" s="1"/>
      <c r="Z217" s="1"/>
      <c r="AA217" s="1" t="s">
        <v>2100</v>
      </c>
      <c r="AB217" s="1" t="s">
        <v>2101</v>
      </c>
      <c r="AC217" s="1"/>
      <c r="AD217" s="1"/>
      <c r="AE217" s="1"/>
      <c r="AF217" s="1"/>
      <c r="AG217" s="1"/>
      <c r="AH217" s="1"/>
      <c r="AI217" s="1"/>
      <c r="AJ217" s="1"/>
      <c r="AK217" s="1"/>
      <c r="AL217" s="1"/>
      <c r="AM217" s="1"/>
      <c r="AN217" s="1"/>
      <c r="AO217" s="1" t="s">
        <v>2102</v>
      </c>
      <c r="AP217" s="1" t="s">
        <v>2103</v>
      </c>
      <c r="AQ217" s="1"/>
      <c r="AR217" s="1"/>
      <c r="AS217" s="1"/>
      <c r="AT217" s="1" t="s">
        <v>605</v>
      </c>
      <c r="AU217" s="3">
        <v>2018</v>
      </c>
      <c r="AV217" s="2"/>
      <c r="AW217" s="3">
        <v>39</v>
      </c>
      <c r="AX217" s="2"/>
      <c r="AY217" s="2"/>
      <c r="AZ217" s="1"/>
      <c r="BA217" s="2"/>
      <c r="BB217" s="3">
        <v>245</v>
      </c>
      <c r="BC217" s="3">
        <v>269</v>
      </c>
      <c r="BD217" s="2"/>
      <c r="BE217" s="1" t="s">
        <v>2104</v>
      </c>
      <c r="BF217" s="4">
        <f>HYPERLINK("http://dx.doi.org/10.7764/onomazein.39.10","http://dx.doi.org/10.7764/onomazein.39.10")</f>
      </c>
      <c r="BG217" s="1"/>
      <c r="BH217" s="1"/>
      <c r="BI217" s="1"/>
      <c r="BJ217" s="1"/>
      <c r="BK217" s="1"/>
      <c r="BL217" s="1"/>
      <c r="BM217" s="1"/>
      <c r="BN217" s="2"/>
      <c r="BO217" s="1"/>
      <c r="BP217" s="1"/>
      <c r="BQ217" s="1"/>
      <c r="BR217" s="1"/>
      <c r="BS217" s="1" t="s">
        <v>2105</v>
      </c>
      <c r="BT217" s="5">
        <f>HYPERLINK("https%3A%2F%2Fwww.webofscience.com%2Fwos%2Fwoscc%2Ffull-record%2FWOS:000439446700012","View Full Record in Web of Science")</f>
      </c>
    </row>
    <row x14ac:dyDescent="0.25" r="218" customHeight="1" ht="12.75">
      <c r="A218" s="1" t="s">
        <v>303</v>
      </c>
      <c r="B218" s="1" t="s">
        <v>2106</v>
      </c>
      <c r="C218" s="1"/>
      <c r="D218" s="1" t="s">
        <v>392</v>
      </c>
      <c r="E218" s="1"/>
      <c r="F218" s="1" t="s">
        <v>2107</v>
      </c>
      <c r="G218" s="1"/>
      <c r="H218" s="1"/>
      <c r="I218" s="1" t="s">
        <v>2108</v>
      </c>
      <c r="J218" s="1" t="s">
        <v>395</v>
      </c>
      <c r="K218" s="1"/>
      <c r="L218" s="1"/>
      <c r="M218" s="1"/>
      <c r="N218" s="1"/>
      <c r="O218" s="1" t="s">
        <v>396</v>
      </c>
      <c r="P218" s="2" t="s">
        <v>397</v>
      </c>
      <c r="Q218" s="1" t="s">
        <v>398</v>
      </c>
      <c r="R218" s="1" t="s">
        <v>399</v>
      </c>
      <c r="S218" s="1"/>
      <c r="T218" s="1"/>
      <c r="U218" s="1"/>
      <c r="V218" s="1" t="s">
        <v>2109</v>
      </c>
      <c r="W218" s="1"/>
      <c r="X218" s="1"/>
      <c r="Y218" s="1"/>
      <c r="Z218" s="1"/>
      <c r="AA218" s="1" t="s">
        <v>1143</v>
      </c>
      <c r="AB218" s="1" t="s">
        <v>511</v>
      </c>
      <c r="AC218" s="1"/>
      <c r="AD218" s="1"/>
      <c r="AE218" s="1"/>
      <c r="AF218" s="1"/>
      <c r="AG218" s="1"/>
      <c r="AH218" s="1"/>
      <c r="AI218" s="1"/>
      <c r="AJ218" s="1"/>
      <c r="AK218" s="1"/>
      <c r="AL218" s="1"/>
      <c r="AM218" s="1"/>
      <c r="AN218" s="1"/>
      <c r="AO218" s="1"/>
      <c r="AP218" s="1"/>
      <c r="AQ218" s="1" t="s">
        <v>401</v>
      </c>
      <c r="AR218" s="1"/>
      <c r="AS218" s="1"/>
      <c r="AT218" s="1"/>
      <c r="AU218" s="3">
        <v>2018</v>
      </c>
      <c r="AV218" s="2"/>
      <c r="AW218" s="2"/>
      <c r="AX218" s="2"/>
      <c r="AY218" s="2"/>
      <c r="AZ218" s="1"/>
      <c r="BA218" s="2"/>
      <c r="BB218" s="2"/>
      <c r="BC218" s="2"/>
      <c r="BD218" s="2"/>
      <c r="BE218" s="1"/>
      <c r="BF218" s="1"/>
      <c r="BG218" s="1"/>
      <c r="BH218" s="1"/>
      <c r="BI218" s="1"/>
      <c r="BJ218" s="1"/>
      <c r="BK218" s="1"/>
      <c r="BL218" s="1"/>
      <c r="BM218" s="1"/>
      <c r="BN218" s="2"/>
      <c r="BO218" s="1"/>
      <c r="BP218" s="1"/>
      <c r="BQ218" s="1"/>
      <c r="BR218" s="1"/>
      <c r="BS218" s="1" t="s">
        <v>2110</v>
      </c>
      <c r="BT218" s="5">
        <f>HYPERLINK("https%3A%2F%2Fwww.webofscience.com%2Fwos%2Fwoscc%2Ffull-record%2FWOS:000458417600105","View Full Record in Web of Science")</f>
      </c>
    </row>
    <row x14ac:dyDescent="0.25" r="219" customHeight="1" ht="12.75">
      <c r="A219" s="1" t="s">
        <v>72</v>
      </c>
      <c r="B219" s="1" t="s">
        <v>2111</v>
      </c>
      <c r="C219" s="1"/>
      <c r="D219" s="1"/>
      <c r="E219" s="1"/>
      <c r="F219" s="1" t="s">
        <v>2112</v>
      </c>
      <c r="G219" s="1"/>
      <c r="H219" s="1"/>
      <c r="I219" s="1" t="s">
        <v>2113</v>
      </c>
      <c r="J219" s="1" t="s">
        <v>470</v>
      </c>
      <c r="K219" s="1"/>
      <c r="L219" s="1"/>
      <c r="M219" s="1"/>
      <c r="N219" s="1"/>
      <c r="O219" s="1"/>
      <c r="P219" s="2"/>
      <c r="Q219" s="1"/>
      <c r="R219" s="1"/>
      <c r="S219" s="1"/>
      <c r="T219" s="1"/>
      <c r="U219" s="1"/>
      <c r="V219" s="1" t="s">
        <v>2114</v>
      </c>
      <c r="W219" s="1"/>
      <c r="X219" s="1"/>
      <c r="Y219" s="1"/>
      <c r="Z219" s="1"/>
      <c r="AA219" s="1" t="s">
        <v>472</v>
      </c>
      <c r="AB219" s="1" t="s">
        <v>473</v>
      </c>
      <c r="AC219" s="1"/>
      <c r="AD219" s="1"/>
      <c r="AE219" s="1"/>
      <c r="AF219" s="1"/>
      <c r="AG219" s="1"/>
      <c r="AH219" s="1"/>
      <c r="AI219" s="1"/>
      <c r="AJ219" s="1"/>
      <c r="AK219" s="1"/>
      <c r="AL219" s="1"/>
      <c r="AM219" s="1"/>
      <c r="AN219" s="1"/>
      <c r="AO219" s="1" t="s">
        <v>474</v>
      </c>
      <c r="AP219" s="1" t="s">
        <v>475</v>
      </c>
      <c r="AQ219" s="1"/>
      <c r="AR219" s="1"/>
      <c r="AS219" s="1"/>
      <c r="AT219" s="1"/>
      <c r="AU219" s="3">
        <v>2017</v>
      </c>
      <c r="AV219" s="3">
        <v>35</v>
      </c>
      <c r="AW219" s="3">
        <v>6</v>
      </c>
      <c r="AX219" s="2"/>
      <c r="AY219" s="2"/>
      <c r="AZ219" s="1"/>
      <c r="BA219" s="2"/>
      <c r="BB219" s="3">
        <v>666</v>
      </c>
      <c r="BC219" s="3">
        <v>679</v>
      </c>
      <c r="BD219" s="2"/>
      <c r="BE219" s="1" t="s">
        <v>2115</v>
      </c>
      <c r="BF219" s="4">
        <f>HYPERLINK("http://dx.doi.org/10.1080/07373937.2016.1206124","http://dx.doi.org/10.1080/07373937.2016.1206124")</f>
      </c>
      <c r="BG219" s="1"/>
      <c r="BH219" s="1"/>
      <c r="BI219" s="1"/>
      <c r="BJ219" s="1"/>
      <c r="BK219" s="1"/>
      <c r="BL219" s="1"/>
      <c r="BM219" s="1"/>
      <c r="BN219" s="2"/>
      <c r="BO219" s="1"/>
      <c r="BP219" s="1"/>
      <c r="BQ219" s="1"/>
      <c r="BR219" s="1"/>
      <c r="BS219" s="1" t="s">
        <v>2116</v>
      </c>
      <c r="BT219" s="5">
        <f>HYPERLINK("https%3A%2F%2Fwww.webofscience.com%2Fwos%2Fwoscc%2Ffull-record%2FWOS:000399654200002","View Full Record in Web of Science")</f>
      </c>
    </row>
    <row x14ac:dyDescent="0.25" r="220" customHeight="1" ht="12.75">
      <c r="A220" s="1" t="s">
        <v>303</v>
      </c>
      <c r="B220" s="1" t="s">
        <v>2117</v>
      </c>
      <c r="C220" s="1"/>
      <c r="D220" s="1"/>
      <c r="E220" s="1" t="s">
        <v>305</v>
      </c>
      <c r="F220" s="1" t="s">
        <v>2118</v>
      </c>
      <c r="G220" s="1"/>
      <c r="H220" s="1"/>
      <c r="I220" s="1" t="s">
        <v>2119</v>
      </c>
      <c r="J220" s="1" t="s">
        <v>2120</v>
      </c>
      <c r="K220" s="1" t="s">
        <v>2020</v>
      </c>
      <c r="L220" s="1"/>
      <c r="M220" s="1"/>
      <c r="N220" s="1"/>
      <c r="O220" s="1" t="s">
        <v>2121</v>
      </c>
      <c r="P220" s="2" t="s">
        <v>2122</v>
      </c>
      <c r="Q220" s="1" t="s">
        <v>2123</v>
      </c>
      <c r="R220" s="1" t="s">
        <v>2124</v>
      </c>
      <c r="S220" s="1"/>
      <c r="T220" s="1"/>
      <c r="U220" s="1"/>
      <c r="V220" s="1" t="s">
        <v>2125</v>
      </c>
      <c r="W220" s="1"/>
      <c r="X220" s="1"/>
      <c r="Y220" s="1"/>
      <c r="Z220" s="1"/>
      <c r="AA220" s="1" t="s">
        <v>2126</v>
      </c>
      <c r="AB220" s="1"/>
      <c r="AC220" s="1"/>
      <c r="AD220" s="1"/>
      <c r="AE220" s="1"/>
      <c r="AF220" s="1"/>
      <c r="AG220" s="1"/>
      <c r="AH220" s="1"/>
      <c r="AI220" s="1"/>
      <c r="AJ220" s="1"/>
      <c r="AK220" s="1"/>
      <c r="AL220" s="1"/>
      <c r="AM220" s="1"/>
      <c r="AN220" s="1"/>
      <c r="AO220" s="1" t="s">
        <v>2028</v>
      </c>
      <c r="AP220" s="1"/>
      <c r="AQ220" s="1" t="s">
        <v>2127</v>
      </c>
      <c r="AR220" s="1"/>
      <c r="AS220" s="1"/>
      <c r="AT220" s="1"/>
      <c r="AU220" s="3">
        <v>2017</v>
      </c>
      <c r="AV220" s="2"/>
      <c r="AW220" s="2"/>
      <c r="AX220" s="2"/>
      <c r="AY220" s="2"/>
      <c r="AZ220" s="1"/>
      <c r="BA220" s="2"/>
      <c r="BB220" s="2"/>
      <c r="BC220" s="2"/>
      <c r="BD220" s="2"/>
      <c r="BE220" s="1"/>
      <c r="BF220" s="1"/>
      <c r="BG220" s="1"/>
      <c r="BH220" s="1"/>
      <c r="BI220" s="1"/>
      <c r="BJ220" s="1"/>
      <c r="BK220" s="1"/>
      <c r="BL220" s="1"/>
      <c r="BM220" s="1"/>
      <c r="BN220" s="2"/>
      <c r="BO220" s="1"/>
      <c r="BP220" s="1"/>
      <c r="BQ220" s="1"/>
      <c r="BR220" s="1"/>
      <c r="BS220" s="1" t="s">
        <v>2128</v>
      </c>
      <c r="BT220" s="5">
        <f>HYPERLINK("https%3A%2F%2Fwww.webofscience.com%2Fwos%2Fwoscc%2Ffull-record%2FWOS:000455184200039","View Full Record in Web of Science")</f>
      </c>
    </row>
    <row x14ac:dyDescent="0.25" r="221" customHeight="1" ht="12.75">
      <c r="A221" s="1" t="s">
        <v>72</v>
      </c>
      <c r="B221" s="1" t="s">
        <v>2129</v>
      </c>
      <c r="C221" s="1"/>
      <c r="D221" s="1"/>
      <c r="E221" s="1"/>
      <c r="F221" s="1" t="s">
        <v>2130</v>
      </c>
      <c r="G221" s="1"/>
      <c r="H221" s="1"/>
      <c r="I221" s="1" t="s">
        <v>2131</v>
      </c>
      <c r="J221" s="1" t="s">
        <v>2132</v>
      </c>
      <c r="K221" s="1"/>
      <c r="L221" s="1"/>
      <c r="M221" s="1"/>
      <c r="N221" s="1"/>
      <c r="O221" s="1"/>
      <c r="P221" s="2"/>
      <c r="Q221" s="1"/>
      <c r="R221" s="1"/>
      <c r="S221" s="1"/>
      <c r="T221" s="1"/>
      <c r="U221" s="1"/>
      <c r="V221" s="1" t="s">
        <v>2133</v>
      </c>
      <c r="W221" s="1"/>
      <c r="X221" s="1"/>
      <c r="Y221" s="1"/>
      <c r="Z221" s="1"/>
      <c r="AA221" s="1" t="s">
        <v>2134</v>
      </c>
      <c r="AB221" s="1" t="s">
        <v>2135</v>
      </c>
      <c r="AC221" s="1"/>
      <c r="AD221" s="1"/>
      <c r="AE221" s="1"/>
      <c r="AF221" s="1"/>
      <c r="AG221" s="1"/>
      <c r="AH221" s="1"/>
      <c r="AI221" s="1"/>
      <c r="AJ221" s="1"/>
      <c r="AK221" s="1"/>
      <c r="AL221" s="1"/>
      <c r="AM221" s="1"/>
      <c r="AN221" s="1"/>
      <c r="AO221" s="1" t="s">
        <v>2136</v>
      </c>
      <c r="AP221" s="1" t="s">
        <v>2137</v>
      </c>
      <c r="AQ221" s="1"/>
      <c r="AR221" s="1"/>
      <c r="AS221" s="1"/>
      <c r="AT221" s="1" t="s">
        <v>169</v>
      </c>
      <c r="AU221" s="3">
        <v>2016</v>
      </c>
      <c r="AV221" s="3">
        <v>20</v>
      </c>
      <c r="AW221" s="3">
        <v>11</v>
      </c>
      <c r="AX221" s="2"/>
      <c r="AY221" s="2"/>
      <c r="AZ221" s="1" t="s">
        <v>170</v>
      </c>
      <c r="BA221" s="2"/>
      <c r="BB221" s="3">
        <v>3199</v>
      </c>
      <c r="BC221" s="3">
        <v>3208</v>
      </c>
      <c r="BD221" s="2"/>
      <c r="BE221" s="1" t="s">
        <v>2138</v>
      </c>
      <c r="BF221" s="4">
        <f>HYPERLINK("http://dx.doi.org/10.1007/s10008-016-3396-z","http://dx.doi.org/10.1007/s10008-016-3396-z")</f>
      </c>
      <c r="BG221" s="1"/>
      <c r="BH221" s="1"/>
      <c r="BI221" s="1"/>
      <c r="BJ221" s="1"/>
      <c r="BK221" s="1"/>
      <c r="BL221" s="1"/>
      <c r="BM221" s="1"/>
      <c r="BN221" s="2"/>
      <c r="BO221" s="1"/>
      <c r="BP221" s="1"/>
      <c r="BQ221" s="1"/>
      <c r="BR221" s="1"/>
      <c r="BS221" s="1" t="s">
        <v>2139</v>
      </c>
      <c r="BT221" s="5">
        <f>HYPERLINK("https%3A%2F%2Fwww.webofscience.com%2Fwos%2Fwoscc%2Ffull-record%2FWOS:000386343800028","View Full Record in Web of Science")</f>
      </c>
    </row>
    <row x14ac:dyDescent="0.25" r="222" customHeight="1" ht="12.75">
      <c r="A222" s="1" t="s">
        <v>72</v>
      </c>
      <c r="B222" s="1" t="s">
        <v>2140</v>
      </c>
      <c r="C222" s="1"/>
      <c r="D222" s="1"/>
      <c r="E222" s="1"/>
      <c r="F222" s="1" t="s">
        <v>2141</v>
      </c>
      <c r="G222" s="1"/>
      <c r="H222" s="1"/>
      <c r="I222" s="1" t="s">
        <v>2142</v>
      </c>
      <c r="J222" s="1" t="s">
        <v>2143</v>
      </c>
      <c r="K222" s="1"/>
      <c r="L222" s="1"/>
      <c r="M222" s="1"/>
      <c r="N222" s="1"/>
      <c r="O222" s="1"/>
      <c r="P222" s="2"/>
      <c r="Q222" s="1"/>
      <c r="R222" s="1"/>
      <c r="S222" s="1"/>
      <c r="T222" s="1"/>
      <c r="U222" s="1"/>
      <c r="V222" s="1" t="s">
        <v>2144</v>
      </c>
      <c r="W222" s="1"/>
      <c r="X222" s="1"/>
      <c r="Y222" s="1"/>
      <c r="Z222" s="1"/>
      <c r="AA222" s="1" t="s">
        <v>2145</v>
      </c>
      <c r="AB222" s="1" t="s">
        <v>2146</v>
      </c>
      <c r="AC222" s="1"/>
      <c r="AD222" s="1"/>
      <c r="AE222" s="1"/>
      <c r="AF222" s="1"/>
      <c r="AG222" s="1"/>
      <c r="AH222" s="1"/>
      <c r="AI222" s="1"/>
      <c r="AJ222" s="1"/>
      <c r="AK222" s="1"/>
      <c r="AL222" s="1"/>
      <c r="AM222" s="1"/>
      <c r="AN222" s="1"/>
      <c r="AO222" s="1" t="s">
        <v>2147</v>
      </c>
      <c r="AP222" s="1" t="s">
        <v>2148</v>
      </c>
      <c r="AQ222" s="1"/>
      <c r="AR222" s="1"/>
      <c r="AS222" s="1"/>
      <c r="AT222" s="1" t="s">
        <v>431</v>
      </c>
      <c r="AU222" s="3">
        <v>2016</v>
      </c>
      <c r="AV222" s="3">
        <v>122</v>
      </c>
      <c r="AW222" s="3">
        <v>10</v>
      </c>
      <c r="AX222" s="2"/>
      <c r="AY222" s="2"/>
      <c r="AZ222" s="1"/>
      <c r="BA222" s="2"/>
      <c r="BB222" s="2"/>
      <c r="BC222" s="2"/>
      <c r="BD222" s="3">
        <v>252</v>
      </c>
      <c r="BE222" s="1" t="s">
        <v>2149</v>
      </c>
      <c r="BF222" s="4">
        <f>HYPERLINK("http://dx.doi.org/10.1007/s00340-016-6528-3","http://dx.doi.org/10.1007/s00340-016-6528-3")</f>
      </c>
      <c r="BG222" s="1"/>
      <c r="BH222" s="1"/>
      <c r="BI222" s="1"/>
      <c r="BJ222" s="1"/>
      <c r="BK222" s="1"/>
      <c r="BL222" s="1"/>
      <c r="BM222" s="1"/>
      <c r="BN222" s="2"/>
      <c r="BO222" s="1"/>
      <c r="BP222" s="1"/>
      <c r="BQ222" s="1"/>
      <c r="BR222" s="1"/>
      <c r="BS222" s="1" t="s">
        <v>2150</v>
      </c>
      <c r="BT222" s="5">
        <f>HYPERLINK("https%3A%2F%2Fwww.webofscience.com%2Fwos%2Fwoscc%2Ffull-record%2FWOS:000388419100003","View Full Record in Web of Science")</f>
      </c>
    </row>
    <row x14ac:dyDescent="0.25" r="223" customHeight="1" ht="12.75">
      <c r="A223" s="1" t="s">
        <v>72</v>
      </c>
      <c r="B223" s="1" t="s">
        <v>2151</v>
      </c>
      <c r="C223" s="1"/>
      <c r="D223" s="1"/>
      <c r="E223" s="1"/>
      <c r="F223" s="1" t="s">
        <v>2152</v>
      </c>
      <c r="G223" s="1"/>
      <c r="H223" s="1"/>
      <c r="I223" s="1" t="s">
        <v>2153</v>
      </c>
      <c r="J223" s="1" t="s">
        <v>2132</v>
      </c>
      <c r="K223" s="1"/>
      <c r="L223" s="1"/>
      <c r="M223" s="1"/>
      <c r="N223" s="1"/>
      <c r="O223" s="1"/>
      <c r="P223" s="2"/>
      <c r="Q223" s="1"/>
      <c r="R223" s="1"/>
      <c r="S223" s="1"/>
      <c r="T223" s="1"/>
      <c r="U223" s="1"/>
      <c r="V223" s="1"/>
      <c r="W223" s="1"/>
      <c r="X223" s="1"/>
      <c r="Y223" s="1"/>
      <c r="Z223" s="1"/>
      <c r="AA223" s="1" t="s">
        <v>2154</v>
      </c>
      <c r="AB223" s="1" t="s">
        <v>2155</v>
      </c>
      <c r="AC223" s="1"/>
      <c r="AD223" s="1"/>
      <c r="AE223" s="1"/>
      <c r="AF223" s="1"/>
      <c r="AG223" s="1"/>
      <c r="AH223" s="1"/>
      <c r="AI223" s="1"/>
      <c r="AJ223" s="1"/>
      <c r="AK223" s="1"/>
      <c r="AL223" s="1"/>
      <c r="AM223" s="1"/>
      <c r="AN223" s="1"/>
      <c r="AO223" s="1" t="s">
        <v>2136</v>
      </c>
      <c r="AP223" s="1" t="s">
        <v>2137</v>
      </c>
      <c r="AQ223" s="1"/>
      <c r="AR223" s="1"/>
      <c r="AS223" s="1"/>
      <c r="AT223" s="1" t="s">
        <v>567</v>
      </c>
      <c r="AU223" s="3">
        <v>2016</v>
      </c>
      <c r="AV223" s="3">
        <v>20</v>
      </c>
      <c r="AW223" s="3">
        <v>4</v>
      </c>
      <c r="AX223" s="2"/>
      <c r="AY223" s="2"/>
      <c r="AZ223" s="1" t="s">
        <v>170</v>
      </c>
      <c r="BA223" s="2"/>
      <c r="BB223" s="3">
        <v>837</v>
      </c>
      <c r="BC223" s="3">
        <v>838</v>
      </c>
      <c r="BD223" s="2"/>
      <c r="BE223" s="1" t="s">
        <v>2156</v>
      </c>
      <c r="BF223" s="4">
        <f>HYPERLINK("http://dx.doi.org/10.1007/s10008-015-3104-4","http://dx.doi.org/10.1007/s10008-015-3104-4")</f>
      </c>
      <c r="BG223" s="1"/>
      <c r="BH223" s="1"/>
      <c r="BI223" s="1"/>
      <c r="BJ223" s="1"/>
      <c r="BK223" s="1"/>
      <c r="BL223" s="1"/>
      <c r="BM223" s="1"/>
      <c r="BN223" s="2"/>
      <c r="BO223" s="1"/>
      <c r="BP223" s="1"/>
      <c r="BQ223" s="1"/>
      <c r="BR223" s="1"/>
      <c r="BS223" s="1" t="s">
        <v>2157</v>
      </c>
      <c r="BT223" s="5">
        <f>HYPERLINK("https%3A%2F%2Fwww.webofscience.com%2Fwos%2Fwoscc%2Ffull-record%2FWOS:000374841300001","View Full Record in Web of Science")</f>
      </c>
    </row>
    <row x14ac:dyDescent="0.25" r="224" customHeight="1" ht="12.75">
      <c r="A224" s="1" t="s">
        <v>267</v>
      </c>
      <c r="B224" s="1" t="s">
        <v>2158</v>
      </c>
      <c r="C224" s="1" t="s">
        <v>2159</v>
      </c>
      <c r="D224" s="1"/>
      <c r="E224" s="1"/>
      <c r="F224" s="1" t="s">
        <v>2160</v>
      </c>
      <c r="G224" s="1" t="s">
        <v>2159</v>
      </c>
      <c r="H224" s="1"/>
      <c r="I224" s="1" t="s">
        <v>2161</v>
      </c>
      <c r="J224" s="1" t="s">
        <v>2162</v>
      </c>
      <c r="K224" s="1" t="s">
        <v>2163</v>
      </c>
      <c r="L224" s="1"/>
      <c r="M224" s="1"/>
      <c r="N224" s="1"/>
      <c r="O224" s="1"/>
      <c r="P224" s="2"/>
      <c r="Q224" s="1"/>
      <c r="R224" s="1"/>
      <c r="S224" s="1"/>
      <c r="T224" s="1"/>
      <c r="U224" s="1"/>
      <c r="V224" s="1"/>
      <c r="W224" s="1"/>
      <c r="X224" s="1"/>
      <c r="Y224" s="1"/>
      <c r="Z224" s="1"/>
      <c r="AA224" s="1" t="s">
        <v>450</v>
      </c>
      <c r="AB224" s="1"/>
      <c r="AC224" s="1"/>
      <c r="AD224" s="1"/>
      <c r="AE224" s="1"/>
      <c r="AF224" s="1"/>
      <c r="AG224" s="1"/>
      <c r="AH224" s="1"/>
      <c r="AI224" s="1"/>
      <c r="AJ224" s="1"/>
      <c r="AK224" s="1"/>
      <c r="AL224" s="1"/>
      <c r="AM224" s="1"/>
      <c r="AN224" s="1"/>
      <c r="AO224" s="1"/>
      <c r="AP224" s="1"/>
      <c r="AQ224" s="1" t="s">
        <v>2164</v>
      </c>
      <c r="AR224" s="1"/>
      <c r="AS224" s="1"/>
      <c r="AT224" s="1"/>
      <c r="AU224" s="3">
        <v>2016</v>
      </c>
      <c r="AV224" s="2"/>
      <c r="AW224" s="2"/>
      <c r="AX224" s="2"/>
      <c r="AY224" s="2"/>
      <c r="AZ224" s="1"/>
      <c r="BA224" s="2"/>
      <c r="BB224" s="3">
        <v>79</v>
      </c>
      <c r="BC224" s="3">
        <v>100</v>
      </c>
      <c r="BD224" s="2"/>
      <c r="BE224" s="1"/>
      <c r="BF224" s="1"/>
      <c r="BG224" s="1"/>
      <c r="BH224" s="1"/>
      <c r="BI224" s="1"/>
      <c r="BJ224" s="1"/>
      <c r="BK224" s="1"/>
      <c r="BL224" s="1"/>
      <c r="BM224" s="1"/>
      <c r="BN224" s="2"/>
      <c r="BO224" s="1"/>
      <c r="BP224" s="1"/>
      <c r="BQ224" s="1"/>
      <c r="BR224" s="1"/>
      <c r="BS224" s="1" t="s">
        <v>2165</v>
      </c>
      <c r="BT224" s="5">
        <f>HYPERLINK("https%3A%2F%2Fwww.webofscience.com%2Fwos%2Fwoscc%2Ffull-record%2FWOS:000458913900005","View Full Record in Web of Science")</f>
      </c>
    </row>
    <row x14ac:dyDescent="0.25" r="225" customHeight="1" ht="12.75">
      <c r="A225" s="1" t="s">
        <v>72</v>
      </c>
      <c r="B225" s="1" t="s">
        <v>2166</v>
      </c>
      <c r="C225" s="1"/>
      <c r="D225" s="1"/>
      <c r="E225" s="1"/>
      <c r="F225" s="1" t="s">
        <v>2167</v>
      </c>
      <c r="G225" s="1"/>
      <c r="H225" s="1"/>
      <c r="I225" s="1" t="s">
        <v>2168</v>
      </c>
      <c r="J225" s="1" t="s">
        <v>2169</v>
      </c>
      <c r="K225" s="1"/>
      <c r="L225" s="1"/>
      <c r="M225" s="1"/>
      <c r="N225" s="1"/>
      <c r="O225" s="1"/>
      <c r="P225" s="2"/>
      <c r="Q225" s="1"/>
      <c r="R225" s="1"/>
      <c r="S225" s="1"/>
      <c r="T225" s="1"/>
      <c r="U225" s="1"/>
      <c r="V225" s="1" t="s">
        <v>2170</v>
      </c>
      <c r="W225" s="1"/>
      <c r="X225" s="1"/>
      <c r="Y225" s="1"/>
      <c r="Z225" s="1"/>
      <c r="AA225" s="1" t="s">
        <v>201</v>
      </c>
      <c r="AB225" s="1" t="s">
        <v>1152</v>
      </c>
      <c r="AC225" s="1"/>
      <c r="AD225" s="1"/>
      <c r="AE225" s="1"/>
      <c r="AF225" s="1"/>
      <c r="AG225" s="1"/>
      <c r="AH225" s="1"/>
      <c r="AI225" s="1"/>
      <c r="AJ225" s="1"/>
      <c r="AK225" s="1"/>
      <c r="AL225" s="1"/>
      <c r="AM225" s="1"/>
      <c r="AN225" s="1"/>
      <c r="AO225" s="1" t="s">
        <v>2171</v>
      </c>
      <c r="AP225" s="1" t="s">
        <v>2172</v>
      </c>
      <c r="AQ225" s="1"/>
      <c r="AR225" s="1"/>
      <c r="AS225" s="1"/>
      <c r="AT225" s="1" t="s">
        <v>103</v>
      </c>
      <c r="AU225" s="3">
        <v>2016</v>
      </c>
      <c r="AV225" s="3">
        <v>11</v>
      </c>
      <c r="AW225" s="3">
        <v>1</v>
      </c>
      <c r="AX225" s="2"/>
      <c r="AY225" s="2"/>
      <c r="AZ225" s="1"/>
      <c r="BA225" s="2"/>
      <c r="BB225" s="3">
        <v>215</v>
      </c>
      <c r="BC225" s="3">
        <v>226</v>
      </c>
      <c r="BD225" s="2"/>
      <c r="BE225" s="1" t="s">
        <v>2173</v>
      </c>
      <c r="BF225" s="4">
        <f>HYPERLINK("http://dx.doi.org/10.5370/JEET.2016.11.1.215","http://dx.doi.org/10.5370/JEET.2016.11.1.215")</f>
      </c>
      <c r="BG225" s="1"/>
      <c r="BH225" s="1"/>
      <c r="BI225" s="1"/>
      <c r="BJ225" s="1"/>
      <c r="BK225" s="1"/>
      <c r="BL225" s="1"/>
      <c r="BM225" s="1"/>
      <c r="BN225" s="2"/>
      <c r="BO225" s="1"/>
      <c r="BP225" s="1"/>
      <c r="BQ225" s="1"/>
      <c r="BR225" s="1"/>
      <c r="BS225" s="1" t="s">
        <v>2174</v>
      </c>
      <c r="BT225" s="5">
        <f>HYPERLINK("https%3A%2F%2Fwww.webofscience.com%2Fwos%2Fwoscc%2Ffull-record%2FWOS:000367637300025","View Full Record in Web of Science")</f>
      </c>
    </row>
    <row x14ac:dyDescent="0.25" r="226" customHeight="1" ht="12.75">
      <c r="A226" s="1" t="s">
        <v>72</v>
      </c>
      <c r="B226" s="1" t="s">
        <v>2175</v>
      </c>
      <c r="C226" s="1"/>
      <c r="D226" s="1"/>
      <c r="E226" s="1"/>
      <c r="F226" s="1" t="s">
        <v>2176</v>
      </c>
      <c r="G226" s="1"/>
      <c r="H226" s="1"/>
      <c r="I226" s="1" t="s">
        <v>2177</v>
      </c>
      <c r="J226" s="1" t="s">
        <v>2178</v>
      </c>
      <c r="K226" s="1"/>
      <c r="L226" s="1"/>
      <c r="M226" s="1"/>
      <c r="N226" s="1"/>
      <c r="O226" s="1"/>
      <c r="P226" s="2"/>
      <c r="Q226" s="1"/>
      <c r="R226" s="1"/>
      <c r="S226" s="1"/>
      <c r="T226" s="1"/>
      <c r="U226" s="1"/>
      <c r="V226" s="1" t="s">
        <v>2179</v>
      </c>
      <c r="W226" s="1"/>
      <c r="X226" s="1"/>
      <c r="Y226" s="1"/>
      <c r="Z226" s="1"/>
      <c r="AA226" s="1" t="s">
        <v>2180</v>
      </c>
      <c r="AB226" s="1" t="s">
        <v>2181</v>
      </c>
      <c r="AC226" s="1"/>
      <c r="AD226" s="1"/>
      <c r="AE226" s="1"/>
      <c r="AF226" s="1"/>
      <c r="AG226" s="1"/>
      <c r="AH226" s="1"/>
      <c r="AI226" s="1"/>
      <c r="AJ226" s="1"/>
      <c r="AK226" s="1"/>
      <c r="AL226" s="1"/>
      <c r="AM226" s="1"/>
      <c r="AN226" s="1"/>
      <c r="AO226" s="1" t="s">
        <v>2182</v>
      </c>
      <c r="AP226" s="1" t="s">
        <v>2183</v>
      </c>
      <c r="AQ226" s="1"/>
      <c r="AR226" s="1"/>
      <c r="AS226" s="1"/>
      <c r="AT226" s="1" t="s">
        <v>204</v>
      </c>
      <c r="AU226" s="3">
        <v>2015</v>
      </c>
      <c r="AV226" s="3">
        <v>288</v>
      </c>
      <c r="AW226" s="2" t="s">
        <v>2184</v>
      </c>
      <c r="AX226" s="2"/>
      <c r="AY226" s="2"/>
      <c r="AZ226" s="1"/>
      <c r="BA226" s="2"/>
      <c r="BB226" s="3">
        <v>2079</v>
      </c>
      <c r="BC226" s="3">
        <v>2092</v>
      </c>
      <c r="BD226" s="2"/>
      <c r="BE226" s="1" t="s">
        <v>2185</v>
      </c>
      <c r="BF226" s="4">
        <f>HYPERLINK("http://dx.doi.org/10.1002/mana.201400326","http://dx.doi.org/10.1002/mana.201400326")</f>
      </c>
      <c r="BG226" s="1"/>
      <c r="BH226" s="1"/>
      <c r="BI226" s="1"/>
      <c r="BJ226" s="1"/>
      <c r="BK226" s="1"/>
      <c r="BL226" s="1"/>
      <c r="BM226" s="1"/>
      <c r="BN226" s="2"/>
      <c r="BO226" s="1"/>
      <c r="BP226" s="1"/>
      <c r="BQ226" s="1"/>
      <c r="BR226" s="1"/>
      <c r="BS226" s="1" t="s">
        <v>2186</v>
      </c>
      <c r="BT226" s="5">
        <f>HYPERLINK("https%3A%2F%2Fwww.webofscience.com%2Fwos%2Fwoscc%2Ffull-record%2FWOS:000368047000012","View Full Record in Web of Science")</f>
      </c>
    </row>
    <row x14ac:dyDescent="0.25" r="227" customHeight="1" ht="12.75">
      <c r="A227" s="1" t="s">
        <v>72</v>
      </c>
      <c r="B227" s="1" t="s">
        <v>2187</v>
      </c>
      <c r="C227" s="1"/>
      <c r="D227" s="1"/>
      <c r="E227" s="1"/>
      <c r="F227" s="1" t="s">
        <v>2188</v>
      </c>
      <c r="G227" s="1"/>
      <c r="H227" s="1"/>
      <c r="I227" s="1" t="s">
        <v>2189</v>
      </c>
      <c r="J227" s="1" t="s">
        <v>2190</v>
      </c>
      <c r="K227" s="1"/>
      <c r="L227" s="1"/>
      <c r="M227" s="1"/>
      <c r="N227" s="1"/>
      <c r="O227" s="1"/>
      <c r="P227" s="2"/>
      <c r="Q227" s="1"/>
      <c r="R227" s="1"/>
      <c r="S227" s="1"/>
      <c r="T227" s="1"/>
      <c r="U227" s="1"/>
      <c r="V227" s="1" t="s">
        <v>2191</v>
      </c>
      <c r="W227" s="1"/>
      <c r="X227" s="1"/>
      <c r="Y227" s="1"/>
      <c r="Z227" s="1"/>
      <c r="AA227" s="1" t="s">
        <v>2192</v>
      </c>
      <c r="AB227" s="1" t="s">
        <v>2193</v>
      </c>
      <c r="AC227" s="1"/>
      <c r="AD227" s="1"/>
      <c r="AE227" s="1"/>
      <c r="AF227" s="1"/>
      <c r="AG227" s="1"/>
      <c r="AH227" s="1"/>
      <c r="AI227" s="1"/>
      <c r="AJ227" s="1"/>
      <c r="AK227" s="1"/>
      <c r="AL227" s="1"/>
      <c r="AM227" s="1"/>
      <c r="AN227" s="1"/>
      <c r="AO227" s="1" t="s">
        <v>2194</v>
      </c>
      <c r="AP227" s="1" t="s">
        <v>2195</v>
      </c>
      <c r="AQ227" s="1"/>
      <c r="AR227" s="1"/>
      <c r="AS227" s="1"/>
      <c r="AT227" s="1"/>
      <c r="AU227" s="3">
        <v>2015</v>
      </c>
      <c r="AV227" s="3">
        <v>20</v>
      </c>
      <c r="AW227" s="3">
        <v>1</v>
      </c>
      <c r="AX227" s="2"/>
      <c r="AY227" s="2"/>
      <c r="AZ227" s="1"/>
      <c r="BA227" s="2"/>
      <c r="BB227" s="3">
        <v>114</v>
      </c>
      <c r="BC227" s="3">
        <v>129</v>
      </c>
      <c r="BD227" s="2"/>
      <c r="BE227" s="1" t="s">
        <v>2196</v>
      </c>
      <c r="BF227" s="4">
        <f>HYPERLINK("http://dx.doi.org/10.1080/13549839.2013.834491","http://dx.doi.org/10.1080/13549839.2013.834491")</f>
      </c>
      <c r="BG227" s="1"/>
      <c r="BH227" s="1"/>
      <c r="BI227" s="1"/>
      <c r="BJ227" s="1"/>
      <c r="BK227" s="1"/>
      <c r="BL227" s="1"/>
      <c r="BM227" s="1"/>
      <c r="BN227" s="2"/>
      <c r="BO227" s="1"/>
      <c r="BP227" s="1"/>
      <c r="BQ227" s="1"/>
      <c r="BR227" s="1"/>
      <c r="BS227" s="1" t="s">
        <v>2197</v>
      </c>
      <c r="BT227" s="5">
        <f>HYPERLINK("https%3A%2F%2Fwww.webofscience.com%2Fwos%2Fwoscc%2Ffull-record%2FWOS:000212142200008","View Full Record in Web of Science")</f>
      </c>
    </row>
    <row x14ac:dyDescent="0.25" r="228" customHeight="1" ht="12.75">
      <c r="A228" s="1" t="s">
        <v>303</v>
      </c>
      <c r="B228" s="1" t="s">
        <v>2198</v>
      </c>
      <c r="C228" s="1"/>
      <c r="D228" s="1" t="s">
        <v>1279</v>
      </c>
      <c r="E228" s="1"/>
      <c r="F228" s="1" t="s">
        <v>2199</v>
      </c>
      <c r="G228" s="1"/>
      <c r="H228" s="1"/>
      <c r="I228" s="1" t="s">
        <v>2200</v>
      </c>
      <c r="J228" s="1" t="s">
        <v>2201</v>
      </c>
      <c r="K228" s="1" t="s">
        <v>1283</v>
      </c>
      <c r="L228" s="1"/>
      <c r="M228" s="1"/>
      <c r="N228" s="1"/>
      <c r="O228" s="1" t="s">
        <v>2202</v>
      </c>
      <c r="P228" s="2" t="s">
        <v>2203</v>
      </c>
      <c r="Q228" s="1" t="s">
        <v>1286</v>
      </c>
      <c r="R228" s="1"/>
      <c r="S228" s="1"/>
      <c r="T228" s="1"/>
      <c r="U228" s="1"/>
      <c r="V228" s="1" t="s">
        <v>2204</v>
      </c>
      <c r="W228" s="1"/>
      <c r="X228" s="1"/>
      <c r="Y228" s="1"/>
      <c r="Z228" s="1"/>
      <c r="AA228" s="1" t="s">
        <v>2205</v>
      </c>
      <c r="AB228" s="1"/>
      <c r="AC228" s="1"/>
      <c r="AD228" s="1"/>
      <c r="AE228" s="1"/>
      <c r="AF228" s="1"/>
      <c r="AG228" s="1"/>
      <c r="AH228" s="1"/>
      <c r="AI228" s="1"/>
      <c r="AJ228" s="1"/>
      <c r="AK228" s="1"/>
      <c r="AL228" s="1"/>
      <c r="AM228" s="1"/>
      <c r="AN228" s="1"/>
      <c r="AO228" s="1" t="s">
        <v>1289</v>
      </c>
      <c r="AP228" s="1"/>
      <c r="AQ228" s="1" t="s">
        <v>2206</v>
      </c>
      <c r="AR228" s="1"/>
      <c r="AS228" s="1"/>
      <c r="AT228" s="1"/>
      <c r="AU228" s="3">
        <v>2015</v>
      </c>
      <c r="AV228" s="2"/>
      <c r="AW228" s="2"/>
      <c r="AX228" s="2"/>
      <c r="AY228" s="2"/>
      <c r="AZ228" s="1"/>
      <c r="BA228" s="2"/>
      <c r="BB228" s="3">
        <v>1790</v>
      </c>
      <c r="BC228" s="3">
        <v>1796</v>
      </c>
      <c r="BD228" s="2"/>
      <c r="BE228" s="1"/>
      <c r="BF228" s="1"/>
      <c r="BG228" s="1"/>
      <c r="BH228" s="1"/>
      <c r="BI228" s="1"/>
      <c r="BJ228" s="1"/>
      <c r="BK228" s="1"/>
      <c r="BL228" s="1"/>
      <c r="BM228" s="1"/>
      <c r="BN228" s="2"/>
      <c r="BO228" s="1"/>
      <c r="BP228" s="1"/>
      <c r="BQ228" s="1"/>
      <c r="BR228" s="1"/>
      <c r="BS228" s="1" t="s">
        <v>2207</v>
      </c>
      <c r="BT228" s="5">
        <f>HYPERLINK("https%3A%2F%2Fwww.webofscience.com%2Fwos%2Fwoscc%2Ffull-record%2FWOS:000377304001120","View Full Record in Web of Science")</f>
      </c>
    </row>
    <row x14ac:dyDescent="0.25" r="229" customHeight="1" ht="12.75">
      <c r="A229" s="1" t="s">
        <v>72</v>
      </c>
      <c r="B229" s="1" t="s">
        <v>2208</v>
      </c>
      <c r="C229" s="1"/>
      <c r="D229" s="1"/>
      <c r="E229" s="1"/>
      <c r="F229" s="1" t="s">
        <v>2209</v>
      </c>
      <c r="G229" s="1"/>
      <c r="H229" s="1"/>
      <c r="I229" s="1" t="s">
        <v>2210</v>
      </c>
      <c r="J229" s="1" t="s">
        <v>565</v>
      </c>
      <c r="K229" s="1"/>
      <c r="L229" s="1"/>
      <c r="M229" s="1"/>
      <c r="N229" s="1"/>
      <c r="O229" s="1"/>
      <c r="P229" s="2"/>
      <c r="Q229" s="1"/>
      <c r="R229" s="1"/>
      <c r="S229" s="1"/>
      <c r="T229" s="1"/>
      <c r="U229" s="1"/>
      <c r="V229" s="1" t="s">
        <v>2211</v>
      </c>
      <c r="W229" s="1"/>
      <c r="X229" s="1"/>
      <c r="Y229" s="1"/>
      <c r="Z229" s="1"/>
      <c r="AA229" s="1"/>
      <c r="AB229" s="1"/>
      <c r="AC229" s="1"/>
      <c r="AD229" s="1"/>
      <c r="AE229" s="1"/>
      <c r="AF229" s="1"/>
      <c r="AG229" s="1"/>
      <c r="AH229" s="1"/>
      <c r="AI229" s="1"/>
      <c r="AJ229" s="1"/>
      <c r="AK229" s="1"/>
      <c r="AL229" s="1"/>
      <c r="AM229" s="1"/>
      <c r="AN229" s="1"/>
      <c r="AO229" s="1" t="s">
        <v>566</v>
      </c>
      <c r="AP229" s="1"/>
      <c r="AQ229" s="1"/>
      <c r="AR229" s="1"/>
      <c r="AS229" s="1"/>
      <c r="AT229" s="1" t="s">
        <v>204</v>
      </c>
      <c r="AU229" s="3">
        <v>2014</v>
      </c>
      <c r="AV229" s="2"/>
      <c r="AW229" s="3">
        <v>88</v>
      </c>
      <c r="AX229" s="2"/>
      <c r="AY229" s="2"/>
      <c r="AZ229" s="1"/>
      <c r="BA229" s="2"/>
      <c r="BB229" s="3">
        <v>199</v>
      </c>
      <c r="BC229" s="3">
        <v>214</v>
      </c>
      <c r="BD229" s="2"/>
      <c r="BE229" s="1"/>
      <c r="BF229" s="1"/>
      <c r="BG229" s="1"/>
      <c r="BH229" s="1"/>
      <c r="BI229" s="1"/>
      <c r="BJ229" s="1"/>
      <c r="BK229" s="1"/>
      <c r="BL229" s="1"/>
      <c r="BM229" s="1"/>
      <c r="BN229" s="2"/>
      <c r="BO229" s="1"/>
      <c r="BP229" s="1"/>
      <c r="BQ229" s="1"/>
      <c r="BR229" s="1"/>
      <c r="BS229" s="1" t="s">
        <v>2212</v>
      </c>
      <c r="BT229" s="5">
        <f>HYPERLINK("https%3A%2F%2Fwww.webofscience.com%2Fwos%2Fwoscc%2Ffull-record%2FWOS:000209590200011","View Full Record in Web of Science")</f>
      </c>
    </row>
    <row x14ac:dyDescent="0.25" r="230" customHeight="1" ht="12.75">
      <c r="A230" s="1" t="s">
        <v>72</v>
      </c>
      <c r="B230" s="1" t="s">
        <v>2158</v>
      </c>
      <c r="C230" s="1"/>
      <c r="D230" s="1"/>
      <c r="E230" s="1"/>
      <c r="F230" s="1" t="s">
        <v>2160</v>
      </c>
      <c r="G230" s="1"/>
      <c r="H230" s="1"/>
      <c r="I230" s="1" t="s">
        <v>2213</v>
      </c>
      <c r="J230" s="1" t="s">
        <v>2214</v>
      </c>
      <c r="K230" s="1"/>
      <c r="L230" s="1"/>
      <c r="M230" s="1"/>
      <c r="N230" s="1"/>
      <c r="O230" s="1"/>
      <c r="P230" s="2"/>
      <c r="Q230" s="1"/>
      <c r="R230" s="1"/>
      <c r="S230" s="1"/>
      <c r="T230" s="1"/>
      <c r="U230" s="1"/>
      <c r="V230" s="1" t="s">
        <v>2215</v>
      </c>
      <c r="W230" s="1"/>
      <c r="X230" s="1"/>
      <c r="Y230" s="1"/>
      <c r="Z230" s="1"/>
      <c r="AA230" s="1" t="s">
        <v>450</v>
      </c>
      <c r="AB230" s="1" t="s">
        <v>2216</v>
      </c>
      <c r="AC230" s="1"/>
      <c r="AD230" s="1"/>
      <c r="AE230" s="1"/>
      <c r="AF230" s="1"/>
      <c r="AG230" s="1"/>
      <c r="AH230" s="1"/>
      <c r="AI230" s="1"/>
      <c r="AJ230" s="1"/>
      <c r="AK230" s="1"/>
      <c r="AL230" s="1"/>
      <c r="AM230" s="1"/>
      <c r="AN230" s="1"/>
      <c r="AO230" s="1" t="s">
        <v>2217</v>
      </c>
      <c r="AP230" s="1" t="s">
        <v>2218</v>
      </c>
      <c r="AQ230" s="1"/>
      <c r="AR230" s="1"/>
      <c r="AS230" s="1"/>
      <c r="AT230" s="1" t="s">
        <v>2219</v>
      </c>
      <c r="AU230" s="3">
        <v>2014</v>
      </c>
      <c r="AV230" s="3">
        <v>88</v>
      </c>
      <c r="AW230" s="3">
        <v>3</v>
      </c>
      <c r="AX230" s="2"/>
      <c r="AY230" s="2"/>
      <c r="AZ230" s="1"/>
      <c r="BA230" s="2"/>
      <c r="BB230" s="3">
        <v>469</v>
      </c>
      <c r="BC230" s="3">
        <v>495</v>
      </c>
      <c r="BD230" s="2"/>
      <c r="BE230" s="1" t="s">
        <v>2220</v>
      </c>
      <c r="BF230" s="4">
        <f>HYPERLINK("http://dx.doi.org/10.1017/S0007680514000403","http://dx.doi.org/10.1017/S0007680514000403")</f>
      </c>
      <c r="BG230" s="1"/>
      <c r="BH230" s="1"/>
      <c r="BI230" s="1"/>
      <c r="BJ230" s="1"/>
      <c r="BK230" s="1"/>
      <c r="BL230" s="1"/>
      <c r="BM230" s="1"/>
      <c r="BN230" s="2"/>
      <c r="BO230" s="1"/>
      <c r="BP230" s="1"/>
      <c r="BQ230" s="1"/>
      <c r="BR230" s="1"/>
      <c r="BS230" s="1" t="s">
        <v>2221</v>
      </c>
      <c r="BT230" s="5">
        <f>HYPERLINK("https%3A%2F%2Fwww.webofscience.com%2Fwos%2Fwoscc%2Ffull-record%2FWOS:000344221600003","View Full Record in Web of Science")</f>
      </c>
    </row>
    <row x14ac:dyDescent="0.25" r="231" customHeight="1" ht="12.75">
      <c r="A231" s="1" t="s">
        <v>72</v>
      </c>
      <c r="B231" s="1" t="s">
        <v>2222</v>
      </c>
      <c r="C231" s="1"/>
      <c r="D231" s="1"/>
      <c r="E231" s="1"/>
      <c r="F231" s="1" t="s">
        <v>2223</v>
      </c>
      <c r="G231" s="1"/>
      <c r="H231" s="1"/>
      <c r="I231" s="1" t="s">
        <v>2224</v>
      </c>
      <c r="J231" s="1" t="s">
        <v>2225</v>
      </c>
      <c r="K231" s="1"/>
      <c r="L231" s="1"/>
      <c r="M231" s="1"/>
      <c r="N231" s="1"/>
      <c r="O231" s="1"/>
      <c r="P231" s="2"/>
      <c r="Q231" s="1"/>
      <c r="R231" s="1"/>
      <c r="S231" s="1"/>
      <c r="T231" s="1"/>
      <c r="U231" s="1"/>
      <c r="V231" s="1" t="s">
        <v>2226</v>
      </c>
      <c r="W231" s="1"/>
      <c r="X231" s="1"/>
      <c r="Y231" s="1"/>
      <c r="Z231" s="1"/>
      <c r="AA231" s="1"/>
      <c r="AB231" s="1"/>
      <c r="AC231" s="1"/>
      <c r="AD231" s="1"/>
      <c r="AE231" s="1"/>
      <c r="AF231" s="1"/>
      <c r="AG231" s="1"/>
      <c r="AH231" s="1"/>
      <c r="AI231" s="1"/>
      <c r="AJ231" s="1"/>
      <c r="AK231" s="1"/>
      <c r="AL231" s="1"/>
      <c r="AM231" s="1"/>
      <c r="AN231" s="1"/>
      <c r="AO231" s="1" t="s">
        <v>2227</v>
      </c>
      <c r="AP231" s="1" t="s">
        <v>2228</v>
      </c>
      <c r="AQ231" s="1"/>
      <c r="AR231" s="1"/>
      <c r="AS231" s="1"/>
      <c r="AT231" s="1" t="s">
        <v>292</v>
      </c>
      <c r="AU231" s="3">
        <v>2014</v>
      </c>
      <c r="AV231" s="3">
        <v>352</v>
      </c>
      <c r="AW231" s="3">
        <v>9</v>
      </c>
      <c r="AX231" s="2"/>
      <c r="AY231" s="2"/>
      <c r="AZ231" s="1"/>
      <c r="BA231" s="2"/>
      <c r="BB231" s="3">
        <v>725</v>
      </c>
      <c r="BC231" s="3">
        <v>729</v>
      </c>
      <c r="BD231" s="2"/>
      <c r="BE231" s="1" t="s">
        <v>2229</v>
      </c>
      <c r="BF231" s="4">
        <f>HYPERLINK("http://dx.doi.org/10.1016/j.crma.2014.07.010","http://dx.doi.org/10.1016/j.crma.2014.07.010")</f>
      </c>
      <c r="BG231" s="1"/>
      <c r="BH231" s="1"/>
      <c r="BI231" s="1"/>
      <c r="BJ231" s="1"/>
      <c r="BK231" s="1"/>
      <c r="BL231" s="1"/>
      <c r="BM231" s="1"/>
      <c r="BN231" s="2"/>
      <c r="BO231" s="1"/>
      <c r="BP231" s="1"/>
      <c r="BQ231" s="1"/>
      <c r="BR231" s="1"/>
      <c r="BS231" s="1" t="s">
        <v>2230</v>
      </c>
      <c r="BT231" s="5">
        <f>HYPERLINK("https%3A%2F%2Fwww.webofscience.com%2Fwos%2Fwoscc%2Ffull-record%2FWOS:000342474900011","View Full Record in Web of Science")</f>
      </c>
    </row>
    <row x14ac:dyDescent="0.25" r="232" customHeight="1" ht="12.75">
      <c r="A232" s="1" t="s">
        <v>72</v>
      </c>
      <c r="B232" s="1" t="s">
        <v>2231</v>
      </c>
      <c r="C232" s="1"/>
      <c r="D232" s="1"/>
      <c r="E232" s="1"/>
      <c r="F232" s="1" t="s">
        <v>2232</v>
      </c>
      <c r="G232" s="1"/>
      <c r="H232" s="1"/>
      <c r="I232" s="1" t="s">
        <v>2233</v>
      </c>
      <c r="J232" s="1" t="s">
        <v>2234</v>
      </c>
      <c r="K232" s="1"/>
      <c r="L232" s="1"/>
      <c r="M232" s="1"/>
      <c r="N232" s="1"/>
      <c r="O232" s="1" t="s">
        <v>2235</v>
      </c>
      <c r="P232" s="2" t="s">
        <v>2236</v>
      </c>
      <c r="Q232" s="1" t="s">
        <v>2237</v>
      </c>
      <c r="R232" s="1"/>
      <c r="S232" s="1"/>
      <c r="T232" s="1"/>
      <c r="U232" s="1"/>
      <c r="V232" s="1" t="s">
        <v>2238</v>
      </c>
      <c r="W232" s="1"/>
      <c r="X232" s="1"/>
      <c r="Y232" s="1"/>
      <c r="Z232" s="1"/>
      <c r="AA232" s="1" t="s">
        <v>2239</v>
      </c>
      <c r="AB232" s="1" t="s">
        <v>2240</v>
      </c>
      <c r="AC232" s="1"/>
      <c r="AD232" s="1"/>
      <c r="AE232" s="1"/>
      <c r="AF232" s="1"/>
      <c r="AG232" s="1"/>
      <c r="AH232" s="1"/>
      <c r="AI232" s="1"/>
      <c r="AJ232" s="1"/>
      <c r="AK232" s="1"/>
      <c r="AL232" s="1"/>
      <c r="AM232" s="1"/>
      <c r="AN232" s="1"/>
      <c r="AO232" s="1" t="s">
        <v>2241</v>
      </c>
      <c r="AP232" s="1" t="s">
        <v>2242</v>
      </c>
      <c r="AQ232" s="1"/>
      <c r="AR232" s="1"/>
      <c r="AS232" s="1"/>
      <c r="AT232" s="1" t="s">
        <v>2243</v>
      </c>
      <c r="AU232" s="3">
        <v>2014</v>
      </c>
      <c r="AV232" s="3">
        <v>31</v>
      </c>
      <c r="AW232" s="3">
        <v>3</v>
      </c>
      <c r="AX232" s="2"/>
      <c r="AY232" s="2"/>
      <c r="AZ232" s="1" t="s">
        <v>170</v>
      </c>
      <c r="BA232" s="2"/>
      <c r="BB232" s="3">
        <v>342</v>
      </c>
      <c r="BC232" s="3">
        <v>353</v>
      </c>
      <c r="BD232" s="2"/>
      <c r="BE232" s="1" t="s">
        <v>2244</v>
      </c>
      <c r="BF232" s="4">
        <f>HYPERLINK("http://dx.doi.org/10.1080/19440049.2013.876105","http://dx.doi.org/10.1080/19440049.2013.876105")</f>
      </c>
      <c r="BG232" s="1"/>
      <c r="BH232" s="1"/>
      <c r="BI232" s="1"/>
      <c r="BJ232" s="1"/>
      <c r="BK232" s="1"/>
      <c r="BL232" s="1"/>
      <c r="BM232" s="1"/>
      <c r="BN232" s="3">
        <v>24345085</v>
      </c>
      <c r="BO232" s="1"/>
      <c r="BP232" s="1"/>
      <c r="BQ232" s="1"/>
      <c r="BR232" s="1"/>
      <c r="BS232" s="1" t="s">
        <v>2245</v>
      </c>
      <c r="BT232" s="5">
        <f>HYPERLINK("https%3A%2F%2Fwww.webofscience.com%2Fwos%2Fwoscc%2Ffull-record%2FWOS:000333878500002","View Full Record in Web of Science")</f>
      </c>
    </row>
    <row x14ac:dyDescent="0.25" r="233" customHeight="1" ht="12.75">
      <c r="A233" s="1" t="s">
        <v>303</v>
      </c>
      <c r="B233" s="1" t="s">
        <v>2246</v>
      </c>
      <c r="C233" s="1"/>
      <c r="D233" s="1"/>
      <c r="E233" s="1" t="s">
        <v>571</v>
      </c>
      <c r="F233" s="1" t="s">
        <v>2247</v>
      </c>
      <c r="G233" s="1"/>
      <c r="H233" s="1"/>
      <c r="I233" s="1" t="s">
        <v>2248</v>
      </c>
      <c r="J233" s="1" t="s">
        <v>574</v>
      </c>
      <c r="K233" s="1"/>
      <c r="L233" s="1"/>
      <c r="M233" s="1"/>
      <c r="N233" s="1"/>
      <c r="O233" s="1" t="s">
        <v>575</v>
      </c>
      <c r="P233" s="2" t="s">
        <v>576</v>
      </c>
      <c r="Q233" s="1" t="s">
        <v>577</v>
      </c>
      <c r="R233" s="1" t="s">
        <v>571</v>
      </c>
      <c r="S233" s="1"/>
      <c r="T233" s="1"/>
      <c r="U233" s="1"/>
      <c r="V233" s="1" t="s">
        <v>2249</v>
      </c>
      <c r="W233" s="1"/>
      <c r="X233" s="1"/>
      <c r="Y233" s="1"/>
      <c r="Z233" s="1"/>
      <c r="AA233" s="1"/>
      <c r="AB233" s="1"/>
      <c r="AC233" s="1"/>
      <c r="AD233" s="1"/>
      <c r="AE233" s="1"/>
      <c r="AF233" s="1"/>
      <c r="AG233" s="1"/>
      <c r="AH233" s="1"/>
      <c r="AI233" s="1"/>
      <c r="AJ233" s="1"/>
      <c r="AK233" s="1"/>
      <c r="AL233" s="1"/>
      <c r="AM233" s="1"/>
      <c r="AN233" s="1"/>
      <c r="AO233" s="1"/>
      <c r="AP233" s="1"/>
      <c r="AQ233" s="1" t="s">
        <v>579</v>
      </c>
      <c r="AR233" s="1"/>
      <c r="AS233" s="1"/>
      <c r="AT233" s="1"/>
      <c r="AU233" s="3">
        <v>2014</v>
      </c>
      <c r="AV233" s="2"/>
      <c r="AW233" s="2"/>
      <c r="AX233" s="2"/>
      <c r="AY233" s="2"/>
      <c r="AZ233" s="1"/>
      <c r="BA233" s="2"/>
      <c r="BB233" s="2"/>
      <c r="BC233" s="2"/>
      <c r="BD233" s="2" t="s">
        <v>2250</v>
      </c>
      <c r="BE233" s="1"/>
      <c r="BF233" s="1"/>
      <c r="BG233" s="1"/>
      <c r="BH233" s="1"/>
      <c r="BI233" s="1"/>
      <c r="BJ233" s="1"/>
      <c r="BK233" s="1"/>
      <c r="BL233" s="1"/>
      <c r="BM233" s="1"/>
      <c r="BN233" s="2"/>
      <c r="BO233" s="1"/>
      <c r="BP233" s="1"/>
      <c r="BQ233" s="1"/>
      <c r="BR233" s="1"/>
      <c r="BS233" s="1" t="s">
        <v>2251</v>
      </c>
      <c r="BT233" s="5">
        <f>HYPERLINK("https%3A%2F%2Fwww.webofscience.com%2Fwos%2Fwoscc%2Ffull-record%2FWOS:000359959700024","View Full Record in Web of Science")</f>
      </c>
    </row>
    <row x14ac:dyDescent="0.25" r="234" customHeight="1" ht="12.75">
      <c r="A234" s="1" t="s">
        <v>72</v>
      </c>
      <c r="B234" s="1" t="s">
        <v>2252</v>
      </c>
      <c r="C234" s="1"/>
      <c r="D234" s="1"/>
      <c r="E234" s="1"/>
      <c r="F234" s="1" t="s">
        <v>2253</v>
      </c>
      <c r="G234" s="1"/>
      <c r="H234" s="1"/>
      <c r="I234" s="1" t="s">
        <v>2254</v>
      </c>
      <c r="J234" s="1" t="s">
        <v>2255</v>
      </c>
      <c r="K234" s="1"/>
      <c r="L234" s="1"/>
      <c r="M234" s="1"/>
      <c r="N234" s="1"/>
      <c r="O234" s="1"/>
      <c r="P234" s="2"/>
      <c r="Q234" s="1"/>
      <c r="R234" s="1"/>
      <c r="S234" s="1"/>
      <c r="T234" s="1"/>
      <c r="U234" s="1"/>
      <c r="V234" s="1" t="s">
        <v>2256</v>
      </c>
      <c r="W234" s="1"/>
      <c r="X234" s="1"/>
      <c r="Y234" s="1"/>
      <c r="Z234" s="1"/>
      <c r="AA234" s="1" t="s">
        <v>2257</v>
      </c>
      <c r="AB234" s="1" t="s">
        <v>2258</v>
      </c>
      <c r="AC234" s="1"/>
      <c r="AD234" s="1"/>
      <c r="AE234" s="1"/>
      <c r="AF234" s="1"/>
      <c r="AG234" s="1"/>
      <c r="AH234" s="1"/>
      <c r="AI234" s="1"/>
      <c r="AJ234" s="1"/>
      <c r="AK234" s="1"/>
      <c r="AL234" s="1"/>
      <c r="AM234" s="1"/>
      <c r="AN234" s="1"/>
      <c r="AO234" s="1" t="s">
        <v>2259</v>
      </c>
      <c r="AP234" s="1" t="s">
        <v>2260</v>
      </c>
      <c r="AQ234" s="1"/>
      <c r="AR234" s="1"/>
      <c r="AS234" s="1"/>
      <c r="AT234" s="1" t="s">
        <v>2261</v>
      </c>
      <c r="AU234" s="3">
        <v>2013</v>
      </c>
      <c r="AV234" s="3">
        <v>114</v>
      </c>
      <c r="AW234" s="2"/>
      <c r="AX234" s="2"/>
      <c r="AY234" s="2"/>
      <c r="AZ234" s="1"/>
      <c r="BA234" s="2"/>
      <c r="BB234" s="3">
        <v>7</v>
      </c>
      <c r="BC234" s="3">
        <v>13</v>
      </c>
      <c r="BD234" s="2"/>
      <c r="BE234" s="1" t="s">
        <v>2262</v>
      </c>
      <c r="BF234" s="4">
        <f>HYPERLINK("http://dx.doi.org/10.1016/j.electacta.2013.10.017","http://dx.doi.org/10.1016/j.electacta.2013.10.017")</f>
      </c>
      <c r="BG234" s="1"/>
      <c r="BH234" s="1"/>
      <c r="BI234" s="1"/>
      <c r="BJ234" s="1"/>
      <c r="BK234" s="1"/>
      <c r="BL234" s="1"/>
      <c r="BM234" s="1"/>
      <c r="BN234" s="2"/>
      <c r="BO234" s="1"/>
      <c r="BP234" s="1"/>
      <c r="BQ234" s="1"/>
      <c r="BR234" s="1"/>
      <c r="BS234" s="1" t="s">
        <v>2263</v>
      </c>
      <c r="BT234" s="5">
        <f>HYPERLINK("https%3A%2F%2Fwww.webofscience.com%2Fwos%2Fwoscc%2Ffull-record%2FWOS:000330487800002","View Full Record in Web of Science")</f>
      </c>
    </row>
    <row x14ac:dyDescent="0.25" r="235" customHeight="1" ht="12.75">
      <c r="A235" s="1" t="s">
        <v>72</v>
      </c>
      <c r="B235" s="1" t="s">
        <v>2264</v>
      </c>
      <c r="C235" s="1"/>
      <c r="D235" s="1"/>
      <c r="E235" s="1"/>
      <c r="F235" s="1" t="s">
        <v>2265</v>
      </c>
      <c r="G235" s="1"/>
      <c r="H235" s="1"/>
      <c r="I235" s="1" t="s">
        <v>2266</v>
      </c>
      <c r="J235" s="1" t="s">
        <v>2267</v>
      </c>
      <c r="K235" s="1"/>
      <c r="L235" s="1"/>
      <c r="M235" s="1"/>
      <c r="N235" s="1"/>
      <c r="O235" s="1"/>
      <c r="P235" s="2"/>
      <c r="Q235" s="1"/>
      <c r="R235" s="1"/>
      <c r="S235" s="1"/>
      <c r="T235" s="1"/>
      <c r="U235" s="1"/>
      <c r="V235" s="1" t="s">
        <v>2268</v>
      </c>
      <c r="W235" s="1"/>
      <c r="X235" s="1"/>
      <c r="Y235" s="1"/>
      <c r="Z235" s="1"/>
      <c r="AA235" s="1"/>
      <c r="AB235" s="1" t="s">
        <v>2269</v>
      </c>
      <c r="AC235" s="1"/>
      <c r="AD235" s="1"/>
      <c r="AE235" s="1"/>
      <c r="AF235" s="1"/>
      <c r="AG235" s="1"/>
      <c r="AH235" s="1"/>
      <c r="AI235" s="1"/>
      <c r="AJ235" s="1"/>
      <c r="AK235" s="1"/>
      <c r="AL235" s="1"/>
      <c r="AM235" s="1"/>
      <c r="AN235" s="1"/>
      <c r="AO235" s="1" t="s">
        <v>2270</v>
      </c>
      <c r="AP235" s="1" t="s">
        <v>2271</v>
      </c>
      <c r="AQ235" s="1"/>
      <c r="AR235" s="1"/>
      <c r="AS235" s="1"/>
      <c r="AT235" s="1" t="s">
        <v>431</v>
      </c>
      <c r="AU235" s="3">
        <v>2013</v>
      </c>
      <c r="AV235" s="3">
        <v>121</v>
      </c>
      <c r="AW235" s="2"/>
      <c r="AX235" s="2"/>
      <c r="AY235" s="2"/>
      <c r="AZ235" s="1"/>
      <c r="BA235" s="2"/>
      <c r="BB235" s="3">
        <v>1</v>
      </c>
      <c r="BC235" s="3">
        <v>30</v>
      </c>
      <c r="BD235" s="2"/>
      <c r="BE235" s="1" t="s">
        <v>2272</v>
      </c>
      <c r="BF235" s="4">
        <f>HYPERLINK("http://dx.doi.org/10.1007/s11854-013-0026-x","http://dx.doi.org/10.1007/s11854-013-0026-x")</f>
      </c>
      <c r="BG235" s="1"/>
      <c r="BH235" s="1"/>
      <c r="BI235" s="1"/>
      <c r="BJ235" s="1"/>
      <c r="BK235" s="1"/>
      <c r="BL235" s="1"/>
      <c r="BM235" s="1"/>
      <c r="BN235" s="2"/>
      <c r="BO235" s="1"/>
      <c r="BP235" s="1"/>
      <c r="BQ235" s="1"/>
      <c r="BR235" s="1"/>
      <c r="BS235" s="1" t="s">
        <v>2273</v>
      </c>
      <c r="BT235" s="5">
        <f>HYPERLINK("https%3A%2F%2Fwww.webofscience.com%2Fwos%2Fwoscc%2Ffull-record%2FWOS:000327212900001","View Full Record in Web of Science")</f>
      </c>
    </row>
    <row x14ac:dyDescent="0.25" r="236" customHeight="1" ht="12.75">
      <c r="A236" s="1" t="s">
        <v>72</v>
      </c>
      <c r="B236" s="1" t="s">
        <v>2274</v>
      </c>
      <c r="C236" s="1"/>
      <c r="D236" s="1"/>
      <c r="E236" s="1"/>
      <c r="F236" s="1" t="s">
        <v>2275</v>
      </c>
      <c r="G236" s="1"/>
      <c r="H236" s="1"/>
      <c r="I236" s="1" t="s">
        <v>2276</v>
      </c>
      <c r="J236" s="1" t="s">
        <v>2277</v>
      </c>
      <c r="K236" s="1"/>
      <c r="L236" s="1"/>
      <c r="M236" s="1"/>
      <c r="N236" s="1"/>
      <c r="O236" s="1"/>
      <c r="P236" s="2"/>
      <c r="Q236" s="1"/>
      <c r="R236" s="1"/>
      <c r="S236" s="1"/>
      <c r="T236" s="1"/>
      <c r="U236" s="1"/>
      <c r="V236" s="1"/>
      <c r="W236" s="1"/>
      <c r="X236" s="1"/>
      <c r="Y236" s="1"/>
      <c r="Z236" s="1"/>
      <c r="AA236" s="1" t="s">
        <v>2278</v>
      </c>
      <c r="AB236" s="1" t="s">
        <v>2279</v>
      </c>
      <c r="AC236" s="1"/>
      <c r="AD236" s="1"/>
      <c r="AE236" s="1"/>
      <c r="AF236" s="1"/>
      <c r="AG236" s="1"/>
      <c r="AH236" s="1"/>
      <c r="AI236" s="1"/>
      <c r="AJ236" s="1"/>
      <c r="AK236" s="1"/>
      <c r="AL236" s="1"/>
      <c r="AM236" s="1"/>
      <c r="AN236" s="1"/>
      <c r="AO236" s="1" t="s">
        <v>2280</v>
      </c>
      <c r="AP236" s="1"/>
      <c r="AQ236" s="1"/>
      <c r="AR236" s="1"/>
      <c r="AS236" s="1"/>
      <c r="AT236" s="1" t="s">
        <v>757</v>
      </c>
      <c r="AU236" s="3">
        <v>2013</v>
      </c>
      <c r="AV236" s="3">
        <v>34</v>
      </c>
      <c r="AW236" s="3">
        <v>6</v>
      </c>
      <c r="AX236" s="2"/>
      <c r="AY236" s="2"/>
      <c r="AZ236" s="1"/>
      <c r="BA236" s="2"/>
      <c r="BB236" s="3">
        <v>1664</v>
      </c>
      <c r="BC236" s="3">
        <v>1664</v>
      </c>
      <c r="BD236" s="2"/>
      <c r="BE236" s="1" t="s">
        <v>2281</v>
      </c>
      <c r="BF236" s="4">
        <f>HYPERLINK("http://dx.doi.org/10.1016/j.fsi.2013.03.093","http://dx.doi.org/10.1016/j.fsi.2013.03.093")</f>
      </c>
      <c r="BG236" s="1"/>
      <c r="BH236" s="1"/>
      <c r="BI236" s="1"/>
      <c r="BJ236" s="1"/>
      <c r="BK236" s="1"/>
      <c r="BL236" s="1"/>
      <c r="BM236" s="1"/>
      <c r="BN236" s="2"/>
      <c r="BO236" s="1"/>
      <c r="BP236" s="1"/>
      <c r="BQ236" s="1"/>
      <c r="BR236" s="1"/>
      <c r="BS236" s="1" t="s">
        <v>2282</v>
      </c>
      <c r="BT236" s="5">
        <f>HYPERLINK("https%3A%2F%2Fwww.webofscience.com%2Fwos%2Fwoscc%2Ffull-record%2FWOS:000319646100118","View Full Record in Web of Science")</f>
      </c>
    </row>
    <row x14ac:dyDescent="0.25" r="237" customHeight="1" ht="12.75">
      <c r="A237" s="1" t="s">
        <v>72</v>
      </c>
      <c r="B237" s="1" t="s">
        <v>2283</v>
      </c>
      <c r="C237" s="1"/>
      <c r="D237" s="1"/>
      <c r="E237" s="1"/>
      <c r="F237" s="1" t="s">
        <v>2284</v>
      </c>
      <c r="G237" s="1"/>
      <c r="H237" s="1"/>
      <c r="I237" s="1" t="s">
        <v>2285</v>
      </c>
      <c r="J237" s="1" t="s">
        <v>2286</v>
      </c>
      <c r="K237" s="1"/>
      <c r="L237" s="1"/>
      <c r="M237" s="1"/>
      <c r="N237" s="1"/>
      <c r="O237" s="1"/>
      <c r="P237" s="2"/>
      <c r="Q237" s="1"/>
      <c r="R237" s="1"/>
      <c r="S237" s="1"/>
      <c r="T237" s="1"/>
      <c r="U237" s="1"/>
      <c r="V237" s="1" t="s">
        <v>2287</v>
      </c>
      <c r="W237" s="1"/>
      <c r="X237" s="1"/>
      <c r="Y237" s="1"/>
      <c r="Z237" s="1"/>
      <c r="AA237" s="1"/>
      <c r="AB237" s="1"/>
      <c r="AC237" s="1"/>
      <c r="AD237" s="1"/>
      <c r="AE237" s="1"/>
      <c r="AF237" s="1"/>
      <c r="AG237" s="1"/>
      <c r="AH237" s="1"/>
      <c r="AI237" s="1"/>
      <c r="AJ237" s="1"/>
      <c r="AK237" s="1"/>
      <c r="AL237" s="1"/>
      <c r="AM237" s="1"/>
      <c r="AN237" s="1"/>
      <c r="AO237" s="1" t="s">
        <v>2288</v>
      </c>
      <c r="AP237" s="1"/>
      <c r="AQ237" s="1"/>
      <c r="AR237" s="1"/>
      <c r="AS237" s="1"/>
      <c r="AT237" s="1" t="s">
        <v>204</v>
      </c>
      <c r="AU237" s="3">
        <v>2012</v>
      </c>
      <c r="AV237" s="3">
        <v>30</v>
      </c>
      <c r="AW237" s="3">
        <v>3</v>
      </c>
      <c r="AX237" s="2"/>
      <c r="AY237" s="2"/>
      <c r="AZ237" s="1"/>
      <c r="BA237" s="2"/>
      <c r="BB237" s="3">
        <v>127</v>
      </c>
      <c r="BC237" s="3">
        <v>131</v>
      </c>
      <c r="BD237" s="2"/>
      <c r="BE237" s="1" t="s">
        <v>2289</v>
      </c>
      <c r="BF237" s="4">
        <f>HYPERLINK("http://dx.doi.org/10.4067/S0718-48082012000300012","http://dx.doi.org/10.4067/S0718-48082012000300012")</f>
      </c>
      <c r="BG237" s="1"/>
      <c r="BH237" s="1"/>
      <c r="BI237" s="1"/>
      <c r="BJ237" s="1"/>
      <c r="BK237" s="1"/>
      <c r="BL237" s="1"/>
      <c r="BM237" s="1"/>
      <c r="BN237" s="2"/>
      <c r="BO237" s="1"/>
      <c r="BP237" s="1"/>
      <c r="BQ237" s="1"/>
      <c r="BR237" s="1"/>
      <c r="BS237" s="1" t="s">
        <v>2290</v>
      </c>
      <c r="BT237" s="5">
        <f>HYPERLINK("https%3A%2F%2Fwww.webofscience.com%2Fwos%2Fwoscc%2Ffull-record%2FWOS:000310560800012","View Full Record in Web of Science")</f>
      </c>
    </row>
    <row x14ac:dyDescent="0.25" r="238" customHeight="1" ht="12.75">
      <c r="A238" s="1" t="s">
        <v>72</v>
      </c>
      <c r="B238" s="1" t="s">
        <v>2291</v>
      </c>
      <c r="C238" s="1"/>
      <c r="D238" s="1"/>
      <c r="E238" s="1"/>
      <c r="F238" s="1" t="s">
        <v>2292</v>
      </c>
      <c r="G238" s="1"/>
      <c r="H238" s="1"/>
      <c r="I238" s="1" t="s">
        <v>2293</v>
      </c>
      <c r="J238" s="1" t="s">
        <v>1407</v>
      </c>
      <c r="K238" s="1"/>
      <c r="L238" s="1"/>
      <c r="M238" s="1"/>
      <c r="N238" s="1"/>
      <c r="O238" s="1"/>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t="s">
        <v>1408</v>
      </c>
      <c r="AP238" s="1"/>
      <c r="AQ238" s="1"/>
      <c r="AR238" s="1"/>
      <c r="AS238" s="1"/>
      <c r="AT238" s="1" t="s">
        <v>169</v>
      </c>
      <c r="AU238" s="3">
        <v>2012</v>
      </c>
      <c r="AV238" s="3">
        <v>67</v>
      </c>
      <c r="AW238" s="3">
        <v>791</v>
      </c>
      <c r="AX238" s="2"/>
      <c r="AY238" s="2"/>
      <c r="AZ238" s="1"/>
      <c r="BA238" s="2"/>
      <c r="BB238" s="3">
        <v>25</v>
      </c>
      <c r="BC238" s="3">
        <v>29</v>
      </c>
      <c r="BD238" s="2"/>
      <c r="BE238" s="1"/>
      <c r="BF238" s="1"/>
      <c r="BG238" s="1"/>
      <c r="BH238" s="1"/>
      <c r="BI238" s="1"/>
      <c r="BJ238" s="1"/>
      <c r="BK238" s="1"/>
      <c r="BL238" s="1"/>
      <c r="BM238" s="1"/>
      <c r="BN238" s="2"/>
      <c r="BO238" s="1"/>
      <c r="BP238" s="1"/>
      <c r="BQ238" s="1"/>
      <c r="BR238" s="1"/>
      <c r="BS238" s="1" t="s">
        <v>2294</v>
      </c>
      <c r="BT238" s="5">
        <f>HYPERLINK("https%3A%2F%2Fwww.webofscience.com%2Fwos%2Fwoscc%2Ffull-record%2FWOS:000312746200008","View Full Record in Web of Science")</f>
      </c>
    </row>
    <row x14ac:dyDescent="0.25" r="239" customHeight="1" ht="12.75">
      <c r="A239" s="1" t="s">
        <v>72</v>
      </c>
      <c r="B239" s="1" t="s">
        <v>2295</v>
      </c>
      <c r="C239" s="1"/>
      <c r="D239" s="1"/>
      <c r="E239" s="1"/>
      <c r="F239" s="1" t="s">
        <v>2296</v>
      </c>
      <c r="G239" s="1"/>
      <c r="H239" s="1"/>
      <c r="I239" s="1" t="s">
        <v>2297</v>
      </c>
      <c r="J239" s="1" t="s">
        <v>2298</v>
      </c>
      <c r="K239" s="1"/>
      <c r="L239" s="1"/>
      <c r="M239" s="1"/>
      <c r="N239" s="1"/>
      <c r="O239" s="1"/>
      <c r="P239" s="2"/>
      <c r="Q239" s="1"/>
      <c r="R239" s="1"/>
      <c r="S239" s="1"/>
      <c r="T239" s="1"/>
      <c r="U239" s="1"/>
      <c r="V239" s="1" t="s">
        <v>2299</v>
      </c>
      <c r="W239" s="1"/>
      <c r="X239" s="1"/>
      <c r="Y239" s="1"/>
      <c r="Z239" s="1"/>
      <c r="AA239" s="1" t="s">
        <v>2300</v>
      </c>
      <c r="AB239" s="1" t="s">
        <v>2301</v>
      </c>
      <c r="AC239" s="1"/>
      <c r="AD239" s="1"/>
      <c r="AE239" s="1"/>
      <c r="AF239" s="1"/>
      <c r="AG239" s="1"/>
      <c r="AH239" s="1"/>
      <c r="AI239" s="1"/>
      <c r="AJ239" s="1"/>
      <c r="AK239" s="1"/>
      <c r="AL239" s="1"/>
      <c r="AM239" s="1"/>
      <c r="AN239" s="1"/>
      <c r="AO239" s="1" t="s">
        <v>2302</v>
      </c>
      <c r="AP239" s="1" t="s">
        <v>2303</v>
      </c>
      <c r="AQ239" s="1"/>
      <c r="AR239" s="1"/>
      <c r="AS239" s="1"/>
      <c r="AT239" s="1" t="s">
        <v>126</v>
      </c>
      <c r="AU239" s="3">
        <v>2012</v>
      </c>
      <c r="AV239" s="3">
        <v>47</v>
      </c>
      <c r="AW239" s="3">
        <v>2</v>
      </c>
      <c r="AX239" s="2"/>
      <c r="AY239" s="2"/>
      <c r="AZ239" s="1"/>
      <c r="BA239" s="2"/>
      <c r="BB239" s="3">
        <v>267</v>
      </c>
      <c r="BC239" s="3">
        <v>273</v>
      </c>
      <c r="BD239" s="2"/>
      <c r="BE239" s="1" t="s">
        <v>2304</v>
      </c>
      <c r="BF239" s="4">
        <f>HYPERLINK("http://dx.doi.org/10.1016/j.lwt.2012.01.017","http://dx.doi.org/10.1016/j.lwt.2012.01.017")</f>
      </c>
      <c r="BG239" s="1"/>
      <c r="BH239" s="1"/>
      <c r="BI239" s="1"/>
      <c r="BJ239" s="1"/>
      <c r="BK239" s="1"/>
      <c r="BL239" s="1"/>
      <c r="BM239" s="1"/>
      <c r="BN239" s="2"/>
      <c r="BO239" s="1"/>
      <c r="BP239" s="1"/>
      <c r="BQ239" s="1"/>
      <c r="BR239" s="1"/>
      <c r="BS239" s="1" t="s">
        <v>2305</v>
      </c>
      <c r="BT239" s="5">
        <f>HYPERLINK("https%3A%2F%2Fwww.webofscience.com%2Fwos%2Fwoscc%2Ffull-record%2FWOS:000302852400008","View Full Record in Web of Science")</f>
      </c>
    </row>
    <row x14ac:dyDescent="0.25" r="240" customHeight="1" ht="12.75">
      <c r="A240" s="1" t="s">
        <v>72</v>
      </c>
      <c r="B240" s="1" t="s">
        <v>2306</v>
      </c>
      <c r="C240" s="1"/>
      <c r="D240" s="1"/>
      <c r="E240" s="1"/>
      <c r="F240" s="1" t="s">
        <v>2307</v>
      </c>
      <c r="G240" s="1"/>
      <c r="H240" s="1"/>
      <c r="I240" s="1" t="s">
        <v>2308</v>
      </c>
      <c r="J240" s="1" t="s">
        <v>358</v>
      </c>
      <c r="K240" s="1"/>
      <c r="L240" s="1"/>
      <c r="M240" s="1"/>
      <c r="N240" s="1"/>
      <c r="O240" s="1"/>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t="s">
        <v>2309</v>
      </c>
      <c r="AP240" s="1"/>
      <c r="AQ240" s="1"/>
      <c r="AR240" s="1"/>
      <c r="AS240" s="1"/>
      <c r="AT240" s="1" t="s">
        <v>181</v>
      </c>
      <c r="AU240" s="3">
        <v>2012</v>
      </c>
      <c r="AV240" s="3">
        <v>45</v>
      </c>
      <c r="AW240" s="3">
        <v>1</v>
      </c>
      <c r="AX240" s="2"/>
      <c r="AY240" s="2"/>
      <c r="AZ240" s="1"/>
      <c r="BA240" s="2"/>
      <c r="BB240" s="3">
        <v>266</v>
      </c>
      <c r="BC240" s="3">
        <v>269</v>
      </c>
      <c r="BD240" s="2"/>
      <c r="BE240" s="1"/>
      <c r="BF240" s="1"/>
      <c r="BG240" s="1"/>
      <c r="BH240" s="1"/>
      <c r="BI240" s="1"/>
      <c r="BJ240" s="1"/>
      <c r="BK240" s="1"/>
      <c r="BL240" s="1"/>
      <c r="BM240" s="1"/>
      <c r="BN240" s="2"/>
      <c r="BO240" s="1"/>
      <c r="BP240" s="1"/>
      <c r="BQ240" s="1"/>
      <c r="BR240" s="1"/>
      <c r="BS240" s="1" t="s">
        <v>2310</v>
      </c>
      <c r="BT240" s="5">
        <f>HYPERLINK("https%3A%2F%2Fwww.webofscience.com%2Fwos%2Fwoscc%2Ffull-record%2FWOS:000306396500015","View Full Record in Web of Science")</f>
      </c>
    </row>
    <row x14ac:dyDescent="0.25" r="241" customHeight="1" ht="12.75">
      <c r="A241" s="1" t="s">
        <v>303</v>
      </c>
      <c r="B241" s="1" t="s">
        <v>2311</v>
      </c>
      <c r="C241" s="1"/>
      <c r="D241" s="1" t="s">
        <v>2312</v>
      </c>
      <c r="E241" s="1"/>
      <c r="F241" s="1" t="s">
        <v>2313</v>
      </c>
      <c r="G241" s="1"/>
      <c r="H241" s="1"/>
      <c r="I241" s="1" t="s">
        <v>2314</v>
      </c>
      <c r="J241" s="1" t="s">
        <v>2315</v>
      </c>
      <c r="K241" s="1"/>
      <c r="L241" s="1"/>
      <c r="M241" s="1"/>
      <c r="N241" s="1"/>
      <c r="O241" s="1" t="s">
        <v>2316</v>
      </c>
      <c r="P241" s="2" t="s">
        <v>2317</v>
      </c>
      <c r="Q241" s="1" t="s">
        <v>507</v>
      </c>
      <c r="R241" s="1" t="s">
        <v>2318</v>
      </c>
      <c r="S241" s="1"/>
      <c r="T241" s="1"/>
      <c r="U241" s="1"/>
      <c r="V241" s="1" t="s">
        <v>2319</v>
      </c>
      <c r="W241" s="1"/>
      <c r="X241" s="1"/>
      <c r="Y241" s="1"/>
      <c r="Z241" s="1"/>
      <c r="AA241" s="1"/>
      <c r="AB241" s="1"/>
      <c r="AC241" s="1"/>
      <c r="AD241" s="1"/>
      <c r="AE241" s="1"/>
      <c r="AF241" s="1"/>
      <c r="AG241" s="1"/>
      <c r="AH241" s="1"/>
      <c r="AI241" s="1"/>
      <c r="AJ241" s="1"/>
      <c r="AK241" s="1"/>
      <c r="AL241" s="1"/>
      <c r="AM241" s="1"/>
      <c r="AN241" s="1"/>
      <c r="AO241" s="1"/>
      <c r="AP241" s="1"/>
      <c r="AQ241" s="1" t="s">
        <v>2320</v>
      </c>
      <c r="AR241" s="1"/>
      <c r="AS241" s="1"/>
      <c r="AT241" s="1"/>
      <c r="AU241" s="3">
        <v>2012</v>
      </c>
      <c r="AV241" s="2"/>
      <c r="AW241" s="2"/>
      <c r="AX241" s="2"/>
      <c r="AY241" s="2"/>
      <c r="AZ241" s="1"/>
      <c r="BA241" s="2"/>
      <c r="BB241" s="3">
        <v>1015</v>
      </c>
      <c r="BC241" s="3">
        <v>1020</v>
      </c>
      <c r="BD241" s="2"/>
      <c r="BE241" s="1"/>
      <c r="BF241" s="1"/>
      <c r="BG241" s="1"/>
      <c r="BH241" s="1"/>
      <c r="BI241" s="1"/>
      <c r="BJ241" s="1"/>
      <c r="BK241" s="1"/>
      <c r="BL241" s="1"/>
      <c r="BM241" s="1"/>
      <c r="BN241" s="2"/>
      <c r="BO241" s="1"/>
      <c r="BP241" s="1"/>
      <c r="BQ241" s="1"/>
      <c r="BR241" s="1"/>
      <c r="BS241" s="1" t="s">
        <v>2321</v>
      </c>
      <c r="BT241" s="5">
        <f>HYPERLINK("https%3A%2F%2Fwww.webofscience.com%2Fwos%2Fwoscc%2Ffull-record%2FWOS:000300400100143","View Full Record in Web of Science")</f>
      </c>
    </row>
    <row x14ac:dyDescent="0.25" r="242" customHeight="1" ht="12.75">
      <c r="A242" s="1" t="s">
        <v>72</v>
      </c>
      <c r="B242" s="1" t="s">
        <v>2322</v>
      </c>
      <c r="C242" s="1"/>
      <c r="D242" s="1"/>
      <c r="E242" s="1"/>
      <c r="F242" s="1" t="s">
        <v>2323</v>
      </c>
      <c r="G242" s="1"/>
      <c r="H242" s="1"/>
      <c r="I242" s="1" t="s">
        <v>2324</v>
      </c>
      <c r="J242" s="1" t="s">
        <v>551</v>
      </c>
      <c r="K242" s="1"/>
      <c r="L242" s="1"/>
      <c r="M242" s="1"/>
      <c r="N242" s="1"/>
      <c r="O242" s="1"/>
      <c r="P242" s="2"/>
      <c r="Q242" s="1"/>
      <c r="R242" s="1"/>
      <c r="S242" s="1"/>
      <c r="T242" s="1"/>
      <c r="U242" s="1"/>
      <c r="V242" s="1" t="s">
        <v>2325</v>
      </c>
      <c r="W242" s="1"/>
      <c r="X242" s="1"/>
      <c r="Y242" s="1"/>
      <c r="Z242" s="1"/>
      <c r="AA242" s="1"/>
      <c r="AB242" s="1" t="s">
        <v>2326</v>
      </c>
      <c r="AC242" s="1"/>
      <c r="AD242" s="1"/>
      <c r="AE242" s="1"/>
      <c r="AF242" s="1"/>
      <c r="AG242" s="1"/>
      <c r="AH242" s="1"/>
      <c r="AI242" s="1"/>
      <c r="AJ242" s="1"/>
      <c r="AK242" s="1"/>
      <c r="AL242" s="1"/>
      <c r="AM242" s="1"/>
      <c r="AN242" s="1"/>
      <c r="AO242" s="1" t="s">
        <v>2327</v>
      </c>
      <c r="AP242" s="1"/>
      <c r="AQ242" s="1"/>
      <c r="AR242" s="1"/>
      <c r="AS242" s="1"/>
      <c r="AT242" s="1"/>
      <c r="AU242" s="3">
        <v>2012</v>
      </c>
      <c r="AV242" s="2"/>
      <c r="AW242" s="3">
        <v>505</v>
      </c>
      <c r="AX242" s="2"/>
      <c r="AY242" s="2"/>
      <c r="AZ242" s="1"/>
      <c r="BA242" s="2"/>
      <c r="BB242" s="3">
        <v>185</v>
      </c>
      <c r="BC242" s="3">
        <v>217</v>
      </c>
      <c r="BD242" s="2"/>
      <c r="BE242" s="1" t="s">
        <v>2328</v>
      </c>
      <c r="BF242" s="4">
        <f>HYPERLINK("http://dx.doi.org/10.4067/S0718-04622012000100009","http://dx.doi.org/10.4067/S0718-04622012000100009")</f>
      </c>
      <c r="BG242" s="1"/>
      <c r="BH242" s="1"/>
      <c r="BI242" s="1"/>
      <c r="BJ242" s="1"/>
      <c r="BK242" s="1"/>
      <c r="BL242" s="1"/>
      <c r="BM242" s="1"/>
      <c r="BN242" s="2"/>
      <c r="BO242" s="1"/>
      <c r="BP242" s="1"/>
      <c r="BQ242" s="1"/>
      <c r="BR242" s="1"/>
      <c r="BS242" s="1" t="s">
        <v>2329</v>
      </c>
      <c r="BT242" s="5">
        <f>HYPERLINK("https%3A%2F%2Fwww.webofscience.com%2Fwos%2Fwoscc%2Ffull-record%2FWOS:000309380600009","View Full Record in Web of Science")</f>
      </c>
    </row>
    <row x14ac:dyDescent="0.25" r="243" customHeight="1" ht="12.75">
      <c r="A243" s="1" t="s">
        <v>72</v>
      </c>
      <c r="B243" s="1" t="s">
        <v>2330</v>
      </c>
      <c r="C243" s="1"/>
      <c r="D243" s="1"/>
      <c r="E243" s="1"/>
      <c r="F243" s="1" t="s">
        <v>2331</v>
      </c>
      <c r="G243" s="1"/>
      <c r="H243" s="1"/>
      <c r="I243" s="1" t="s">
        <v>2332</v>
      </c>
      <c r="J243" s="1" t="s">
        <v>2333</v>
      </c>
      <c r="K243" s="1"/>
      <c r="L243" s="1"/>
      <c r="M243" s="1"/>
      <c r="N243" s="1"/>
      <c r="O243" s="1"/>
      <c r="P243" s="2"/>
      <c r="Q243" s="1"/>
      <c r="R243" s="1"/>
      <c r="S243" s="1"/>
      <c r="T243" s="1"/>
      <c r="U243" s="1"/>
      <c r="V243" s="1" t="s">
        <v>2334</v>
      </c>
      <c r="W243" s="1"/>
      <c r="X243" s="1"/>
      <c r="Y243" s="1"/>
      <c r="Z243" s="1"/>
      <c r="AA243" s="1" t="s">
        <v>2335</v>
      </c>
      <c r="AB243" s="1" t="s">
        <v>2336</v>
      </c>
      <c r="AC243" s="1"/>
      <c r="AD243" s="1"/>
      <c r="AE243" s="1"/>
      <c r="AF243" s="1"/>
      <c r="AG243" s="1"/>
      <c r="AH243" s="1"/>
      <c r="AI243" s="1"/>
      <c r="AJ243" s="1"/>
      <c r="AK243" s="1"/>
      <c r="AL243" s="1"/>
      <c r="AM243" s="1"/>
      <c r="AN243" s="1"/>
      <c r="AO243" s="1" t="s">
        <v>2337</v>
      </c>
      <c r="AP243" s="1"/>
      <c r="AQ243" s="1"/>
      <c r="AR243" s="1"/>
      <c r="AS243" s="1"/>
      <c r="AT243" s="1"/>
      <c r="AU243" s="3">
        <v>2012</v>
      </c>
      <c r="AV243" s="3">
        <v>44</v>
      </c>
      <c r="AW243" s="3">
        <v>2</v>
      </c>
      <c r="AX243" s="2"/>
      <c r="AY243" s="2"/>
      <c r="AZ243" s="1"/>
      <c r="BA243" s="2"/>
      <c r="BB243" s="3">
        <v>155</v>
      </c>
      <c r="BC243" s="3">
        <v>163</v>
      </c>
      <c r="BD243" s="2"/>
      <c r="BE243" s="1"/>
      <c r="BF243" s="1"/>
      <c r="BG243" s="1"/>
      <c r="BH243" s="1"/>
      <c r="BI243" s="1"/>
      <c r="BJ243" s="1"/>
      <c r="BK243" s="1"/>
      <c r="BL243" s="1"/>
      <c r="BM243" s="1"/>
      <c r="BN243" s="2"/>
      <c r="BO243" s="1"/>
      <c r="BP243" s="1"/>
      <c r="BQ243" s="1"/>
      <c r="BR243" s="1"/>
      <c r="BS243" s="1" t="s">
        <v>2338</v>
      </c>
      <c r="BT243" s="5">
        <f>HYPERLINK("https%3A%2F%2Fwww.webofscience.com%2Fwos%2Fwoscc%2Ffull-record%2FWOS:000308779300013","View Full Record in Web of Science")</f>
      </c>
    </row>
    <row x14ac:dyDescent="0.25" r="244" customHeight="1" ht="12.75">
      <c r="A244" s="1" t="s">
        <v>72</v>
      </c>
      <c r="B244" s="1" t="s">
        <v>1168</v>
      </c>
      <c r="C244" s="1"/>
      <c r="D244" s="1"/>
      <c r="E244" s="1"/>
      <c r="F244" s="1" t="s">
        <v>1169</v>
      </c>
      <c r="G244" s="1"/>
      <c r="H244" s="1"/>
      <c r="I244" s="1" t="s">
        <v>2339</v>
      </c>
      <c r="J244" s="1" t="s">
        <v>358</v>
      </c>
      <c r="K244" s="1"/>
      <c r="L244" s="1"/>
      <c r="M244" s="1"/>
      <c r="N244" s="1"/>
      <c r="O244" s="1"/>
      <c r="P244" s="2"/>
      <c r="Q244" s="1"/>
      <c r="R244" s="1"/>
      <c r="S244" s="1"/>
      <c r="T244" s="1"/>
      <c r="U244" s="1"/>
      <c r="V244" s="1" t="s">
        <v>2340</v>
      </c>
      <c r="W244" s="1"/>
      <c r="X244" s="1"/>
      <c r="Y244" s="1"/>
      <c r="Z244" s="1"/>
      <c r="AA244" s="1"/>
      <c r="AB244" s="1"/>
      <c r="AC244" s="1"/>
      <c r="AD244" s="1"/>
      <c r="AE244" s="1"/>
      <c r="AF244" s="1"/>
      <c r="AG244" s="1"/>
      <c r="AH244" s="1"/>
      <c r="AI244" s="1"/>
      <c r="AJ244" s="1"/>
      <c r="AK244" s="1"/>
      <c r="AL244" s="1"/>
      <c r="AM244" s="1"/>
      <c r="AN244" s="1"/>
      <c r="AO244" s="1" t="s">
        <v>2309</v>
      </c>
      <c r="AP244" s="1"/>
      <c r="AQ244" s="1"/>
      <c r="AR244" s="1"/>
      <c r="AS244" s="1"/>
      <c r="AT244" s="1" t="s">
        <v>158</v>
      </c>
      <c r="AU244" s="3">
        <v>2010</v>
      </c>
      <c r="AV244" s="3">
        <v>43</v>
      </c>
      <c r="AW244" s="3">
        <v>2</v>
      </c>
      <c r="AX244" s="2"/>
      <c r="AY244" s="2"/>
      <c r="AZ244" s="1"/>
      <c r="BA244" s="2"/>
      <c r="BB244" s="3">
        <v>325</v>
      </c>
      <c r="BC244" s="3">
        <v>355</v>
      </c>
      <c r="BD244" s="2"/>
      <c r="BE244" s="1"/>
      <c r="BF244" s="1"/>
      <c r="BG244" s="1"/>
      <c r="BH244" s="1"/>
      <c r="BI244" s="1"/>
      <c r="BJ244" s="1"/>
      <c r="BK244" s="1"/>
      <c r="BL244" s="1"/>
      <c r="BM244" s="1"/>
      <c r="BN244" s="2"/>
      <c r="BO244" s="1"/>
      <c r="BP244" s="1"/>
      <c r="BQ244" s="1"/>
      <c r="BR244" s="1"/>
      <c r="BS244" s="1" t="s">
        <v>2341</v>
      </c>
      <c r="BT244" s="5">
        <f>HYPERLINK("https%3A%2F%2Fwww.webofscience.com%2Fwos%2Fwoscc%2Ffull-record%2FWOS:000286362200001","View Full Record in Web of Science")</f>
      </c>
    </row>
    <row x14ac:dyDescent="0.25" r="245" customHeight="1" ht="12.75">
      <c r="A245" s="1" t="s">
        <v>72</v>
      </c>
      <c r="B245" s="1" t="s">
        <v>2342</v>
      </c>
      <c r="C245" s="1"/>
      <c r="D245" s="1"/>
      <c r="E245" s="1"/>
      <c r="F245" s="1" t="s">
        <v>2343</v>
      </c>
      <c r="G245" s="1"/>
      <c r="H245" s="1"/>
      <c r="I245" s="1" t="s">
        <v>2344</v>
      </c>
      <c r="J245" s="1" t="s">
        <v>1507</v>
      </c>
      <c r="K245" s="1"/>
      <c r="L245" s="1"/>
      <c r="M245" s="1"/>
      <c r="N245" s="1"/>
      <c r="O245" s="1"/>
      <c r="P245" s="2"/>
      <c r="Q245" s="1"/>
      <c r="R245" s="1"/>
      <c r="S245" s="1"/>
      <c r="T245" s="1"/>
      <c r="U245" s="1"/>
      <c r="V245" s="1" t="s">
        <v>2345</v>
      </c>
      <c r="W245" s="1"/>
      <c r="X245" s="1"/>
      <c r="Y245" s="1"/>
      <c r="Z245" s="1"/>
      <c r="AA245" s="1"/>
      <c r="AB245" s="1"/>
      <c r="AC245" s="1"/>
      <c r="AD245" s="1"/>
      <c r="AE245" s="1"/>
      <c r="AF245" s="1"/>
      <c r="AG245" s="1"/>
      <c r="AH245" s="1"/>
      <c r="AI245" s="1"/>
      <c r="AJ245" s="1"/>
      <c r="AK245" s="1"/>
      <c r="AL245" s="1"/>
      <c r="AM245" s="1"/>
      <c r="AN245" s="1"/>
      <c r="AO245" s="1" t="s">
        <v>1510</v>
      </c>
      <c r="AP245" s="1"/>
      <c r="AQ245" s="1"/>
      <c r="AR245" s="1"/>
      <c r="AS245" s="1"/>
      <c r="AT245" s="1" t="s">
        <v>605</v>
      </c>
      <c r="AU245" s="3">
        <v>2010</v>
      </c>
      <c r="AV245" s="3">
        <v>55</v>
      </c>
      <c r="AW245" s="3">
        <v>1</v>
      </c>
      <c r="AX245" s="2"/>
      <c r="AY245" s="2"/>
      <c r="AZ245" s="1"/>
      <c r="BA245" s="2"/>
      <c r="BB245" s="3">
        <v>111</v>
      </c>
      <c r="BC245" s="3">
        <v>114</v>
      </c>
      <c r="BD245" s="2"/>
      <c r="BE245" s="1"/>
      <c r="BF245" s="1"/>
      <c r="BG245" s="1"/>
      <c r="BH245" s="1"/>
      <c r="BI245" s="1"/>
      <c r="BJ245" s="1"/>
      <c r="BK245" s="1"/>
      <c r="BL245" s="1"/>
      <c r="BM245" s="1"/>
      <c r="BN245" s="2"/>
      <c r="BO245" s="1"/>
      <c r="BP245" s="1"/>
      <c r="BQ245" s="1"/>
      <c r="BR245" s="1"/>
      <c r="BS245" s="1" t="s">
        <v>2346</v>
      </c>
      <c r="BT245" s="5">
        <f>HYPERLINK("https%3A%2F%2Fwww.webofscience.com%2Fwos%2Fwoscc%2Ffull-record%2FWOS:000276962300026","View Full Record in Web of Science")</f>
      </c>
    </row>
    <row x14ac:dyDescent="0.25" r="246" customHeight="1" ht="12.75">
      <c r="A246" s="1" t="s">
        <v>72</v>
      </c>
      <c r="B246" s="1" t="s">
        <v>2347</v>
      </c>
      <c r="C246" s="1"/>
      <c r="D246" s="1"/>
      <c r="E246" s="1"/>
      <c r="F246" s="1" t="s">
        <v>2348</v>
      </c>
      <c r="G246" s="1"/>
      <c r="H246" s="1"/>
      <c r="I246" s="1" t="s">
        <v>2349</v>
      </c>
      <c r="J246" s="1" t="s">
        <v>1496</v>
      </c>
      <c r="K246" s="1"/>
      <c r="L246" s="1"/>
      <c r="M246" s="1"/>
      <c r="N246" s="1"/>
      <c r="O246" s="1"/>
      <c r="P246" s="2"/>
      <c r="Q246" s="1"/>
      <c r="R246" s="1"/>
      <c r="S246" s="1"/>
      <c r="T246" s="1"/>
      <c r="U246" s="1"/>
      <c r="V246" s="1" t="s">
        <v>2350</v>
      </c>
      <c r="W246" s="1"/>
      <c r="X246" s="1"/>
      <c r="Y246" s="1"/>
      <c r="Z246" s="1"/>
      <c r="AA246" s="1"/>
      <c r="AB246" s="1"/>
      <c r="AC246" s="1"/>
      <c r="AD246" s="1"/>
      <c r="AE246" s="1"/>
      <c r="AF246" s="1"/>
      <c r="AG246" s="1"/>
      <c r="AH246" s="1"/>
      <c r="AI246" s="1"/>
      <c r="AJ246" s="1"/>
      <c r="AK246" s="1"/>
      <c r="AL246" s="1"/>
      <c r="AM246" s="1"/>
      <c r="AN246" s="1"/>
      <c r="AO246" s="1" t="s">
        <v>1500</v>
      </c>
      <c r="AP246" s="1" t="s">
        <v>2351</v>
      </c>
      <c r="AQ246" s="1"/>
      <c r="AR246" s="1"/>
      <c r="AS246" s="1"/>
      <c r="AT246" s="1" t="s">
        <v>2352</v>
      </c>
      <c r="AU246" s="3">
        <v>2009</v>
      </c>
      <c r="AV246" s="3">
        <v>24</v>
      </c>
      <c r="AW246" s="3">
        <v>40</v>
      </c>
      <c r="AX246" s="2"/>
      <c r="AY246" s="2"/>
      <c r="AZ246" s="1"/>
      <c r="BA246" s="2"/>
      <c r="BB246" s="3">
        <v>3295</v>
      </c>
      <c r="BC246" s="3">
        <v>3305</v>
      </c>
      <c r="BD246" s="2"/>
      <c r="BE246" s="1" t="s">
        <v>2353</v>
      </c>
      <c r="BF246" s="4">
        <f>HYPERLINK("http://dx.doi.org/10.1142/S0217732309031314","http://dx.doi.org/10.1142/S0217732309031314")</f>
      </c>
      <c r="BG246" s="1"/>
      <c r="BH246" s="1"/>
      <c r="BI246" s="1"/>
      <c r="BJ246" s="1"/>
      <c r="BK246" s="1"/>
      <c r="BL246" s="1"/>
      <c r="BM246" s="1"/>
      <c r="BN246" s="2"/>
      <c r="BO246" s="1"/>
      <c r="BP246" s="1"/>
      <c r="BQ246" s="1"/>
      <c r="BR246" s="1"/>
      <c r="BS246" s="1" t="s">
        <v>2354</v>
      </c>
      <c r="BT246" s="5">
        <f>HYPERLINK("https%3A%2F%2Fwww.webofscience.com%2Fwos%2Fwoscc%2Ffull-record%2FWOS:000275699800006","View Full Record in Web of Science")</f>
      </c>
    </row>
    <row x14ac:dyDescent="0.25" r="247" customHeight="1" ht="12.75">
      <c r="A247" s="1" t="s">
        <v>72</v>
      </c>
      <c r="B247" s="1" t="s">
        <v>2355</v>
      </c>
      <c r="C247" s="1"/>
      <c r="D247" s="1"/>
      <c r="E247" s="1"/>
      <c r="F247" s="1" t="s">
        <v>2356</v>
      </c>
      <c r="G247" s="1"/>
      <c r="H247" s="1"/>
      <c r="I247" s="1" t="s">
        <v>2357</v>
      </c>
      <c r="J247" s="1" t="s">
        <v>2358</v>
      </c>
      <c r="K247" s="1"/>
      <c r="L247" s="1"/>
      <c r="M247" s="1"/>
      <c r="N247" s="1"/>
      <c r="O247" s="1"/>
      <c r="P247" s="2"/>
      <c r="Q247" s="1"/>
      <c r="R247" s="1"/>
      <c r="S247" s="1"/>
      <c r="T247" s="1"/>
      <c r="U247" s="1"/>
      <c r="V247" s="1" t="s">
        <v>2359</v>
      </c>
      <c r="W247" s="1"/>
      <c r="X247" s="1"/>
      <c r="Y247" s="1"/>
      <c r="Z247" s="1"/>
      <c r="AA247" s="1" t="s">
        <v>2360</v>
      </c>
      <c r="AB247" s="1" t="s">
        <v>2361</v>
      </c>
      <c r="AC247" s="1"/>
      <c r="AD247" s="1"/>
      <c r="AE247" s="1"/>
      <c r="AF247" s="1"/>
      <c r="AG247" s="1"/>
      <c r="AH247" s="1"/>
      <c r="AI247" s="1"/>
      <c r="AJ247" s="1"/>
      <c r="AK247" s="1"/>
      <c r="AL247" s="1"/>
      <c r="AM247" s="1"/>
      <c r="AN247" s="1"/>
      <c r="AO247" s="1" t="s">
        <v>2362</v>
      </c>
      <c r="AP247" s="1" t="s">
        <v>2363</v>
      </c>
      <c r="AQ247" s="1"/>
      <c r="AR247" s="1"/>
      <c r="AS247" s="1"/>
      <c r="AT247" s="1" t="s">
        <v>192</v>
      </c>
      <c r="AU247" s="3">
        <v>2009</v>
      </c>
      <c r="AV247" s="3">
        <v>105</v>
      </c>
      <c r="AW247" s="3">
        <v>8</v>
      </c>
      <c r="AX247" s="2"/>
      <c r="AY247" s="2"/>
      <c r="AZ247" s="1"/>
      <c r="BA247" s="2"/>
      <c r="BB247" s="2"/>
      <c r="BC247" s="2"/>
      <c r="BD247" s="3">
        <v>83903</v>
      </c>
      <c r="BE247" s="1" t="s">
        <v>2364</v>
      </c>
      <c r="BF247" s="4">
        <f>HYPERLINK("http://dx.doi.org/10.1063/1.3098250","http://dx.doi.org/10.1063/1.3098250")</f>
      </c>
      <c r="BG247" s="1"/>
      <c r="BH247" s="1"/>
      <c r="BI247" s="1"/>
      <c r="BJ247" s="1"/>
      <c r="BK247" s="1"/>
      <c r="BL247" s="1"/>
      <c r="BM247" s="1"/>
      <c r="BN247" s="2"/>
      <c r="BO247" s="1"/>
      <c r="BP247" s="1"/>
      <c r="BQ247" s="1"/>
      <c r="BR247" s="1"/>
      <c r="BS247" s="1" t="s">
        <v>2365</v>
      </c>
      <c r="BT247" s="5">
        <f>HYPERLINK("https%3A%2F%2Fwww.webofscience.com%2Fwos%2Fwoscc%2Ffull-record%2FWOS:000268064700099","View Full Record in Web of Science")</f>
      </c>
    </row>
    <row x14ac:dyDescent="0.25" r="248" customHeight="1" ht="12.75">
      <c r="A248" s="1" t="s">
        <v>72</v>
      </c>
      <c r="B248" s="1" t="s">
        <v>824</v>
      </c>
      <c r="C248" s="1"/>
      <c r="D248" s="1"/>
      <c r="E248" s="1"/>
      <c r="F248" s="1" t="s">
        <v>2366</v>
      </c>
      <c r="G248" s="1"/>
      <c r="H248" s="1"/>
      <c r="I248" s="1" t="s">
        <v>2367</v>
      </c>
      <c r="J248" s="1" t="s">
        <v>2368</v>
      </c>
      <c r="K248" s="1"/>
      <c r="L248" s="1"/>
      <c r="M248" s="1"/>
      <c r="N248" s="1"/>
      <c r="O248" s="1"/>
      <c r="P248" s="2"/>
      <c r="Q248" s="1"/>
      <c r="R248" s="1"/>
      <c r="S248" s="1"/>
      <c r="T248" s="1"/>
      <c r="U248" s="1"/>
      <c r="V248" s="1" t="s">
        <v>2369</v>
      </c>
      <c r="W248" s="1"/>
      <c r="X248" s="1"/>
      <c r="Y248" s="1"/>
      <c r="Z248" s="1"/>
      <c r="AA248" s="1"/>
      <c r="AB248" s="1"/>
      <c r="AC248" s="1"/>
      <c r="AD248" s="1"/>
      <c r="AE248" s="1"/>
      <c r="AF248" s="1"/>
      <c r="AG248" s="1"/>
      <c r="AH248" s="1"/>
      <c r="AI248" s="1"/>
      <c r="AJ248" s="1"/>
      <c r="AK248" s="1"/>
      <c r="AL248" s="1"/>
      <c r="AM248" s="1"/>
      <c r="AN248" s="1"/>
      <c r="AO248" s="1" t="s">
        <v>2370</v>
      </c>
      <c r="AP248" s="1"/>
      <c r="AQ248" s="1"/>
      <c r="AR248" s="1"/>
      <c r="AS248" s="1"/>
      <c r="AT248" s="1" t="s">
        <v>2371</v>
      </c>
      <c r="AU248" s="3">
        <v>2009</v>
      </c>
      <c r="AV248" s="3">
        <v>209</v>
      </c>
      <c r="AW248" s="3">
        <v>7</v>
      </c>
      <c r="AX248" s="2"/>
      <c r="AY248" s="2"/>
      <c r="AZ248" s="1"/>
      <c r="BA248" s="2"/>
      <c r="BB248" s="3">
        <v>3143</v>
      </c>
      <c r="BC248" s="3">
        <v>3148</v>
      </c>
      <c r="BD248" s="2"/>
      <c r="BE248" s="1" t="s">
        <v>2372</v>
      </c>
      <c r="BF248" s="4">
        <f>HYPERLINK("http://dx.doi.org/10.1016/j.jmatprotec.2008.07.026","http://dx.doi.org/10.1016/j.jmatprotec.2008.07.026")</f>
      </c>
      <c r="BG248" s="1"/>
      <c r="BH248" s="1"/>
      <c r="BI248" s="1"/>
      <c r="BJ248" s="1"/>
      <c r="BK248" s="1"/>
      <c r="BL248" s="1"/>
      <c r="BM248" s="1"/>
      <c r="BN248" s="2"/>
      <c r="BO248" s="1"/>
      <c r="BP248" s="1"/>
      <c r="BQ248" s="1"/>
      <c r="BR248" s="1"/>
      <c r="BS248" s="1" t="s">
        <v>2373</v>
      </c>
      <c r="BT248" s="5">
        <f>HYPERLINK("https%3A%2F%2Fwww.webofscience.com%2Fwos%2Fwoscc%2Ffull-record%2FWOS:000265315000005","View Full Record in Web of Science")</f>
      </c>
    </row>
    <row x14ac:dyDescent="0.25" r="249" customHeight="1" ht="12.75">
      <c r="A249" s="1" t="s">
        <v>72</v>
      </c>
      <c r="B249" s="1" t="s">
        <v>2374</v>
      </c>
      <c r="C249" s="1"/>
      <c r="D249" s="1"/>
      <c r="E249" s="1"/>
      <c r="F249" s="1" t="s">
        <v>2375</v>
      </c>
      <c r="G249" s="1"/>
      <c r="H249" s="1"/>
      <c r="I249" s="1" t="s">
        <v>2376</v>
      </c>
      <c r="J249" s="1" t="s">
        <v>2377</v>
      </c>
      <c r="K249" s="1"/>
      <c r="L249" s="1"/>
      <c r="M249" s="1"/>
      <c r="N249" s="1"/>
      <c r="O249" s="1"/>
      <c r="P249" s="2"/>
      <c r="Q249" s="1"/>
      <c r="R249" s="1"/>
      <c r="S249" s="1"/>
      <c r="T249" s="1"/>
      <c r="U249" s="1"/>
      <c r="V249" s="1" t="s">
        <v>2378</v>
      </c>
      <c r="W249" s="1"/>
      <c r="X249" s="1"/>
      <c r="Y249" s="1"/>
      <c r="Z249" s="1"/>
      <c r="AA249" s="1" t="s">
        <v>2379</v>
      </c>
      <c r="AB249" s="1" t="s">
        <v>2380</v>
      </c>
      <c r="AC249" s="1"/>
      <c r="AD249" s="1"/>
      <c r="AE249" s="1"/>
      <c r="AF249" s="1"/>
      <c r="AG249" s="1"/>
      <c r="AH249" s="1"/>
      <c r="AI249" s="1"/>
      <c r="AJ249" s="1"/>
      <c r="AK249" s="1"/>
      <c r="AL249" s="1"/>
      <c r="AM249" s="1"/>
      <c r="AN249" s="1"/>
      <c r="AO249" s="1" t="s">
        <v>2381</v>
      </c>
      <c r="AP249" s="1" t="s">
        <v>2382</v>
      </c>
      <c r="AQ249" s="1"/>
      <c r="AR249" s="1"/>
      <c r="AS249" s="1"/>
      <c r="AT249" s="1" t="s">
        <v>1802</v>
      </c>
      <c r="AU249" s="3">
        <v>2009</v>
      </c>
      <c r="AV249" s="3">
        <v>330</v>
      </c>
      <c r="AW249" s="2" t="s">
        <v>1479</v>
      </c>
      <c r="AX249" s="2"/>
      <c r="AY249" s="2"/>
      <c r="AZ249" s="1"/>
      <c r="BA249" s="2"/>
      <c r="BB249" s="3">
        <v>205</v>
      </c>
      <c r="BC249" s="3">
        <v>213</v>
      </c>
      <c r="BD249" s="2"/>
      <c r="BE249" s="1" t="s">
        <v>2383</v>
      </c>
      <c r="BF249" s="4">
        <f>HYPERLINK("http://dx.doi.org/10.1016/j.memsci.2008.12.053","http://dx.doi.org/10.1016/j.memsci.2008.12.053")</f>
      </c>
      <c r="BG249" s="1"/>
      <c r="BH249" s="1"/>
      <c r="BI249" s="1"/>
      <c r="BJ249" s="1"/>
      <c r="BK249" s="1"/>
      <c r="BL249" s="1"/>
      <c r="BM249" s="1"/>
      <c r="BN249" s="2"/>
      <c r="BO249" s="1"/>
      <c r="BP249" s="1"/>
      <c r="BQ249" s="1"/>
      <c r="BR249" s="1"/>
      <c r="BS249" s="1" t="s">
        <v>2384</v>
      </c>
      <c r="BT249" s="5">
        <f>HYPERLINK("https%3A%2F%2Fwww.webofscience.com%2Fwos%2Fwoscc%2Ffull-record%2FWOS:000264612500022","View Full Record in Web of Science")</f>
      </c>
    </row>
    <row x14ac:dyDescent="0.25" r="250" customHeight="1" ht="12.75">
      <c r="A250" s="1" t="s">
        <v>72</v>
      </c>
      <c r="B250" s="1" t="s">
        <v>2385</v>
      </c>
      <c r="C250" s="1"/>
      <c r="D250" s="1"/>
      <c r="E250" s="1"/>
      <c r="F250" s="1" t="s">
        <v>2386</v>
      </c>
      <c r="G250" s="1"/>
      <c r="H250" s="1"/>
      <c r="I250" s="1" t="s">
        <v>2387</v>
      </c>
      <c r="J250" s="1" t="s">
        <v>2388</v>
      </c>
      <c r="K250" s="1"/>
      <c r="L250" s="1"/>
      <c r="M250" s="1"/>
      <c r="N250" s="1"/>
      <c r="O250" s="1"/>
      <c r="P250" s="2"/>
      <c r="Q250" s="1"/>
      <c r="R250" s="1"/>
      <c r="S250" s="1"/>
      <c r="T250" s="1"/>
      <c r="U250" s="1"/>
      <c r="V250" s="1" t="s">
        <v>2389</v>
      </c>
      <c r="W250" s="1"/>
      <c r="X250" s="1"/>
      <c r="Y250" s="1"/>
      <c r="Z250" s="1"/>
      <c r="AA250" s="1" t="s">
        <v>2390</v>
      </c>
      <c r="AB250" s="1" t="s">
        <v>2391</v>
      </c>
      <c r="AC250" s="1"/>
      <c r="AD250" s="1"/>
      <c r="AE250" s="1"/>
      <c r="AF250" s="1"/>
      <c r="AG250" s="1"/>
      <c r="AH250" s="1"/>
      <c r="AI250" s="1"/>
      <c r="AJ250" s="1"/>
      <c r="AK250" s="1"/>
      <c r="AL250" s="1"/>
      <c r="AM250" s="1"/>
      <c r="AN250" s="1"/>
      <c r="AO250" s="1" t="s">
        <v>2392</v>
      </c>
      <c r="AP250" s="1"/>
      <c r="AQ250" s="1"/>
      <c r="AR250" s="1"/>
      <c r="AS250" s="1"/>
      <c r="AT250" s="1"/>
      <c r="AU250" s="3">
        <v>2009</v>
      </c>
      <c r="AV250" s="2"/>
      <c r="AW250" s="2"/>
      <c r="AX250" s="2"/>
      <c r="AY250" s="2"/>
      <c r="AZ250" s="1"/>
      <c r="BA250" s="2"/>
      <c r="BB250" s="2"/>
      <c r="BC250" s="2"/>
      <c r="BD250" s="3">
        <v>591380</v>
      </c>
      <c r="BE250" s="1" t="s">
        <v>2393</v>
      </c>
      <c r="BF250" s="4">
        <f>HYPERLINK("http://dx.doi.org/10.1155/2009/591380","http://dx.doi.org/10.1155/2009/591380")</f>
      </c>
      <c r="BG250" s="1"/>
      <c r="BH250" s="1"/>
      <c r="BI250" s="1"/>
      <c r="BJ250" s="1"/>
      <c r="BK250" s="1"/>
      <c r="BL250" s="1"/>
      <c r="BM250" s="1"/>
      <c r="BN250" s="2"/>
      <c r="BO250" s="1"/>
      <c r="BP250" s="1"/>
      <c r="BQ250" s="1"/>
      <c r="BR250" s="1"/>
      <c r="BS250" s="1" t="s">
        <v>2394</v>
      </c>
      <c r="BT250" s="5">
        <f>HYPERLINK("https%3A%2F%2Fwww.webofscience.com%2Fwos%2Fwoscc%2Ffull-record%2FWOS:000269040300001","View Full Record in Web of Science")</f>
      </c>
    </row>
    <row x14ac:dyDescent="0.25" r="251" customHeight="1" ht="12.75">
      <c r="A251" s="1" t="s">
        <v>72</v>
      </c>
      <c r="B251" s="1" t="s">
        <v>2395</v>
      </c>
      <c r="C251" s="1"/>
      <c r="D251" s="1"/>
      <c r="E251" s="1"/>
      <c r="F251" s="1" t="s">
        <v>2396</v>
      </c>
      <c r="G251" s="1"/>
      <c r="H251" s="1"/>
      <c r="I251" s="1" t="s">
        <v>2397</v>
      </c>
      <c r="J251" s="1" t="s">
        <v>2398</v>
      </c>
      <c r="K251" s="1"/>
      <c r="L251" s="1"/>
      <c r="M251" s="1"/>
      <c r="N251" s="1"/>
      <c r="O251" s="1"/>
      <c r="P251" s="2"/>
      <c r="Q251" s="1"/>
      <c r="R251" s="1"/>
      <c r="S251" s="1"/>
      <c r="T251" s="1"/>
      <c r="U251" s="1"/>
      <c r="V251" s="1" t="s">
        <v>2399</v>
      </c>
      <c r="W251" s="1"/>
      <c r="X251" s="1"/>
      <c r="Y251" s="1"/>
      <c r="Z251" s="1"/>
      <c r="AA251" s="1" t="s">
        <v>2400</v>
      </c>
      <c r="AB251" s="1" t="s">
        <v>2401</v>
      </c>
      <c r="AC251" s="1"/>
      <c r="AD251" s="1"/>
      <c r="AE251" s="1"/>
      <c r="AF251" s="1"/>
      <c r="AG251" s="1"/>
      <c r="AH251" s="1"/>
      <c r="AI251" s="1"/>
      <c r="AJ251" s="1"/>
      <c r="AK251" s="1"/>
      <c r="AL251" s="1"/>
      <c r="AM251" s="1"/>
      <c r="AN251" s="1"/>
      <c r="AO251" s="1" t="s">
        <v>2402</v>
      </c>
      <c r="AP251" s="1" t="s">
        <v>2403</v>
      </c>
      <c r="AQ251" s="1"/>
      <c r="AR251" s="1"/>
      <c r="AS251" s="1"/>
      <c r="AT251" s="1"/>
      <c r="AU251" s="3">
        <v>2009</v>
      </c>
      <c r="AV251" s="3">
        <v>42</v>
      </c>
      <c r="AW251" s="3">
        <v>2</v>
      </c>
      <c r="AX251" s="2"/>
      <c r="AY251" s="2"/>
      <c r="AZ251" s="1"/>
      <c r="BA251" s="2"/>
      <c r="BB251" s="3">
        <v>81</v>
      </c>
      <c r="BC251" s="3">
        <v>86</v>
      </c>
      <c r="BD251" s="2" t="s">
        <v>2404</v>
      </c>
      <c r="BE251" s="1" t="s">
        <v>2405</v>
      </c>
      <c r="BF251" s="4">
        <f>HYPERLINK("http://dx.doi.org/10.1080/00387010802428617","http://dx.doi.org/10.1080/00387010802428617")</f>
      </c>
      <c r="BG251" s="1"/>
      <c r="BH251" s="1"/>
      <c r="BI251" s="1"/>
      <c r="BJ251" s="1"/>
      <c r="BK251" s="1"/>
      <c r="BL251" s="1"/>
      <c r="BM251" s="1"/>
      <c r="BN251" s="2"/>
      <c r="BO251" s="1"/>
      <c r="BP251" s="1"/>
      <c r="BQ251" s="1"/>
      <c r="BR251" s="1"/>
      <c r="BS251" s="1" t="s">
        <v>2406</v>
      </c>
      <c r="BT251" s="5">
        <f>HYPERLINK("https%3A%2F%2Fwww.webofscience.com%2Fwos%2Fwoscc%2Ffull-record%2FWOS:000263554600004","View Full Record in Web of Science")</f>
      </c>
    </row>
    <row x14ac:dyDescent="0.25" r="252" customHeight="1" ht="12.75">
      <c r="A252" s="1" t="s">
        <v>72</v>
      </c>
      <c r="B252" s="1" t="s">
        <v>2407</v>
      </c>
      <c r="C252" s="1"/>
      <c r="D252" s="1"/>
      <c r="E252" s="1"/>
      <c r="F252" s="1" t="s">
        <v>2408</v>
      </c>
      <c r="G252" s="1"/>
      <c r="H252" s="1"/>
      <c r="I252" s="1" t="s">
        <v>2409</v>
      </c>
      <c r="J252" s="1" t="s">
        <v>2410</v>
      </c>
      <c r="K252" s="1"/>
      <c r="L252" s="1"/>
      <c r="M252" s="1"/>
      <c r="N252" s="1"/>
      <c r="O252" s="1"/>
      <c r="P252" s="2"/>
      <c r="Q252" s="1"/>
      <c r="R252" s="1"/>
      <c r="S252" s="1"/>
      <c r="T252" s="1"/>
      <c r="U252" s="1"/>
      <c r="V252" s="1" t="s">
        <v>2411</v>
      </c>
      <c r="W252" s="1"/>
      <c r="X252" s="1"/>
      <c r="Y252" s="1"/>
      <c r="Z252" s="1"/>
      <c r="AA252" s="1" t="s">
        <v>1748</v>
      </c>
      <c r="AB252" s="1" t="s">
        <v>2412</v>
      </c>
      <c r="AC252" s="1"/>
      <c r="AD252" s="1"/>
      <c r="AE252" s="1"/>
      <c r="AF252" s="1"/>
      <c r="AG252" s="1"/>
      <c r="AH252" s="1"/>
      <c r="AI252" s="1"/>
      <c r="AJ252" s="1"/>
      <c r="AK252" s="1"/>
      <c r="AL252" s="1"/>
      <c r="AM252" s="1"/>
      <c r="AN252" s="1"/>
      <c r="AO252" s="1" t="s">
        <v>2413</v>
      </c>
      <c r="AP252" s="1" t="s">
        <v>2414</v>
      </c>
      <c r="AQ252" s="1"/>
      <c r="AR252" s="1"/>
      <c r="AS252" s="1"/>
      <c r="AT252" s="1" t="s">
        <v>431</v>
      </c>
      <c r="AU252" s="3">
        <v>2008</v>
      </c>
      <c r="AV252" s="3">
        <v>42</v>
      </c>
      <c r="AW252" s="3">
        <v>33</v>
      </c>
      <c r="AX252" s="2"/>
      <c r="AY252" s="2"/>
      <c r="AZ252" s="1"/>
      <c r="BA252" s="2"/>
      <c r="BB252" s="3">
        <v>7651</v>
      </c>
      <c r="BC252" s="3">
        <v>7656</v>
      </c>
      <c r="BD252" s="2"/>
      <c r="BE252" s="1" t="s">
        <v>2415</v>
      </c>
      <c r="BF252" s="4">
        <f>HYPERLINK("http://dx.doi.org/10.1016/j.atmosenv.2008.05.055","http://dx.doi.org/10.1016/j.atmosenv.2008.05.055")</f>
      </c>
      <c r="BG252" s="1"/>
      <c r="BH252" s="1"/>
      <c r="BI252" s="1"/>
      <c r="BJ252" s="1"/>
      <c r="BK252" s="1"/>
      <c r="BL252" s="1"/>
      <c r="BM252" s="1"/>
      <c r="BN252" s="2"/>
      <c r="BO252" s="1"/>
      <c r="BP252" s="1"/>
      <c r="BQ252" s="1"/>
      <c r="BR252" s="1"/>
      <c r="BS252" s="1" t="s">
        <v>2416</v>
      </c>
      <c r="BT252" s="5">
        <f>HYPERLINK("https%3A%2F%2Fwww.webofscience.com%2Fwos%2Fwoscc%2Ffull-record%2FWOS:000261006100009","View Full Record in Web of Science")</f>
      </c>
    </row>
    <row x14ac:dyDescent="0.25" r="253" customHeight="1" ht="12.75">
      <c r="A253" s="1" t="s">
        <v>72</v>
      </c>
      <c r="B253" s="1" t="s">
        <v>2417</v>
      </c>
      <c r="C253" s="1"/>
      <c r="D253" s="1"/>
      <c r="E253" s="1"/>
      <c r="F253" s="1" t="s">
        <v>2418</v>
      </c>
      <c r="G253" s="1"/>
      <c r="H253" s="1"/>
      <c r="I253" s="1" t="s">
        <v>2419</v>
      </c>
      <c r="J253" s="1" t="s">
        <v>2420</v>
      </c>
      <c r="K253" s="1"/>
      <c r="L253" s="1"/>
      <c r="M253" s="1"/>
      <c r="N253" s="1"/>
      <c r="O253" s="1"/>
      <c r="P253" s="2"/>
      <c r="Q253" s="1"/>
      <c r="R253" s="1"/>
      <c r="S253" s="1"/>
      <c r="T253" s="1"/>
      <c r="U253" s="1"/>
      <c r="V253" s="1" t="s">
        <v>2421</v>
      </c>
      <c r="W253" s="1"/>
      <c r="X253" s="1"/>
      <c r="Y253" s="1"/>
      <c r="Z253" s="1"/>
      <c r="AA253" s="1" t="s">
        <v>2422</v>
      </c>
      <c r="AB253" s="1" t="s">
        <v>2423</v>
      </c>
      <c r="AC253" s="1"/>
      <c r="AD253" s="1"/>
      <c r="AE253" s="1"/>
      <c r="AF253" s="1"/>
      <c r="AG253" s="1"/>
      <c r="AH253" s="1"/>
      <c r="AI253" s="1"/>
      <c r="AJ253" s="1"/>
      <c r="AK253" s="1"/>
      <c r="AL253" s="1"/>
      <c r="AM253" s="1"/>
      <c r="AN253" s="1"/>
      <c r="AO253" s="1"/>
      <c r="AP253" s="1" t="s">
        <v>2424</v>
      </c>
      <c r="AQ253" s="1"/>
      <c r="AR253" s="1"/>
      <c r="AS253" s="1"/>
      <c r="AT253" s="1" t="s">
        <v>2425</v>
      </c>
      <c r="AU253" s="3">
        <v>2008</v>
      </c>
      <c r="AV253" s="3">
        <v>283</v>
      </c>
      <c r="AW253" s="3">
        <v>12</v>
      </c>
      <c r="AX253" s="2"/>
      <c r="AY253" s="2"/>
      <c r="AZ253" s="1"/>
      <c r="BA253" s="2"/>
      <c r="BB253" s="3">
        <v>7346</v>
      </c>
      <c r="BC253" s="3">
        <v>7353</v>
      </c>
      <c r="BD253" s="2"/>
      <c r="BE253" s="1" t="s">
        <v>2426</v>
      </c>
      <c r="BF253" s="4">
        <f>HYPERLINK("http://dx.doi.org/10.1074/jbc.M708846200","http://dx.doi.org/10.1074/jbc.M708846200")</f>
      </c>
      <c r="BG253" s="1"/>
      <c r="BH253" s="1"/>
      <c r="BI253" s="1"/>
      <c r="BJ253" s="1"/>
      <c r="BK253" s="1"/>
      <c r="BL253" s="1"/>
      <c r="BM253" s="1"/>
      <c r="BN253" s="3">
        <v>18211903</v>
      </c>
      <c r="BO253" s="1"/>
      <c r="BP253" s="1"/>
      <c r="BQ253" s="1"/>
      <c r="BR253" s="1"/>
      <c r="BS253" s="1" t="s">
        <v>2427</v>
      </c>
      <c r="BT253" s="5">
        <f>HYPERLINK("https%3A%2F%2Fwww.webofscience.com%2Fwos%2Fwoscc%2Ffull-record%2FWOS:000253997900008","View Full Record in Web of Science")</f>
      </c>
    </row>
    <row x14ac:dyDescent="0.25" r="254" customHeight="1" ht="12.75">
      <c r="A254" s="1" t="s">
        <v>72</v>
      </c>
      <c r="B254" s="1" t="s">
        <v>2428</v>
      </c>
      <c r="C254" s="1"/>
      <c r="D254" s="1"/>
      <c r="E254" s="1"/>
      <c r="F254" s="1" t="s">
        <v>2429</v>
      </c>
      <c r="G254" s="1"/>
      <c r="H254" s="1"/>
      <c r="I254" s="1" t="s">
        <v>2430</v>
      </c>
      <c r="J254" s="1" t="s">
        <v>2431</v>
      </c>
      <c r="K254" s="1"/>
      <c r="L254" s="1"/>
      <c r="M254" s="1"/>
      <c r="N254" s="1"/>
      <c r="O254" s="1"/>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t="s">
        <v>2432</v>
      </c>
      <c r="AP254" s="1"/>
      <c r="AQ254" s="1"/>
      <c r="AR254" s="1"/>
      <c r="AS254" s="1"/>
      <c r="AT254" s="1"/>
      <c r="AU254" s="3">
        <v>2007</v>
      </c>
      <c r="AV254" s="2"/>
      <c r="AW254" s="3">
        <v>65</v>
      </c>
      <c r="AX254" s="2"/>
      <c r="AY254" s="2"/>
      <c r="AZ254" s="1"/>
      <c r="BA254" s="2"/>
      <c r="BB254" s="3">
        <v>39</v>
      </c>
      <c r="BC254" s="3">
        <v>54</v>
      </c>
      <c r="BD254" s="2"/>
      <c r="BE254" s="1" t="s">
        <v>2433</v>
      </c>
      <c r="BF254" s="4">
        <f>HYPERLINK("http://dx.doi.org/10.1515/iber.2007.005","http://dx.doi.org/10.1515/iber.2007.005")</f>
      </c>
      <c r="BG254" s="1"/>
      <c r="BH254" s="1"/>
      <c r="BI254" s="1"/>
      <c r="BJ254" s="1"/>
      <c r="BK254" s="1"/>
      <c r="BL254" s="1"/>
      <c r="BM254" s="1"/>
      <c r="BN254" s="2"/>
      <c r="BO254" s="1"/>
      <c r="BP254" s="1"/>
      <c r="BQ254" s="1"/>
      <c r="BR254" s="1"/>
      <c r="BS254" s="1" t="s">
        <v>2434</v>
      </c>
      <c r="BT254" s="5">
        <f>HYPERLINK("https%3A%2F%2Fwww.webofscience.com%2Fwos%2Fwoscc%2Ffull-record%2FWOS:000261162000004","View Full Record in Web of Science")</f>
      </c>
    </row>
    <row x14ac:dyDescent="0.25" r="255" customHeight="1" ht="12.75">
      <c r="A255" s="1" t="s">
        <v>72</v>
      </c>
      <c r="B255" s="1" t="s">
        <v>2435</v>
      </c>
      <c r="C255" s="1"/>
      <c r="D255" s="1"/>
      <c r="E255" s="1"/>
      <c r="F255" s="1" t="s">
        <v>2435</v>
      </c>
      <c r="G255" s="1"/>
      <c r="H255" s="1"/>
      <c r="I255" s="1" t="s">
        <v>2436</v>
      </c>
      <c r="J255" s="1" t="s">
        <v>1459</v>
      </c>
      <c r="K255" s="1"/>
      <c r="L255" s="1"/>
      <c r="M255" s="1"/>
      <c r="N255" s="1"/>
      <c r="O255" s="1"/>
      <c r="P255" s="2"/>
      <c r="Q255" s="1"/>
      <c r="R255" s="1"/>
      <c r="S255" s="1"/>
      <c r="T255" s="1"/>
      <c r="U255" s="1"/>
      <c r="V255" s="1" t="s">
        <v>2437</v>
      </c>
      <c r="W255" s="1"/>
      <c r="X255" s="1"/>
      <c r="Y255" s="1"/>
      <c r="Z255" s="1"/>
      <c r="AA255" s="1" t="s">
        <v>2438</v>
      </c>
      <c r="AB255" s="1"/>
      <c r="AC255" s="1"/>
      <c r="AD255" s="1"/>
      <c r="AE255" s="1"/>
      <c r="AF255" s="1"/>
      <c r="AG255" s="1"/>
      <c r="AH255" s="1"/>
      <c r="AI255" s="1"/>
      <c r="AJ255" s="1"/>
      <c r="AK255" s="1"/>
      <c r="AL255" s="1"/>
      <c r="AM255" s="1"/>
      <c r="AN255" s="1"/>
      <c r="AO255" s="1" t="s">
        <v>1462</v>
      </c>
      <c r="AP255" s="1"/>
      <c r="AQ255" s="1"/>
      <c r="AR255" s="1"/>
      <c r="AS255" s="1"/>
      <c r="AT255" s="1" t="s">
        <v>648</v>
      </c>
      <c r="AU255" s="3">
        <v>2004</v>
      </c>
      <c r="AV255" s="3">
        <v>40</v>
      </c>
      <c r="AW255" s="3">
        <v>3</v>
      </c>
      <c r="AX255" s="2"/>
      <c r="AY255" s="2"/>
      <c r="AZ255" s="1"/>
      <c r="BA255" s="2"/>
      <c r="BB255" s="3">
        <v>193</v>
      </c>
      <c r="BC255" s="3">
        <v>198</v>
      </c>
      <c r="BD255" s="2"/>
      <c r="BE255" s="1" t="s">
        <v>2439</v>
      </c>
      <c r="BF255" s="4">
        <f>HYPERLINK("http://dx.doi.org/10.3989/revmetalm.2004.v40.i3.263","http://dx.doi.org/10.3989/revmetalm.2004.v40.i3.263")</f>
      </c>
      <c r="BG255" s="1"/>
      <c r="BH255" s="1"/>
      <c r="BI255" s="1"/>
      <c r="BJ255" s="1"/>
      <c r="BK255" s="1"/>
      <c r="BL255" s="1"/>
      <c r="BM255" s="1"/>
      <c r="BN255" s="2"/>
      <c r="BO255" s="1"/>
      <c r="BP255" s="1"/>
      <c r="BQ255" s="1"/>
      <c r="BR255" s="1"/>
      <c r="BS255" s="1" t="s">
        <v>2440</v>
      </c>
      <c r="BT255" s="5">
        <f>HYPERLINK("https%3A%2F%2Fwww.webofscience.com%2Fwos%2Fwoscc%2Ffull-record%2FWOS:000224266100005","View Full Record in Web of Science")</f>
      </c>
    </row>
    <row x14ac:dyDescent="0.25" r="256" customHeight="1" ht="12.75">
      <c r="A256" s="1" t="s">
        <v>72</v>
      </c>
      <c r="B256" s="1" t="s">
        <v>2441</v>
      </c>
      <c r="C256" s="1"/>
      <c r="D256" s="1"/>
      <c r="E256" s="1"/>
      <c r="F256" s="1" t="s">
        <v>2441</v>
      </c>
      <c r="G256" s="1"/>
      <c r="H256" s="1"/>
      <c r="I256" s="1" t="s">
        <v>2442</v>
      </c>
      <c r="J256" s="1" t="s">
        <v>2443</v>
      </c>
      <c r="K256" s="1"/>
      <c r="L256" s="1"/>
      <c r="M256" s="1"/>
      <c r="N256" s="1"/>
      <c r="O256" s="1"/>
      <c r="P256" s="2"/>
      <c r="Q256" s="1"/>
      <c r="R256" s="1"/>
      <c r="S256" s="1"/>
      <c r="T256" s="1"/>
      <c r="U256" s="1"/>
      <c r="V256" s="1" t="s">
        <v>2444</v>
      </c>
      <c r="W256" s="1"/>
      <c r="X256" s="1"/>
      <c r="Y256" s="1"/>
      <c r="Z256" s="1"/>
      <c r="AA256" s="1" t="s">
        <v>2445</v>
      </c>
      <c r="AB256" s="1" t="s">
        <v>2446</v>
      </c>
      <c r="AC256" s="1"/>
      <c r="AD256" s="1"/>
      <c r="AE256" s="1"/>
      <c r="AF256" s="1"/>
      <c r="AG256" s="1"/>
      <c r="AH256" s="1"/>
      <c r="AI256" s="1"/>
      <c r="AJ256" s="1"/>
      <c r="AK256" s="1"/>
      <c r="AL256" s="1"/>
      <c r="AM256" s="1"/>
      <c r="AN256" s="1"/>
      <c r="AO256" s="1" t="s">
        <v>2447</v>
      </c>
      <c r="AP256" s="1"/>
      <c r="AQ256" s="1"/>
      <c r="AR256" s="1"/>
      <c r="AS256" s="1"/>
      <c r="AT256" s="1" t="s">
        <v>757</v>
      </c>
      <c r="AU256" s="3">
        <v>2003</v>
      </c>
      <c r="AV256" s="3">
        <v>7</v>
      </c>
      <c r="AW256" s="3">
        <v>2</v>
      </c>
      <c r="AX256" s="2"/>
      <c r="AY256" s="2"/>
      <c r="AZ256" s="1"/>
      <c r="BA256" s="2"/>
      <c r="BB256" s="3">
        <v>217</v>
      </c>
      <c r="BC256" s="3">
        <v>227</v>
      </c>
      <c r="BD256" s="2"/>
      <c r="BE256" s="1"/>
      <c r="BF256" s="1"/>
      <c r="BG256" s="1"/>
      <c r="BH256" s="1"/>
      <c r="BI256" s="1"/>
      <c r="BJ256" s="1"/>
      <c r="BK256" s="1"/>
      <c r="BL256" s="1"/>
      <c r="BM256" s="1"/>
      <c r="BN256" s="2"/>
      <c r="BO256" s="1"/>
      <c r="BP256" s="1"/>
      <c r="BQ256" s="1"/>
      <c r="BR256" s="1"/>
      <c r="BS256" s="1" t="s">
        <v>2448</v>
      </c>
      <c r="BT256" s="5">
        <f>HYPERLINK("https%3A%2F%2Fwww.webofscience.com%2Fwos%2Fwoscc%2Ffull-record%2FWOS:000183943700004","View Full Record in Web of Science")</f>
      </c>
    </row>
    <row x14ac:dyDescent="0.25" r="257" customHeight="1" ht="12.75">
      <c r="A257" s="1" t="s">
        <v>72</v>
      </c>
      <c r="B257" s="1" t="s">
        <v>2449</v>
      </c>
      <c r="C257" s="1"/>
      <c r="D257" s="1"/>
      <c r="E257" s="1"/>
      <c r="F257" s="1" t="s">
        <v>2449</v>
      </c>
      <c r="G257" s="1"/>
      <c r="H257" s="1"/>
      <c r="I257" s="1" t="s">
        <v>2450</v>
      </c>
      <c r="J257" s="1" t="s">
        <v>2451</v>
      </c>
      <c r="K257" s="1"/>
      <c r="L257" s="1"/>
      <c r="M257" s="1"/>
      <c r="N257" s="1"/>
      <c r="O257" s="1" t="s">
        <v>2452</v>
      </c>
      <c r="P257" s="2" t="s">
        <v>2453</v>
      </c>
      <c r="Q257" s="1" t="s">
        <v>2454</v>
      </c>
      <c r="R257" s="1" t="s">
        <v>2455</v>
      </c>
      <c r="S257" s="1"/>
      <c r="T257" s="1"/>
      <c r="U257" s="1"/>
      <c r="V257" s="1" t="s">
        <v>2456</v>
      </c>
      <c r="W257" s="1"/>
      <c r="X257" s="1"/>
      <c r="Y257" s="1"/>
      <c r="Z257" s="1"/>
      <c r="AA257" s="1" t="s">
        <v>679</v>
      </c>
      <c r="AB257" s="1" t="s">
        <v>680</v>
      </c>
      <c r="AC257" s="1"/>
      <c r="AD257" s="1"/>
      <c r="AE257" s="1"/>
      <c r="AF257" s="1"/>
      <c r="AG257" s="1"/>
      <c r="AH257" s="1"/>
      <c r="AI257" s="1"/>
      <c r="AJ257" s="1"/>
      <c r="AK257" s="1"/>
      <c r="AL257" s="1"/>
      <c r="AM257" s="1"/>
      <c r="AN257" s="1"/>
      <c r="AO257" s="1" t="s">
        <v>1447</v>
      </c>
      <c r="AP257" s="1"/>
      <c r="AQ257" s="1"/>
      <c r="AR257" s="1"/>
      <c r="AS257" s="1"/>
      <c r="AT257" s="1" t="s">
        <v>757</v>
      </c>
      <c r="AU257" s="3">
        <v>2003</v>
      </c>
      <c r="AV257" s="3">
        <v>195</v>
      </c>
      <c r="AW257" s="2"/>
      <c r="AX257" s="2"/>
      <c r="AY257" s="2"/>
      <c r="AZ257" s="1"/>
      <c r="BA257" s="2"/>
      <c r="BB257" s="3">
        <v>81</v>
      </c>
      <c r="BC257" s="3">
        <v>88</v>
      </c>
      <c r="BD257" s="2"/>
      <c r="BE257" s="1" t="s">
        <v>2457</v>
      </c>
      <c r="BF257" s="4">
        <f>HYPERLINK("http://dx.doi.org/10.1002/masy.200390148","http://dx.doi.org/10.1002/masy.200390148")</f>
      </c>
      <c r="BG257" s="1"/>
      <c r="BH257" s="1"/>
      <c r="BI257" s="1"/>
      <c r="BJ257" s="1"/>
      <c r="BK257" s="1"/>
      <c r="BL257" s="1"/>
      <c r="BM257" s="1"/>
      <c r="BN257" s="2"/>
      <c r="BO257" s="1"/>
      <c r="BP257" s="1"/>
      <c r="BQ257" s="1"/>
      <c r="BR257" s="1"/>
      <c r="BS257" s="1" t="s">
        <v>2458</v>
      </c>
      <c r="BT257" s="5">
        <f>HYPERLINK("https%3A%2F%2Fwww.webofscience.com%2Fwos%2Fwoscc%2Ffull-record%2FWOS:000184474400012","View Full Record in Web of Science")</f>
      </c>
    </row>
    <row x14ac:dyDescent="0.25" r="258" customHeight="1" ht="12.75">
      <c r="A258" s="1" t="s">
        <v>72</v>
      </c>
      <c r="B258" s="1" t="s">
        <v>2459</v>
      </c>
      <c r="C258" s="1"/>
      <c r="D258" s="1"/>
      <c r="E258" s="1"/>
      <c r="F258" s="1" t="s">
        <v>2459</v>
      </c>
      <c r="G258" s="1"/>
      <c r="H258" s="1"/>
      <c r="I258" s="1" t="s">
        <v>2460</v>
      </c>
      <c r="J258" s="1" t="s">
        <v>793</v>
      </c>
      <c r="K258" s="1"/>
      <c r="L258" s="1"/>
      <c r="M258" s="1"/>
      <c r="N258" s="1"/>
      <c r="O258" s="1" t="s">
        <v>794</v>
      </c>
      <c r="P258" s="2" t="s">
        <v>795</v>
      </c>
      <c r="Q258" s="1" t="s">
        <v>796</v>
      </c>
      <c r="R258" s="1"/>
      <c r="S258" s="1"/>
      <c r="T258" s="1"/>
      <c r="U258" s="1"/>
      <c r="V258" s="1" t="s">
        <v>2461</v>
      </c>
      <c r="W258" s="1"/>
      <c r="X258" s="1"/>
      <c r="Y258" s="1"/>
      <c r="Z258" s="1"/>
      <c r="AA258" s="1" t="s">
        <v>2462</v>
      </c>
      <c r="AB258" s="1"/>
      <c r="AC258" s="1"/>
      <c r="AD258" s="1"/>
      <c r="AE258" s="1"/>
      <c r="AF258" s="1"/>
      <c r="AG258" s="1"/>
      <c r="AH258" s="1"/>
      <c r="AI258" s="1"/>
      <c r="AJ258" s="1"/>
      <c r="AK258" s="1"/>
      <c r="AL258" s="1"/>
      <c r="AM258" s="1"/>
      <c r="AN258" s="1"/>
      <c r="AO258" s="1" t="s">
        <v>798</v>
      </c>
      <c r="AP258" s="1"/>
      <c r="AQ258" s="1"/>
      <c r="AR258" s="1"/>
      <c r="AS258" s="1"/>
      <c r="AT258" s="1" t="s">
        <v>204</v>
      </c>
      <c r="AU258" s="3">
        <v>2002</v>
      </c>
      <c r="AV258" s="3">
        <v>48</v>
      </c>
      <c r="AW258" s="2"/>
      <c r="AX258" s="2"/>
      <c r="AY258" s="3">
        <v>3</v>
      </c>
      <c r="AZ258" s="1"/>
      <c r="BA258" s="2"/>
      <c r="BB258" s="3">
        <v>24</v>
      </c>
      <c r="BC258" s="3">
        <v>25</v>
      </c>
      <c r="BD258" s="2"/>
      <c r="BE258" s="1"/>
      <c r="BF258" s="1"/>
      <c r="BG258" s="1"/>
      <c r="BH258" s="1"/>
      <c r="BI258" s="1"/>
      <c r="BJ258" s="1"/>
      <c r="BK258" s="1"/>
      <c r="BL258" s="1"/>
      <c r="BM258" s="1"/>
      <c r="BN258" s="2"/>
      <c r="BO258" s="1"/>
      <c r="BP258" s="1"/>
      <c r="BQ258" s="1"/>
      <c r="BR258" s="1"/>
      <c r="BS258" s="1" t="s">
        <v>2463</v>
      </c>
      <c r="BT258" s="5">
        <f>HYPERLINK("https%3A%2F%2Fwww.webofscience.com%2Fwos%2Fwoscc%2Ffull-record%2FWOS:000180065500008","View Full Record in Web of Science")</f>
      </c>
    </row>
    <row x14ac:dyDescent="0.25" r="259" customHeight="1" ht="12.75">
      <c r="A259" s="1" t="s">
        <v>72</v>
      </c>
      <c r="B259" s="1" t="s">
        <v>2464</v>
      </c>
      <c r="C259" s="1"/>
      <c r="D259" s="1"/>
      <c r="E259" s="1"/>
      <c r="F259" s="1" t="s">
        <v>2464</v>
      </c>
      <c r="G259" s="1"/>
      <c r="H259" s="1"/>
      <c r="I259" s="1" t="s">
        <v>2465</v>
      </c>
      <c r="J259" s="1" t="s">
        <v>793</v>
      </c>
      <c r="K259" s="1"/>
      <c r="L259" s="1"/>
      <c r="M259" s="1"/>
      <c r="N259" s="1"/>
      <c r="O259" s="1" t="s">
        <v>794</v>
      </c>
      <c r="P259" s="2" t="s">
        <v>795</v>
      </c>
      <c r="Q259" s="1" t="s">
        <v>796</v>
      </c>
      <c r="R259" s="1"/>
      <c r="S259" s="1"/>
      <c r="T259" s="1"/>
      <c r="U259" s="1"/>
      <c r="V259" s="1" t="s">
        <v>2466</v>
      </c>
      <c r="W259" s="1"/>
      <c r="X259" s="1"/>
      <c r="Y259" s="1"/>
      <c r="Z259" s="1"/>
      <c r="AA259" s="1" t="s">
        <v>2467</v>
      </c>
      <c r="AB259" s="1" t="s">
        <v>2468</v>
      </c>
      <c r="AC259" s="1"/>
      <c r="AD259" s="1"/>
      <c r="AE259" s="1"/>
      <c r="AF259" s="1"/>
      <c r="AG259" s="1"/>
      <c r="AH259" s="1"/>
      <c r="AI259" s="1"/>
      <c r="AJ259" s="1"/>
      <c r="AK259" s="1"/>
      <c r="AL259" s="1"/>
      <c r="AM259" s="1"/>
      <c r="AN259" s="1"/>
      <c r="AO259" s="1" t="s">
        <v>798</v>
      </c>
      <c r="AP259" s="1"/>
      <c r="AQ259" s="1"/>
      <c r="AR259" s="1"/>
      <c r="AS259" s="1"/>
      <c r="AT259" s="1" t="s">
        <v>204</v>
      </c>
      <c r="AU259" s="3">
        <v>2002</v>
      </c>
      <c r="AV259" s="3">
        <v>48</v>
      </c>
      <c r="AW259" s="2"/>
      <c r="AX259" s="2"/>
      <c r="AY259" s="3">
        <v>3</v>
      </c>
      <c r="AZ259" s="1"/>
      <c r="BA259" s="2"/>
      <c r="BB259" s="3">
        <v>16</v>
      </c>
      <c r="BC259" s="3">
        <v>18</v>
      </c>
      <c r="BD259" s="2"/>
      <c r="BE259" s="1"/>
      <c r="BF259" s="1"/>
      <c r="BG259" s="1"/>
      <c r="BH259" s="1"/>
      <c r="BI259" s="1"/>
      <c r="BJ259" s="1"/>
      <c r="BK259" s="1"/>
      <c r="BL259" s="1"/>
      <c r="BM259" s="1"/>
      <c r="BN259" s="2"/>
      <c r="BO259" s="1"/>
      <c r="BP259" s="1"/>
      <c r="BQ259" s="1"/>
      <c r="BR259" s="1"/>
      <c r="BS259" s="1" t="s">
        <v>2469</v>
      </c>
      <c r="BT259" s="5">
        <f>HYPERLINK("https%3A%2F%2Fwww.webofscience.com%2Fwos%2Fwoscc%2Ffull-record%2FWOS:000180065500005","View Full Record in Web of Science")</f>
      </c>
    </row>
    <row x14ac:dyDescent="0.25" r="260" customHeight="1" ht="12.75">
      <c r="A260" s="1" t="s">
        <v>72</v>
      </c>
      <c r="B260" s="1" t="s">
        <v>743</v>
      </c>
      <c r="C260" s="1"/>
      <c r="D260" s="1"/>
      <c r="E260" s="1"/>
      <c r="F260" s="1" t="s">
        <v>743</v>
      </c>
      <c r="G260" s="1"/>
      <c r="H260" s="1"/>
      <c r="I260" s="1" t="s">
        <v>2470</v>
      </c>
      <c r="J260" s="1" t="s">
        <v>2471</v>
      </c>
      <c r="K260" s="1"/>
      <c r="L260" s="1"/>
      <c r="M260" s="1"/>
      <c r="N260" s="1"/>
      <c r="O260" s="1"/>
      <c r="P260" s="2"/>
      <c r="Q260" s="1"/>
      <c r="R260" s="1"/>
      <c r="S260" s="1"/>
      <c r="T260" s="1"/>
      <c r="U260" s="1"/>
      <c r="V260" s="1" t="s">
        <v>2472</v>
      </c>
      <c r="W260" s="1"/>
      <c r="X260" s="1"/>
      <c r="Y260" s="1"/>
      <c r="Z260" s="1"/>
      <c r="AA260" s="1" t="s">
        <v>747</v>
      </c>
      <c r="AB260" s="1" t="s">
        <v>748</v>
      </c>
      <c r="AC260" s="1"/>
      <c r="AD260" s="1"/>
      <c r="AE260" s="1"/>
      <c r="AF260" s="1"/>
      <c r="AG260" s="1"/>
      <c r="AH260" s="1"/>
      <c r="AI260" s="1"/>
      <c r="AJ260" s="1"/>
      <c r="AK260" s="1"/>
      <c r="AL260" s="1"/>
      <c r="AM260" s="1"/>
      <c r="AN260" s="1"/>
      <c r="AO260" s="1" t="s">
        <v>2473</v>
      </c>
      <c r="AP260" s="1"/>
      <c r="AQ260" s="1"/>
      <c r="AR260" s="1"/>
      <c r="AS260" s="1"/>
      <c r="AT260" s="1" t="s">
        <v>431</v>
      </c>
      <c r="AU260" s="3">
        <v>2001</v>
      </c>
      <c r="AV260" s="3">
        <v>43</v>
      </c>
      <c r="AW260" s="3">
        <v>10</v>
      </c>
      <c r="AX260" s="2"/>
      <c r="AY260" s="2"/>
      <c r="AZ260" s="1"/>
      <c r="BA260" s="2"/>
      <c r="BB260" s="3">
        <v>664</v>
      </c>
      <c r="BC260" s="3">
        <v>668</v>
      </c>
      <c r="BD260" s="2"/>
      <c r="BE260" s="1"/>
      <c r="BF260" s="1"/>
      <c r="BG260" s="1"/>
      <c r="BH260" s="1"/>
      <c r="BI260" s="1"/>
      <c r="BJ260" s="1"/>
      <c r="BK260" s="1"/>
      <c r="BL260" s="1"/>
      <c r="BM260" s="1"/>
      <c r="BN260" s="2"/>
      <c r="BO260" s="1"/>
      <c r="BP260" s="1"/>
      <c r="BQ260" s="1"/>
      <c r="BR260" s="1"/>
      <c r="BS260" s="1" t="s">
        <v>2474</v>
      </c>
      <c r="BT260" s="5">
        <f>HYPERLINK("https%3A%2F%2Fwww.webofscience.com%2Fwos%2Fwoscc%2Ffull-record%2FWOS:000171393500012","View Full Record in Web of Science")</f>
      </c>
    </row>
    <row x14ac:dyDescent="0.25" r="261" customHeight="1" ht="12.75">
      <c r="A261" s="1" t="s">
        <v>72</v>
      </c>
      <c r="B261" s="1" t="s">
        <v>619</v>
      </c>
      <c r="C261" s="1"/>
      <c r="D261" s="1"/>
      <c r="E261" s="1"/>
      <c r="F261" s="1" t="s">
        <v>619</v>
      </c>
      <c r="G261" s="1"/>
      <c r="H261" s="1"/>
      <c r="I261" s="1" t="s">
        <v>2475</v>
      </c>
      <c r="J261" s="1" t="s">
        <v>2476</v>
      </c>
      <c r="K261" s="1"/>
      <c r="L261" s="1"/>
      <c r="M261" s="1"/>
      <c r="N261" s="1"/>
      <c r="O261" s="1"/>
      <c r="P261" s="2"/>
      <c r="Q261" s="1"/>
      <c r="R261" s="1"/>
      <c r="S261" s="1"/>
      <c r="T261" s="1"/>
      <c r="U261" s="1"/>
      <c r="V261" s="1" t="s">
        <v>2477</v>
      </c>
      <c r="W261" s="1"/>
      <c r="X261" s="1"/>
      <c r="Y261" s="1"/>
      <c r="Z261" s="1"/>
      <c r="AA261" s="1"/>
      <c r="AB261" s="1"/>
      <c r="AC261" s="1"/>
      <c r="AD261" s="1"/>
      <c r="AE261" s="1"/>
      <c r="AF261" s="1"/>
      <c r="AG261" s="1"/>
      <c r="AH261" s="1"/>
      <c r="AI261" s="1"/>
      <c r="AJ261" s="1"/>
      <c r="AK261" s="1"/>
      <c r="AL261" s="1"/>
      <c r="AM261" s="1"/>
      <c r="AN261" s="1"/>
      <c r="AO261" s="1" t="s">
        <v>2478</v>
      </c>
      <c r="AP261" s="1"/>
      <c r="AQ261" s="1"/>
      <c r="AR261" s="1"/>
      <c r="AS261" s="1"/>
      <c r="AT261" s="1" t="s">
        <v>2479</v>
      </c>
      <c r="AU261" s="3">
        <v>2001</v>
      </c>
      <c r="AV261" s="3">
        <v>44</v>
      </c>
      <c r="AW261" s="3">
        <v>1</v>
      </c>
      <c r="AX261" s="2"/>
      <c r="AY261" s="2"/>
      <c r="AZ261" s="1"/>
      <c r="BA261" s="2"/>
      <c r="BB261" s="3">
        <v>35</v>
      </c>
      <c r="BC261" s="3">
        <v>43</v>
      </c>
      <c r="BD261" s="2"/>
      <c r="BE261" s="1" t="s">
        <v>2480</v>
      </c>
      <c r="BF261" s="4">
        <f>HYPERLINK("http://dx.doi.org/10.1016/S0167-6911(01)00104-9","http://dx.doi.org/10.1016/S0167-6911(01)00104-9")</f>
      </c>
      <c r="BG261" s="1"/>
      <c r="BH261" s="1"/>
      <c r="BI261" s="1"/>
      <c r="BJ261" s="1"/>
      <c r="BK261" s="1"/>
      <c r="BL261" s="1"/>
      <c r="BM261" s="1"/>
      <c r="BN261" s="2"/>
      <c r="BO261" s="1"/>
      <c r="BP261" s="1"/>
      <c r="BQ261" s="1"/>
      <c r="BR261" s="1"/>
      <c r="BS261" s="1" t="s">
        <v>2481</v>
      </c>
      <c r="BT261" s="5">
        <f>HYPERLINK("https%3A%2F%2Fwww.webofscience.com%2Fwos%2Fwoscc%2Ffull-record%2FWOS:000170635100004","View Full Record in Web of Science")</f>
      </c>
    </row>
    <row x14ac:dyDescent="0.25" r="262" customHeight="1" ht="12.75">
      <c r="A262" s="1" t="s">
        <v>72</v>
      </c>
      <c r="B262" s="1" t="s">
        <v>2482</v>
      </c>
      <c r="C262" s="1"/>
      <c r="D262" s="1"/>
      <c r="E262" s="1"/>
      <c r="F262" s="1" t="s">
        <v>2482</v>
      </c>
      <c r="G262" s="1"/>
      <c r="H262" s="1"/>
      <c r="I262" s="1" t="s">
        <v>2483</v>
      </c>
      <c r="J262" s="1" t="s">
        <v>2484</v>
      </c>
      <c r="K262" s="1"/>
      <c r="L262" s="1"/>
      <c r="M262" s="1"/>
      <c r="N262" s="1"/>
      <c r="O262" s="1"/>
      <c r="P262" s="2"/>
      <c r="Q262" s="1"/>
      <c r="R262" s="1"/>
      <c r="S262" s="1"/>
      <c r="T262" s="1"/>
      <c r="U262" s="1"/>
      <c r="V262" s="1" t="s">
        <v>2485</v>
      </c>
      <c r="W262" s="1"/>
      <c r="X262" s="1"/>
      <c r="Y262" s="1"/>
      <c r="Z262" s="1"/>
      <c r="AA262" s="1" t="s">
        <v>2486</v>
      </c>
      <c r="AB262" s="1" t="s">
        <v>2487</v>
      </c>
      <c r="AC262" s="1"/>
      <c r="AD262" s="1"/>
      <c r="AE262" s="1"/>
      <c r="AF262" s="1"/>
      <c r="AG262" s="1"/>
      <c r="AH262" s="1"/>
      <c r="AI262" s="1"/>
      <c r="AJ262" s="1"/>
      <c r="AK262" s="1"/>
      <c r="AL262" s="1"/>
      <c r="AM262" s="1"/>
      <c r="AN262" s="1"/>
      <c r="AO262" s="1" t="s">
        <v>2488</v>
      </c>
      <c r="AP262" s="1"/>
      <c r="AQ262" s="1"/>
      <c r="AR262" s="1"/>
      <c r="AS262" s="1"/>
      <c r="AT262" s="1"/>
      <c r="AU262" s="3">
        <v>2001</v>
      </c>
      <c r="AV262" s="3">
        <v>12</v>
      </c>
      <c r="AW262" s="3">
        <v>1</v>
      </c>
      <c r="AX262" s="2"/>
      <c r="AY262" s="2"/>
      <c r="AZ262" s="1"/>
      <c r="BA262" s="2"/>
      <c r="BB262" s="3">
        <v>73</v>
      </c>
      <c r="BC262" s="3">
        <v>80</v>
      </c>
      <c r="BD262" s="2"/>
      <c r="BE262" s="1"/>
      <c r="BF262" s="1"/>
      <c r="BG262" s="1"/>
      <c r="BH262" s="1"/>
      <c r="BI262" s="1"/>
      <c r="BJ262" s="1"/>
      <c r="BK262" s="1"/>
      <c r="BL262" s="1"/>
      <c r="BM262" s="1"/>
      <c r="BN262" s="2"/>
      <c r="BO262" s="1"/>
      <c r="BP262" s="1"/>
      <c r="BQ262" s="1"/>
      <c r="BR262" s="1"/>
      <c r="BS262" s="1" t="s">
        <v>2489</v>
      </c>
      <c r="BT262" s="5">
        <f>HYPERLINK("https%3A%2F%2Fwww.webofscience.com%2Fwos%2Fwoscc%2Ffull-record%2FWOS:000166922900009","View Full Record in Web of Science")</f>
      </c>
    </row>
    <row x14ac:dyDescent="0.25" r="263" customHeight="1" ht="12.75">
      <c r="A263" s="1" t="s">
        <v>303</v>
      </c>
      <c r="B263" s="1" t="s">
        <v>2490</v>
      </c>
      <c r="C263" s="1"/>
      <c r="D263" s="1" t="s">
        <v>2491</v>
      </c>
      <c r="E263" s="1"/>
      <c r="F263" s="1" t="s">
        <v>2490</v>
      </c>
      <c r="G263" s="1"/>
      <c r="H263" s="1"/>
      <c r="I263" s="1" t="s">
        <v>2492</v>
      </c>
      <c r="J263" s="1" t="s">
        <v>2493</v>
      </c>
      <c r="K263" s="1" t="s">
        <v>2494</v>
      </c>
      <c r="L263" s="1"/>
      <c r="M263" s="1"/>
      <c r="N263" s="1"/>
      <c r="O263" s="1" t="s">
        <v>2495</v>
      </c>
      <c r="P263" s="2" t="s">
        <v>2496</v>
      </c>
      <c r="Q263" s="1" t="s">
        <v>1693</v>
      </c>
      <c r="R263" s="1" t="s">
        <v>2497</v>
      </c>
      <c r="S263" s="1"/>
      <c r="T263" s="1"/>
      <c r="U263" s="1"/>
      <c r="V263" s="1" t="s">
        <v>2498</v>
      </c>
      <c r="W263" s="1"/>
      <c r="X263" s="1"/>
      <c r="Y263" s="1"/>
      <c r="Z263" s="1"/>
      <c r="AA263" s="1"/>
      <c r="AB263" s="1"/>
      <c r="AC263" s="1"/>
      <c r="AD263" s="1"/>
      <c r="AE263" s="1"/>
      <c r="AF263" s="1"/>
      <c r="AG263" s="1"/>
      <c r="AH263" s="1"/>
      <c r="AI263" s="1"/>
      <c r="AJ263" s="1"/>
      <c r="AK263" s="1"/>
      <c r="AL263" s="1"/>
      <c r="AM263" s="1"/>
      <c r="AN263" s="1"/>
      <c r="AO263" s="1" t="s">
        <v>2499</v>
      </c>
      <c r="AP263" s="1"/>
      <c r="AQ263" s="1" t="s">
        <v>2500</v>
      </c>
      <c r="AR263" s="1"/>
      <c r="AS263" s="1"/>
      <c r="AT263" s="1"/>
      <c r="AU263" s="3">
        <v>1999</v>
      </c>
      <c r="AV263" s="2"/>
      <c r="AW263" s="2"/>
      <c r="AX263" s="2"/>
      <c r="AY263" s="2"/>
      <c r="AZ263" s="1"/>
      <c r="BA263" s="2"/>
      <c r="BB263" s="3">
        <v>709</v>
      </c>
      <c r="BC263" s="3">
        <v>719</v>
      </c>
      <c r="BD263" s="2"/>
      <c r="BE263" s="1"/>
      <c r="BF263" s="1"/>
      <c r="BG263" s="1"/>
      <c r="BH263" s="1"/>
      <c r="BI263" s="1"/>
      <c r="BJ263" s="1"/>
      <c r="BK263" s="1"/>
      <c r="BL263" s="1"/>
      <c r="BM263" s="1"/>
      <c r="BN263" s="2"/>
      <c r="BO263" s="1"/>
      <c r="BP263" s="1"/>
      <c r="BQ263" s="1"/>
      <c r="BR263" s="1"/>
      <c r="BS263" s="1" t="s">
        <v>2501</v>
      </c>
      <c r="BT263" s="5">
        <f>HYPERLINK("https%3A%2F%2Fwww.webofscience.com%2Fwos%2Fwoscc%2Ffull-record%2FWOS:000080238500058","View Full Record in Web of Science")</f>
      </c>
    </row>
    <row x14ac:dyDescent="0.25" r="264" customHeight="1" ht="12.75">
      <c r="A264" s="1" t="s">
        <v>72</v>
      </c>
      <c r="B264" s="1" t="s">
        <v>2502</v>
      </c>
      <c r="C264" s="1"/>
      <c r="D264" s="1"/>
      <c r="E264" s="1"/>
      <c r="F264" s="1" t="s">
        <v>2502</v>
      </c>
      <c r="G264" s="1"/>
      <c r="H264" s="1"/>
      <c r="I264" s="1" t="s">
        <v>2503</v>
      </c>
      <c r="J264" s="1" t="s">
        <v>897</v>
      </c>
      <c r="K264" s="1"/>
      <c r="L264" s="1"/>
      <c r="M264" s="1"/>
      <c r="N264" s="1"/>
      <c r="O264" s="1"/>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t="s">
        <v>900</v>
      </c>
      <c r="AP264" s="1"/>
      <c r="AQ264" s="1"/>
      <c r="AR264" s="1"/>
      <c r="AS264" s="1"/>
      <c r="AT264" s="1" t="s">
        <v>605</v>
      </c>
      <c r="AU264" s="3">
        <v>1997</v>
      </c>
      <c r="AV264" s="3">
        <v>42</v>
      </c>
      <c r="AW264" s="3">
        <v>1</v>
      </c>
      <c r="AX264" s="2"/>
      <c r="AY264" s="2"/>
      <c r="AZ264" s="1"/>
      <c r="BA264" s="2"/>
      <c r="BB264" s="3">
        <v>113</v>
      </c>
      <c r="BC264" s="3">
        <v>134</v>
      </c>
      <c r="BD264" s="2"/>
      <c r="BE264" s="1"/>
      <c r="BF264" s="1"/>
      <c r="BG264" s="1"/>
      <c r="BH264" s="1"/>
      <c r="BI264" s="1"/>
      <c r="BJ264" s="1"/>
      <c r="BK264" s="1"/>
      <c r="BL264" s="1"/>
      <c r="BM264" s="1"/>
      <c r="BN264" s="2"/>
      <c r="BO264" s="1"/>
      <c r="BP264" s="1"/>
      <c r="BQ264" s="1"/>
      <c r="BR264" s="1"/>
      <c r="BS264" s="1" t="s">
        <v>2504</v>
      </c>
      <c r="BT264" s="5">
        <f>HYPERLINK("https%3A%2F%2Fwww.webofscience.com%2Fwos%2Fwoscc%2Ffull-record%2FWOS:A1997WR46900014","View Full Record in Web of Science")</f>
      </c>
    </row>
    <row x14ac:dyDescent="0.25" r="265" customHeight="1" ht="12.75">
      <c r="A265" s="1" t="s">
        <v>72</v>
      </c>
      <c r="B265" s="1" t="s">
        <v>2505</v>
      </c>
      <c r="C265" s="1"/>
      <c r="D265" s="1"/>
      <c r="E265" s="1"/>
      <c r="F265" s="1" t="s">
        <v>2505</v>
      </c>
      <c r="G265" s="1"/>
      <c r="H265" s="1"/>
      <c r="I265" s="1" t="s">
        <v>2506</v>
      </c>
      <c r="J265" s="1" t="s">
        <v>2507</v>
      </c>
      <c r="K265" s="1"/>
      <c r="L265" s="1"/>
      <c r="M265" s="1"/>
      <c r="N265" s="1"/>
      <c r="O265" s="1"/>
      <c r="P265" s="2"/>
      <c r="Q265" s="1"/>
      <c r="R265" s="1"/>
      <c r="S265" s="1"/>
      <c r="T265" s="1"/>
      <c r="U265" s="1"/>
      <c r="V265" s="1" t="s">
        <v>2508</v>
      </c>
      <c r="W265" s="1"/>
      <c r="X265" s="1"/>
      <c r="Y265" s="1"/>
      <c r="Z265" s="1"/>
      <c r="AA265" s="1"/>
      <c r="AB265" s="1"/>
      <c r="AC265" s="1"/>
      <c r="AD265" s="1"/>
      <c r="AE265" s="1"/>
      <c r="AF265" s="1"/>
      <c r="AG265" s="1"/>
      <c r="AH265" s="1"/>
      <c r="AI265" s="1"/>
      <c r="AJ265" s="1"/>
      <c r="AK265" s="1"/>
      <c r="AL265" s="1"/>
      <c r="AM265" s="1"/>
      <c r="AN265" s="1"/>
      <c r="AO265" s="1" t="s">
        <v>2509</v>
      </c>
      <c r="AP265" s="1"/>
      <c r="AQ265" s="1"/>
      <c r="AR265" s="1"/>
      <c r="AS265" s="1"/>
      <c r="AT265" s="1"/>
      <c r="AU265" s="3">
        <v>1997</v>
      </c>
      <c r="AV265" s="3">
        <v>56</v>
      </c>
      <c r="AW265" s="3">
        <v>2</v>
      </c>
      <c r="AX265" s="2"/>
      <c r="AY265" s="2"/>
      <c r="AZ265" s="1"/>
      <c r="BA265" s="2"/>
      <c r="BB265" s="3">
        <v>145</v>
      </c>
      <c r="BC265" s="3">
        <v>162</v>
      </c>
      <c r="BD265" s="2"/>
      <c r="BE265" s="1" t="s">
        <v>2510</v>
      </c>
      <c r="BF265" s="4">
        <f>HYPERLINK("http://dx.doi.org/10.1080/00949659708811785","http://dx.doi.org/10.1080/00949659708811785")</f>
      </c>
      <c r="BG265" s="1"/>
      <c r="BH265" s="1"/>
      <c r="BI265" s="1"/>
      <c r="BJ265" s="1"/>
      <c r="BK265" s="1"/>
      <c r="BL265" s="1"/>
      <c r="BM265" s="1"/>
      <c r="BN265" s="2"/>
      <c r="BO265" s="1"/>
      <c r="BP265" s="1"/>
      <c r="BQ265" s="1"/>
      <c r="BR265" s="1"/>
      <c r="BS265" s="1" t="s">
        <v>2511</v>
      </c>
      <c r="BT265" s="5">
        <f>HYPERLINK("https%3A%2F%2Fwww.webofscience.com%2Fwos%2Fwoscc%2Ffull-record%2FWOS:A1997WK36500003","View Full Record in Web of Science")</f>
      </c>
    </row>
    <row x14ac:dyDescent="0.25" r="266" customHeight="1" ht="12.75">
      <c r="A266" s="1" t="s">
        <v>72</v>
      </c>
      <c r="B266" s="1" t="s">
        <v>2512</v>
      </c>
      <c r="C266" s="1"/>
      <c r="D266" s="1"/>
      <c r="E266" s="1"/>
      <c r="F266" s="1" t="s">
        <v>2512</v>
      </c>
      <c r="G266" s="1"/>
      <c r="H266" s="1"/>
      <c r="I266" s="1" t="s">
        <v>2513</v>
      </c>
      <c r="J266" s="1" t="s">
        <v>2514</v>
      </c>
      <c r="K266" s="1"/>
      <c r="L266" s="1"/>
      <c r="M266" s="1"/>
      <c r="N266" s="1"/>
      <c r="O266" s="1" t="s">
        <v>2515</v>
      </c>
      <c r="P266" s="2" t="s">
        <v>2516</v>
      </c>
      <c r="Q266" s="1" t="s">
        <v>2517</v>
      </c>
      <c r="R266" s="1"/>
      <c r="S266" s="1"/>
      <c r="T266" s="1"/>
      <c r="U266" s="1"/>
      <c r="V266" s="1" t="s">
        <v>2518</v>
      </c>
      <c r="W266" s="1"/>
      <c r="X266" s="1"/>
      <c r="Y266" s="1"/>
      <c r="Z266" s="1"/>
      <c r="AA266" s="1"/>
      <c r="AB266" s="1"/>
      <c r="AC266" s="1"/>
      <c r="AD266" s="1"/>
      <c r="AE266" s="1"/>
      <c r="AF266" s="1"/>
      <c r="AG266" s="1"/>
      <c r="AH266" s="1"/>
      <c r="AI266" s="1"/>
      <c r="AJ266" s="1"/>
      <c r="AK266" s="1"/>
      <c r="AL266" s="1"/>
      <c r="AM266" s="1"/>
      <c r="AN266" s="1"/>
      <c r="AO266" s="1" t="s">
        <v>2519</v>
      </c>
      <c r="AP266" s="1" t="s">
        <v>2520</v>
      </c>
      <c r="AQ266" s="1"/>
      <c r="AR266" s="1"/>
      <c r="AS266" s="1"/>
      <c r="AT266" s="1" t="s">
        <v>605</v>
      </c>
      <c r="AU266" s="3">
        <v>1996</v>
      </c>
      <c r="AV266" s="2"/>
      <c r="AW266" s="2"/>
      <c r="AX266" s="2"/>
      <c r="AY266" s="3">
        <v>47</v>
      </c>
      <c r="AZ266" s="1"/>
      <c r="BA266" s="2"/>
      <c r="BB266" s="3">
        <v>713</v>
      </c>
      <c r="BC266" s="3">
        <v>716</v>
      </c>
      <c r="BD266" s="2"/>
      <c r="BE266" s="1" t="s">
        <v>2521</v>
      </c>
      <c r="BF266" s="4">
        <f>HYPERLINK("http://dx.doi.org/10.1016/0920-5632(96)00157-0","http://dx.doi.org/10.1016/0920-5632(96)00157-0")</f>
      </c>
      <c r="BG266" s="1"/>
      <c r="BH266" s="1"/>
      <c r="BI266" s="1"/>
      <c r="BJ266" s="1"/>
      <c r="BK266" s="1"/>
      <c r="BL266" s="1"/>
      <c r="BM266" s="1"/>
      <c r="BN266" s="2"/>
      <c r="BO266" s="1"/>
      <c r="BP266" s="1"/>
      <c r="BQ266" s="1"/>
      <c r="BR266" s="1"/>
      <c r="BS266" s="1" t="s">
        <v>2522</v>
      </c>
      <c r="BT266" s="5">
        <f>HYPERLINK("https%3A%2F%2Fwww.webofscience.com%2Fwos%2Fwoscc%2Ffull-record%2FWOS:A1996UK87300126","View Full Record in Web of Science")</f>
      </c>
    </row>
    <row x14ac:dyDescent="0.25" r="267" customHeight="1" ht="12.75">
      <c r="A267" s="1" t="s">
        <v>72</v>
      </c>
      <c r="B267" s="1" t="s">
        <v>2523</v>
      </c>
      <c r="C267" s="1"/>
      <c r="D267" s="1"/>
      <c r="E267" s="1"/>
      <c r="F267" s="1" t="s">
        <v>2523</v>
      </c>
      <c r="G267" s="1"/>
      <c r="H267" s="1"/>
      <c r="I267" s="1" t="s">
        <v>2524</v>
      </c>
      <c r="J267" s="1" t="s">
        <v>2525</v>
      </c>
      <c r="K267" s="1"/>
      <c r="L267" s="1"/>
      <c r="M267" s="1"/>
      <c r="N267" s="1"/>
      <c r="O267" s="1"/>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t="s">
        <v>2526</v>
      </c>
      <c r="AP267" s="1" t="s">
        <v>2527</v>
      </c>
      <c r="AQ267" s="1"/>
      <c r="AR267" s="1"/>
      <c r="AS267" s="1"/>
      <c r="AT267" s="1"/>
      <c r="AU267" s="3">
        <v>1991</v>
      </c>
      <c r="AV267" s="3">
        <v>16</v>
      </c>
      <c r="AW267" s="3">
        <v>3</v>
      </c>
      <c r="AX267" s="2"/>
      <c r="AY267" s="2"/>
      <c r="AZ267" s="1"/>
      <c r="BA267" s="2"/>
      <c r="BB267" s="3">
        <v>315</v>
      </c>
      <c r="BC267" s="3">
        <v>329</v>
      </c>
      <c r="BD267" s="2"/>
      <c r="BE267" s="1" t="s">
        <v>2528</v>
      </c>
      <c r="BF267" s="4">
        <f>HYPERLINK("http://dx.doi.org/10.1177/036319909101600307","http://dx.doi.org/10.1177/036319909101600307")</f>
      </c>
      <c r="BG267" s="1"/>
      <c r="BH267" s="1"/>
      <c r="BI267" s="1"/>
      <c r="BJ267" s="1"/>
      <c r="BK267" s="1"/>
      <c r="BL267" s="1"/>
      <c r="BM267" s="1"/>
      <c r="BN267" s="3">
        <v>11612781</v>
      </c>
      <c r="BO267" s="1"/>
      <c r="BP267" s="1"/>
      <c r="BQ267" s="1"/>
      <c r="BR267" s="1"/>
      <c r="BS267" s="1" t="s">
        <v>2529</v>
      </c>
      <c r="BT267" s="5">
        <f>HYPERLINK("https%3A%2F%2Fwww.webofscience.com%2Fwos%2Fwoscc%2Ffull-record%2FWOS:A1991GB98500007","View Full Record in Web of Science")</f>
      </c>
    </row>
    <row x14ac:dyDescent="0.25" r="268" customHeight="1" ht="12.75">
      <c r="A268" s="1" t="s">
        <v>72</v>
      </c>
      <c r="B268" s="1" t="s">
        <v>2530</v>
      </c>
      <c r="C268" s="1"/>
      <c r="D268" s="1"/>
      <c r="E268" s="1"/>
      <c r="F268" s="1" t="s">
        <v>2530</v>
      </c>
      <c r="G268" s="1"/>
      <c r="H268" s="1"/>
      <c r="I268" s="1" t="s">
        <v>2531</v>
      </c>
      <c r="J268" s="1" t="s">
        <v>2532</v>
      </c>
      <c r="K268" s="1"/>
      <c r="L268" s="1"/>
      <c r="M268" s="1"/>
      <c r="N268" s="1"/>
      <c r="O268" s="1"/>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t="s">
        <v>2533</v>
      </c>
      <c r="AP268" s="1"/>
      <c r="AQ268" s="1"/>
      <c r="AR268" s="1"/>
      <c r="AS268" s="1"/>
      <c r="AT268" s="1"/>
      <c r="AU268" s="3">
        <v>1990</v>
      </c>
      <c r="AV268" s="3">
        <v>10</v>
      </c>
      <c r="AW268" s="3">
        <v>3</v>
      </c>
      <c r="AX268" s="2"/>
      <c r="AY268" s="2"/>
      <c r="AZ268" s="1"/>
      <c r="BA268" s="2"/>
      <c r="BB268" s="3">
        <v>177</v>
      </c>
      <c r="BC268" s="3">
        <v>184</v>
      </c>
      <c r="BD268" s="2"/>
      <c r="BE268" s="1" t="s">
        <v>2534</v>
      </c>
      <c r="BF268" s="4">
        <f>HYPERLINK("http://dx.doi.org/10.3109/10715769009149886","http://dx.doi.org/10.3109/10715769009149886")</f>
      </c>
      <c r="BG268" s="1"/>
      <c r="BH268" s="1"/>
      <c r="BI268" s="1"/>
      <c r="BJ268" s="1"/>
      <c r="BK268" s="1"/>
      <c r="BL268" s="1"/>
      <c r="BM268" s="1"/>
      <c r="BN268" s="3">
        <v>2397921</v>
      </c>
      <c r="BO268" s="1"/>
      <c r="BP268" s="1"/>
      <c r="BQ268" s="1"/>
      <c r="BR268" s="1"/>
      <c r="BS268" s="1" t="s">
        <v>2535</v>
      </c>
      <c r="BT268" s="5">
        <f>HYPERLINK("https%3A%2F%2Fwww.webofscience.com%2Fwos%2Fwoscc%2Ffull-record%2FWOS:A1990DQ90100005","View Full Record in Web of Science")</f>
      </c>
    </row>
    <row x14ac:dyDescent="0.25" r="269" customHeight="1" ht="12.75">
      <c r="A269" s="1" t="s">
        <v>72</v>
      </c>
      <c r="B269" s="1" t="s">
        <v>2536</v>
      </c>
      <c r="C269" s="1"/>
      <c r="D269" s="1"/>
      <c r="E269" s="1"/>
      <c r="F269" s="1" t="s">
        <v>2536</v>
      </c>
      <c r="G269" s="1"/>
      <c r="H269" s="1"/>
      <c r="I269" s="1" t="s">
        <v>2537</v>
      </c>
      <c r="J269" s="1" t="s">
        <v>2538</v>
      </c>
      <c r="K269" s="1"/>
      <c r="L269" s="1"/>
      <c r="M269" s="1"/>
      <c r="N269" s="1"/>
      <c r="O269" s="1"/>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t="s">
        <v>2539</v>
      </c>
      <c r="AP269" s="1"/>
      <c r="AQ269" s="1"/>
      <c r="AR269" s="1"/>
      <c r="AS269" s="1"/>
      <c r="AT269" s="1" t="s">
        <v>2540</v>
      </c>
      <c r="AU269" s="3">
        <v>1989</v>
      </c>
      <c r="AV269" s="3">
        <v>85</v>
      </c>
      <c r="AW269" s="3">
        <v>2</v>
      </c>
      <c r="AX269" s="2"/>
      <c r="AY269" s="2"/>
      <c r="AZ269" s="1"/>
      <c r="BA269" s="2"/>
      <c r="BB269" s="3">
        <v>204</v>
      </c>
      <c r="BC269" s="3">
        <v>208</v>
      </c>
      <c r="BD269" s="2"/>
      <c r="BE269" s="1"/>
      <c r="BF269" s="1"/>
      <c r="BG269" s="1"/>
      <c r="BH269" s="1"/>
      <c r="BI269" s="1"/>
      <c r="BJ269" s="1"/>
      <c r="BK269" s="1"/>
      <c r="BL269" s="1"/>
      <c r="BM269" s="1"/>
      <c r="BN269" s="2"/>
      <c r="BO269" s="1"/>
      <c r="BP269" s="1"/>
      <c r="BQ269" s="1"/>
      <c r="BR269" s="1"/>
      <c r="BS269" s="1" t="s">
        <v>2541</v>
      </c>
      <c r="BT269" s="5">
        <f>HYPERLINK("https%3A%2F%2Fwww.webofscience.com%2Fwos%2Fwoscc%2Ffull-record%2FWOS:A1989AJ63400010","View Full Record in Web of Science")</f>
      </c>
    </row>
    <row x14ac:dyDescent="0.25" r="270" customHeight="1" ht="12.75">
      <c r="A270" s="1" t="s">
        <v>72</v>
      </c>
      <c r="B270" s="1" t="s">
        <v>2542</v>
      </c>
      <c r="C270" s="1"/>
      <c r="D270" s="1"/>
      <c r="E270" s="1"/>
      <c r="F270" s="1" t="s">
        <v>2542</v>
      </c>
      <c r="G270" s="1"/>
      <c r="H270" s="1"/>
      <c r="I270" s="1" t="s">
        <v>2543</v>
      </c>
      <c r="J270" s="1" t="s">
        <v>470</v>
      </c>
      <c r="K270" s="1"/>
      <c r="L270" s="1"/>
      <c r="M270" s="1"/>
      <c r="N270" s="1"/>
      <c r="O270" s="1"/>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t="s">
        <v>474</v>
      </c>
      <c r="AP270" s="1"/>
      <c r="AQ270" s="1"/>
      <c r="AR270" s="1"/>
      <c r="AS270" s="1"/>
      <c r="AT270" s="1"/>
      <c r="AU270" s="3">
        <v>1986</v>
      </c>
      <c r="AV270" s="3">
        <v>4</v>
      </c>
      <c r="AW270" s="3">
        <v>1</v>
      </c>
      <c r="AX270" s="2"/>
      <c r="AY270" s="2"/>
      <c r="AZ270" s="1"/>
      <c r="BA270" s="2"/>
      <c r="BB270" s="3">
        <v>1</v>
      </c>
      <c r="BC270" s="3">
        <v>17</v>
      </c>
      <c r="BD270" s="2"/>
      <c r="BE270" s="1" t="s">
        <v>2544</v>
      </c>
      <c r="BF270" s="4">
        <f>HYPERLINK("http://dx.doi.org/10.1080/07373938608916308","http://dx.doi.org/10.1080/07373938608916308")</f>
      </c>
      <c r="BG270" s="1"/>
      <c r="BH270" s="1"/>
      <c r="BI270" s="1"/>
      <c r="BJ270" s="1"/>
      <c r="BK270" s="1"/>
      <c r="BL270" s="1"/>
      <c r="BM270" s="1"/>
      <c r="BN270" s="2"/>
      <c r="BO270" s="1"/>
      <c r="BP270" s="1"/>
      <c r="BQ270" s="1"/>
      <c r="BR270" s="1"/>
      <c r="BS270" s="1" t="s">
        <v>2545</v>
      </c>
      <c r="BT270" s="5">
        <f>HYPERLINK("https%3A%2F%2Fwww.webofscience.com%2Fwos%2Fwoscc%2Ffull-record%2FWOS:A1986A751200001","View Full Record in Web of Science")</f>
      </c>
    </row>
    <row x14ac:dyDescent="0.25" r="271" customHeight="1" ht="12.75">
      <c r="A271" s="1" t="s">
        <v>72</v>
      </c>
      <c r="B271" s="1" t="s">
        <v>2546</v>
      </c>
      <c r="C271" s="1"/>
      <c r="D271" s="1"/>
      <c r="E271" s="1"/>
      <c r="F271" s="1" t="s">
        <v>2546</v>
      </c>
      <c r="G271" s="1"/>
      <c r="H271" s="1"/>
      <c r="I271" s="1" t="s">
        <v>2547</v>
      </c>
      <c r="J271" s="1" t="s">
        <v>2548</v>
      </c>
      <c r="K271" s="1"/>
      <c r="L271" s="1"/>
      <c r="M271" s="1"/>
      <c r="N271" s="1"/>
      <c r="O271" s="1"/>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t="s">
        <v>2549</v>
      </c>
      <c r="AP271" s="1"/>
      <c r="AQ271" s="1"/>
      <c r="AR271" s="1"/>
      <c r="AS271" s="1"/>
      <c r="AT271" s="1"/>
      <c r="AU271" s="3">
        <v>1984</v>
      </c>
      <c r="AV271" s="3">
        <v>40</v>
      </c>
      <c r="AW271" s="2"/>
      <c r="AX271" s="2"/>
      <c r="AY271" s="2" t="s">
        <v>778</v>
      </c>
      <c r="AZ271" s="1"/>
      <c r="BA271" s="2"/>
      <c r="BB271" s="2" t="s">
        <v>2550</v>
      </c>
      <c r="BC271" s="2" t="s">
        <v>2550</v>
      </c>
      <c r="BD271" s="2"/>
      <c r="BE271" s="1" t="s">
        <v>2551</v>
      </c>
      <c r="BF271" s="4">
        <f>HYPERLINK("http://dx.doi.org/10.1107/S0108767384093090","http://dx.doi.org/10.1107/S0108767384093090")</f>
      </c>
      <c r="BG271" s="1"/>
      <c r="BH271" s="1"/>
      <c r="BI271" s="1"/>
      <c r="BJ271" s="1"/>
      <c r="BK271" s="1"/>
      <c r="BL271" s="1"/>
      <c r="BM271" s="1"/>
      <c r="BN271" s="2"/>
      <c r="BO271" s="1"/>
      <c r="BP271" s="1"/>
      <c r="BQ271" s="1"/>
      <c r="BR271" s="1"/>
      <c r="BS271" s="1" t="s">
        <v>2552</v>
      </c>
      <c r="BT271" s="5">
        <f>HYPERLINK("https%3A%2F%2Fwww.webofscience.com%2Fwos%2Fwoscc%2Ffull-record%2FWOS:A1984TK54500671","View Full Record in Web of Science")</f>
      </c>
    </row>
    <row x14ac:dyDescent="0.25" r="272" customHeight="1" ht="12.75">
      <c r="A272" s="1" t="s">
        <v>72</v>
      </c>
      <c r="B272" s="1" t="s">
        <v>2553</v>
      </c>
      <c r="C272" s="1"/>
      <c r="D272" s="1"/>
      <c r="E272" s="1"/>
      <c r="F272" s="1" t="s">
        <v>2553</v>
      </c>
      <c r="G272" s="1"/>
      <c r="H272" s="1"/>
      <c r="I272" s="1" t="s">
        <v>2554</v>
      </c>
      <c r="J272" s="1" t="s">
        <v>1669</v>
      </c>
      <c r="K272" s="1"/>
      <c r="L272" s="1"/>
      <c r="M272" s="1"/>
      <c r="N272" s="1"/>
      <c r="O272" s="1"/>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t="s">
        <v>1670</v>
      </c>
      <c r="AP272" s="1"/>
      <c r="AQ272" s="1"/>
      <c r="AR272" s="1"/>
      <c r="AS272" s="1"/>
      <c r="AT272" s="1"/>
      <c r="AU272" s="3">
        <v>1983</v>
      </c>
      <c r="AV272" s="3">
        <v>9</v>
      </c>
      <c r="AW272" s="3">
        <v>17</v>
      </c>
      <c r="AX272" s="2"/>
      <c r="AY272" s="2"/>
      <c r="AZ272" s="1"/>
      <c r="BA272" s="2"/>
      <c r="BB272" s="3">
        <v>243</v>
      </c>
      <c r="BC272" s="3">
        <v>244</v>
      </c>
      <c r="BD272" s="2"/>
      <c r="BE272" s="1" t="s">
        <v>2555</v>
      </c>
      <c r="BF272" s="4">
        <f>HYPERLINK("http://dx.doi.org/10.2307/4530100","http://dx.doi.org/10.2307/4530100")</f>
      </c>
      <c r="BG272" s="1"/>
      <c r="BH272" s="1"/>
      <c r="BI272" s="1"/>
      <c r="BJ272" s="1"/>
      <c r="BK272" s="1"/>
      <c r="BL272" s="1"/>
      <c r="BM272" s="1"/>
      <c r="BN272" s="2"/>
      <c r="BO272" s="1"/>
      <c r="BP272" s="1"/>
      <c r="BQ272" s="1"/>
      <c r="BR272" s="1"/>
      <c r="BS272" s="1" t="s">
        <v>2556</v>
      </c>
      <c r="BT272" s="5">
        <f>HYPERLINK("https%3A%2F%2Fwww.webofscience.com%2Fwos%2Fwoscc%2Ffull-record%2FWOS:A1983QT25200016","View Full Record in Web of Science")</f>
      </c>
    </row>
    <row x14ac:dyDescent="0.25" r="273" customHeight="1" ht="12.75">
      <c r="A273" s="1" t="s">
        <v>72</v>
      </c>
      <c r="B273" s="1" t="s">
        <v>2557</v>
      </c>
      <c r="C273" s="1"/>
      <c r="D273" s="1"/>
      <c r="E273" s="1"/>
      <c r="F273" s="1" t="s">
        <v>2557</v>
      </c>
      <c r="G273" s="1"/>
      <c r="H273" s="1"/>
      <c r="I273" s="1" t="s">
        <v>2558</v>
      </c>
      <c r="J273" s="1" t="s">
        <v>2559</v>
      </c>
      <c r="K273" s="1"/>
      <c r="L273" s="1"/>
      <c r="M273" s="1"/>
      <c r="N273" s="1"/>
      <c r="O273" s="1"/>
      <c r="P273" s="2"/>
      <c r="Q273" s="1"/>
      <c r="R273" s="1"/>
      <c r="S273" s="1"/>
      <c r="T273" s="1"/>
      <c r="U273" s="1"/>
      <c r="V273" s="1" t="s">
        <v>2560</v>
      </c>
      <c r="W273" s="1"/>
      <c r="X273" s="1"/>
      <c r="Y273" s="1"/>
      <c r="Z273" s="1"/>
      <c r="AA273" s="1"/>
      <c r="AB273" s="1"/>
      <c r="AC273" s="1"/>
      <c r="AD273" s="1"/>
      <c r="AE273" s="1"/>
      <c r="AF273" s="1"/>
      <c r="AG273" s="1"/>
      <c r="AH273" s="1"/>
      <c r="AI273" s="1"/>
      <c r="AJ273" s="1"/>
      <c r="AK273" s="1"/>
      <c r="AL273" s="1"/>
      <c r="AM273" s="1"/>
      <c r="AN273" s="1"/>
      <c r="AO273" s="1" t="s">
        <v>2561</v>
      </c>
      <c r="AP273" s="1" t="s">
        <v>2562</v>
      </c>
      <c r="AQ273" s="1"/>
      <c r="AR273" s="1"/>
      <c r="AS273" s="1"/>
      <c r="AT273" s="1"/>
      <c r="AU273" s="3">
        <v>1983</v>
      </c>
      <c r="AV273" s="3">
        <v>225</v>
      </c>
      <c r="AW273" s="3">
        <v>1</v>
      </c>
      <c r="AX273" s="2"/>
      <c r="AY273" s="2"/>
      <c r="AZ273" s="1"/>
      <c r="BA273" s="2"/>
      <c r="BB273" s="3">
        <v>338</v>
      </c>
      <c r="BC273" s="3">
        <v>343</v>
      </c>
      <c r="BD273" s="2"/>
      <c r="BE273" s="1" t="s">
        <v>2563</v>
      </c>
      <c r="BF273" s="4">
        <f>HYPERLINK("http://dx.doi.org/10.1016/0003-9861(83)90038-3","http://dx.doi.org/10.1016/0003-9861(83)90038-3")</f>
      </c>
      <c r="BG273" s="1"/>
      <c r="BH273" s="1"/>
      <c r="BI273" s="1"/>
      <c r="BJ273" s="1"/>
      <c r="BK273" s="1"/>
      <c r="BL273" s="1"/>
      <c r="BM273" s="1"/>
      <c r="BN273" s="3">
        <v>6614925</v>
      </c>
      <c r="BO273" s="1"/>
      <c r="BP273" s="1"/>
      <c r="BQ273" s="1"/>
      <c r="BR273" s="1"/>
      <c r="BS273" s="1" t="s">
        <v>2564</v>
      </c>
      <c r="BT273" s="5">
        <f>HYPERLINK("https%3A%2F%2Fwww.webofscience.com%2Fwos%2Fwoscc%2Ffull-record%2FWOS:A1983RD44200038","View Full Record in Web of Science")</f>
      </c>
    </row>
    <row x14ac:dyDescent="0.25" r="274" customHeight="1" ht="12.75">
      <c r="A274" s="1" t="s">
        <v>72</v>
      </c>
      <c r="B274" s="1" t="s">
        <v>2565</v>
      </c>
      <c r="C274" s="1"/>
      <c r="D274" s="1"/>
      <c r="E274" s="1"/>
      <c r="F274" s="1" t="s">
        <v>2565</v>
      </c>
      <c r="G274" s="1"/>
      <c r="H274" s="1"/>
      <c r="I274" s="1" t="s">
        <v>2566</v>
      </c>
      <c r="J274" s="1" t="s">
        <v>925</v>
      </c>
      <c r="K274" s="1"/>
      <c r="L274" s="1"/>
      <c r="M274" s="1"/>
      <c r="N274" s="1"/>
      <c r="O274" s="1"/>
      <c r="P274" s="2"/>
      <c r="Q274" s="1"/>
      <c r="R274" s="1"/>
      <c r="S274" s="1"/>
      <c r="T274" s="1"/>
      <c r="U274" s="1"/>
      <c r="V274" s="1" t="s">
        <v>2567</v>
      </c>
      <c r="W274" s="1"/>
      <c r="X274" s="1"/>
      <c r="Y274" s="1"/>
      <c r="Z274" s="1"/>
      <c r="AA274" s="1"/>
      <c r="AB274" s="1"/>
      <c r="AC274" s="1"/>
      <c r="AD274" s="1"/>
      <c r="AE274" s="1"/>
      <c r="AF274" s="1"/>
      <c r="AG274" s="1"/>
      <c r="AH274" s="1"/>
      <c r="AI274" s="1"/>
      <c r="AJ274" s="1"/>
      <c r="AK274" s="1"/>
      <c r="AL274" s="1"/>
      <c r="AM274" s="1"/>
      <c r="AN274" s="1"/>
      <c r="AO274" s="1" t="s">
        <v>927</v>
      </c>
      <c r="AP274" s="1" t="s">
        <v>928</v>
      </c>
      <c r="AQ274" s="1"/>
      <c r="AR274" s="1"/>
      <c r="AS274" s="1"/>
      <c r="AT274" s="1"/>
      <c r="AU274" s="3">
        <v>1976</v>
      </c>
      <c r="AV274" s="3">
        <v>19</v>
      </c>
      <c r="AW274" s="3">
        <v>5</v>
      </c>
      <c r="AX274" s="2"/>
      <c r="AY274" s="2"/>
      <c r="AZ274" s="1"/>
      <c r="BA274" s="2"/>
      <c r="BB274" s="3">
        <v>317</v>
      </c>
      <c r="BC274" s="3">
        <v>321</v>
      </c>
      <c r="BD274" s="2"/>
      <c r="BE274" s="1" t="s">
        <v>2568</v>
      </c>
      <c r="BF274" s="4">
        <f>HYPERLINK("http://dx.doi.org/10.1515/botm.1976.19.5.317","http://dx.doi.org/10.1515/botm.1976.19.5.317")</f>
      </c>
      <c r="BG274" s="1"/>
      <c r="BH274" s="1"/>
      <c r="BI274" s="1"/>
      <c r="BJ274" s="1"/>
      <c r="BK274" s="1"/>
      <c r="BL274" s="1"/>
      <c r="BM274" s="1"/>
      <c r="BN274" s="2"/>
      <c r="BO274" s="1"/>
      <c r="BP274" s="1"/>
      <c r="BQ274" s="1"/>
      <c r="BR274" s="1"/>
      <c r="BS274" s="1" t="s">
        <v>2569</v>
      </c>
      <c r="BT274" s="5">
        <f>HYPERLINK("https%3A%2F%2Fwww.webofscience.com%2Fwos%2Fwoscc%2Ffull-record%2FWOS:A1976CM64200007","View Full Record in Web of Science")</f>
      </c>
    </row>
    <row x14ac:dyDescent="0.25" r="275" customHeight="1" ht="12.75">
      <c r="A275" s="1" t="s">
        <v>72</v>
      </c>
      <c r="B275" s="1" t="s">
        <v>2570</v>
      </c>
      <c r="C275" s="1"/>
      <c r="D275" s="1"/>
      <c r="E275" s="1"/>
      <c r="F275" s="1" t="s">
        <v>2571</v>
      </c>
      <c r="G275" s="1"/>
      <c r="H275" s="1"/>
      <c r="I275" s="1" t="s">
        <v>2572</v>
      </c>
      <c r="J275" s="1" t="s">
        <v>2573</v>
      </c>
      <c r="K275" s="1"/>
      <c r="L275" s="1"/>
      <c r="M275" s="1"/>
      <c r="N275" s="1"/>
      <c r="O275" s="1"/>
      <c r="P275" s="2"/>
      <c r="Q275" s="1"/>
      <c r="R275" s="1"/>
      <c r="S275" s="1"/>
      <c r="T275" s="1"/>
      <c r="U275" s="1"/>
      <c r="V275" s="1" t="s">
        <v>2574</v>
      </c>
      <c r="W275" s="1"/>
      <c r="X275" s="1"/>
      <c r="Y275" s="1"/>
      <c r="Z275" s="1"/>
      <c r="AA275" s="1"/>
      <c r="AB275" s="1"/>
      <c r="AC275" s="1"/>
      <c r="AD275" s="1"/>
      <c r="AE275" s="1"/>
      <c r="AF275" s="1"/>
      <c r="AG275" s="1"/>
      <c r="AH275" s="1"/>
      <c r="AI275" s="1"/>
      <c r="AJ275" s="1"/>
      <c r="AK275" s="1"/>
      <c r="AL275" s="1"/>
      <c r="AM275" s="1"/>
      <c r="AN275" s="1"/>
      <c r="AO275" s="1"/>
      <c r="AP275" s="1" t="s">
        <v>2575</v>
      </c>
      <c r="AQ275" s="1"/>
      <c r="AR275" s="1"/>
      <c r="AS275" s="1"/>
      <c r="AT275" s="1" t="s">
        <v>2576</v>
      </c>
      <c r="AU275" s="3">
        <v>2025</v>
      </c>
      <c r="AV275" s="3">
        <v>14</v>
      </c>
      <c r="AW275" s="3">
        <v>4</v>
      </c>
      <c r="AX275" s="2"/>
      <c r="AY275" s="2"/>
      <c r="AZ275" s="1"/>
      <c r="BA275" s="2"/>
      <c r="BB275" s="2"/>
      <c r="BC275" s="2"/>
      <c r="BD275" s="3">
        <v>177</v>
      </c>
      <c r="BE275" s="1" t="s">
        <v>2577</v>
      </c>
      <c r="BF275" s="4">
        <f>HYPERLINK("http://dx.doi.org/10.3390/act14040177","http://dx.doi.org/10.3390/act14040177")</f>
      </c>
      <c r="BG275" s="1"/>
      <c r="BH275" s="1"/>
      <c r="BI275" s="1"/>
      <c r="BJ275" s="1"/>
      <c r="BK275" s="1"/>
      <c r="BL275" s="1"/>
      <c r="BM275" s="1"/>
      <c r="BN275" s="2"/>
      <c r="BO275" s="1"/>
      <c r="BP275" s="1"/>
      <c r="BQ275" s="1"/>
      <c r="BR275" s="1"/>
      <c r="BS275" s="1" t="s">
        <v>2578</v>
      </c>
      <c r="BT275" s="5">
        <f>HYPERLINK("https%3A%2F%2Fwww.webofscience.com%2Fwos%2Fwoscc%2Ffull-record%2FWOS:001474646000001","View Full Record in Web of Science")</f>
      </c>
    </row>
    <row x14ac:dyDescent="0.25" r="276" customHeight="1" ht="12.75">
      <c r="A276" s="1" t="s">
        <v>72</v>
      </c>
      <c r="B276" s="1" t="s">
        <v>2579</v>
      </c>
      <c r="C276" s="1"/>
      <c r="D276" s="1"/>
      <c r="E276" s="1"/>
      <c r="F276" s="1" t="s">
        <v>2580</v>
      </c>
      <c r="G276" s="1"/>
      <c r="H276" s="1"/>
      <c r="I276" s="1" t="s">
        <v>2581</v>
      </c>
      <c r="J276" s="1" t="s">
        <v>448</v>
      </c>
      <c r="K276" s="1"/>
      <c r="L276" s="1"/>
      <c r="M276" s="1"/>
      <c r="N276" s="1"/>
      <c r="O276" s="1"/>
      <c r="P276" s="2"/>
      <c r="Q276" s="1"/>
      <c r="R276" s="1"/>
      <c r="S276" s="1"/>
      <c r="T276" s="1"/>
      <c r="U276" s="1"/>
      <c r="V276" s="1" t="s">
        <v>2582</v>
      </c>
      <c r="W276" s="1"/>
      <c r="X276" s="1"/>
      <c r="Y276" s="1"/>
      <c r="Z276" s="1"/>
      <c r="AA276" s="1" t="s">
        <v>2583</v>
      </c>
      <c r="AB276" s="1" t="s">
        <v>2584</v>
      </c>
      <c r="AC276" s="1"/>
      <c r="AD276" s="1"/>
      <c r="AE276" s="1"/>
      <c r="AF276" s="1"/>
      <c r="AG276" s="1"/>
      <c r="AH276" s="1"/>
      <c r="AI276" s="1"/>
      <c r="AJ276" s="1"/>
      <c r="AK276" s="1"/>
      <c r="AL276" s="1"/>
      <c r="AM276" s="1"/>
      <c r="AN276" s="1"/>
      <c r="AO276" s="1" t="s">
        <v>451</v>
      </c>
      <c r="AP276" s="1" t="s">
        <v>452</v>
      </c>
      <c r="AQ276" s="1"/>
      <c r="AR276" s="1"/>
      <c r="AS276" s="1"/>
      <c r="AT276" s="1" t="s">
        <v>2585</v>
      </c>
      <c r="AU276" s="3">
        <v>2025</v>
      </c>
      <c r="AV276" s="2"/>
      <c r="AW276" s="2"/>
      <c r="AX276" s="2"/>
      <c r="AY276" s="2"/>
      <c r="AZ276" s="1"/>
      <c r="BA276" s="2"/>
      <c r="BB276" s="2"/>
      <c r="BC276" s="2"/>
      <c r="BD276" s="2"/>
      <c r="BE276" s="1" t="s">
        <v>2586</v>
      </c>
      <c r="BF276" s="4">
        <f>HYPERLINK("http://dx.doi.org/10.1111/blar.70002","http://dx.doi.org/10.1111/blar.70002")</f>
      </c>
      <c r="BG276" s="1"/>
      <c r="BH276" s="1" t="s">
        <v>2587</v>
      </c>
      <c r="BI276" s="1"/>
      <c r="BJ276" s="1"/>
      <c r="BK276" s="1"/>
      <c r="BL276" s="1"/>
      <c r="BM276" s="1"/>
      <c r="BN276" s="2"/>
      <c r="BO276" s="1"/>
      <c r="BP276" s="1"/>
      <c r="BQ276" s="1"/>
      <c r="BR276" s="1"/>
      <c r="BS276" s="1" t="s">
        <v>2588</v>
      </c>
      <c r="BT276" s="5">
        <f>HYPERLINK("https%3A%2F%2Fwww.webofscience.com%2Fwos%2Fwoscc%2Ffull-record%2FWOS:001437070500001","View Full Record in Web of Science")</f>
      </c>
    </row>
    <row x14ac:dyDescent="0.25" r="277" customHeight="1" ht="12.75">
      <c r="A277" s="1" t="s">
        <v>72</v>
      </c>
      <c r="B277" s="1" t="s">
        <v>2589</v>
      </c>
      <c r="C277" s="1"/>
      <c r="D277" s="1"/>
      <c r="E277" s="1"/>
      <c r="F277" s="1" t="s">
        <v>2590</v>
      </c>
      <c r="G277" s="1"/>
      <c r="H277" s="1"/>
      <c r="I277" s="1" t="s">
        <v>2591</v>
      </c>
      <c r="J277" s="1" t="s">
        <v>2592</v>
      </c>
      <c r="K277" s="1"/>
      <c r="L277" s="1"/>
      <c r="M277" s="1"/>
      <c r="N277" s="1"/>
      <c r="O277" s="1"/>
      <c r="P277" s="2"/>
      <c r="Q277" s="1"/>
      <c r="R277" s="1"/>
      <c r="S277" s="1"/>
      <c r="T277" s="1"/>
      <c r="U277" s="1"/>
      <c r="V277" s="1" t="s">
        <v>2593</v>
      </c>
      <c r="W277" s="1"/>
      <c r="X277" s="1"/>
      <c r="Y277" s="1"/>
      <c r="Z277" s="1"/>
      <c r="AA277" s="1"/>
      <c r="AB277" s="1"/>
      <c r="AC277" s="1"/>
      <c r="AD277" s="1"/>
      <c r="AE277" s="1"/>
      <c r="AF277" s="1"/>
      <c r="AG277" s="1"/>
      <c r="AH277" s="1"/>
      <c r="AI277" s="1"/>
      <c r="AJ277" s="1"/>
      <c r="AK277" s="1"/>
      <c r="AL277" s="1"/>
      <c r="AM277" s="1"/>
      <c r="AN277" s="1"/>
      <c r="AO277" s="1" t="s">
        <v>2594</v>
      </c>
      <c r="AP277" s="1" t="s">
        <v>2595</v>
      </c>
      <c r="AQ277" s="1"/>
      <c r="AR277" s="1"/>
      <c r="AS277" s="1"/>
      <c r="AT277" s="1" t="s">
        <v>1592</v>
      </c>
      <c r="AU277" s="3">
        <v>2024</v>
      </c>
      <c r="AV277" s="3">
        <v>22</v>
      </c>
      <c r="AW277" s="3">
        <v>47</v>
      </c>
      <c r="AX277" s="2"/>
      <c r="AY277" s="2"/>
      <c r="AZ277" s="1"/>
      <c r="BA277" s="2"/>
      <c r="BB277" s="2"/>
      <c r="BC277" s="2"/>
      <c r="BD277" s="2"/>
      <c r="BE277" s="1" t="s">
        <v>2596</v>
      </c>
      <c r="BF277" s="4">
        <f>HYPERLINK("http://dx.doi.org/10.21830/19006586.1209","http://dx.doi.org/10.21830/19006586.1209")</f>
      </c>
      <c r="BG277" s="1"/>
      <c r="BH277" s="1"/>
      <c r="BI277" s="1"/>
      <c r="BJ277" s="1"/>
      <c r="BK277" s="1"/>
      <c r="BL277" s="1"/>
      <c r="BM277" s="1"/>
      <c r="BN277" s="2"/>
      <c r="BO277" s="1"/>
      <c r="BP277" s="1"/>
      <c r="BQ277" s="1"/>
      <c r="BR277" s="1"/>
      <c r="BS277" s="1" t="s">
        <v>2597</v>
      </c>
      <c r="BT277" s="5">
        <f>HYPERLINK("https%3A%2F%2Fwww.webofscience.com%2Fwos%2Fwoscc%2Ffull-record%2FWOS:001415915700013","View Full Record in Web of Science")</f>
      </c>
    </row>
    <row x14ac:dyDescent="0.25" r="278" customHeight="1" ht="12.75">
      <c r="A278" s="1" t="s">
        <v>72</v>
      </c>
      <c r="B278" s="1" t="s">
        <v>2598</v>
      </c>
      <c r="C278" s="1"/>
      <c r="D278" s="1"/>
      <c r="E278" s="1"/>
      <c r="F278" s="1" t="s">
        <v>2599</v>
      </c>
      <c r="G278" s="1"/>
      <c r="H278" s="1"/>
      <c r="I278" s="1" t="s">
        <v>2600</v>
      </c>
      <c r="J278" s="1" t="s">
        <v>2601</v>
      </c>
      <c r="K278" s="1"/>
      <c r="L278" s="1"/>
      <c r="M278" s="1"/>
      <c r="N278" s="1"/>
      <c r="O278" s="1"/>
      <c r="P278" s="2"/>
      <c r="Q278" s="1"/>
      <c r="R278" s="1"/>
      <c r="S278" s="1"/>
      <c r="T278" s="1"/>
      <c r="U278" s="1"/>
      <c r="V278" s="1" t="s">
        <v>2602</v>
      </c>
      <c r="W278" s="1"/>
      <c r="X278" s="1"/>
      <c r="Y278" s="1"/>
      <c r="Z278" s="1"/>
      <c r="AA278" s="1"/>
      <c r="AB278" s="1" t="s">
        <v>2603</v>
      </c>
      <c r="AC278" s="1"/>
      <c r="AD278" s="1"/>
      <c r="AE278" s="1"/>
      <c r="AF278" s="1"/>
      <c r="AG278" s="1"/>
      <c r="AH278" s="1"/>
      <c r="AI278" s="1"/>
      <c r="AJ278" s="1"/>
      <c r="AK278" s="1"/>
      <c r="AL278" s="1"/>
      <c r="AM278" s="1"/>
      <c r="AN278" s="1"/>
      <c r="AO278" s="1" t="s">
        <v>2604</v>
      </c>
      <c r="AP278" s="1" t="s">
        <v>2605</v>
      </c>
      <c r="AQ278" s="1"/>
      <c r="AR278" s="1"/>
      <c r="AS278" s="1"/>
      <c r="AT278" s="1"/>
      <c r="AU278" s="3">
        <v>2024</v>
      </c>
      <c r="AV278" s="3">
        <v>47</v>
      </c>
      <c r="AW278" s="3">
        <v>3</v>
      </c>
      <c r="AX278" s="2"/>
      <c r="AY278" s="2"/>
      <c r="AZ278" s="1"/>
      <c r="BA278" s="2"/>
      <c r="BB278" s="2"/>
      <c r="BC278" s="2"/>
      <c r="BD278" s="2" t="s">
        <v>2606</v>
      </c>
      <c r="BE278" s="1" t="s">
        <v>2607</v>
      </c>
      <c r="BF278" s="4">
        <f>HYPERLINK("http://dx.doi.org/10.1590/0101-3173.2024.v47.n3.e02400217","http://dx.doi.org/10.1590/0101-3173.2024.v47.n3.e02400217")</f>
      </c>
      <c r="BG278" s="1"/>
      <c r="BH278" s="1"/>
      <c r="BI278" s="1"/>
      <c r="BJ278" s="1"/>
      <c r="BK278" s="1"/>
      <c r="BL278" s="1"/>
      <c r="BM278" s="1"/>
      <c r="BN278" s="2"/>
      <c r="BO278" s="1"/>
      <c r="BP278" s="1"/>
      <c r="BQ278" s="1"/>
      <c r="BR278" s="1"/>
      <c r="BS278" s="1" t="s">
        <v>2608</v>
      </c>
      <c r="BT278" s="5">
        <f>HYPERLINK("https%3A%2F%2Fwww.webofscience.com%2Fwos%2Fwoscc%2Ffull-record%2FWOS:001325510800011","View Full Record in Web of Science")</f>
      </c>
    </row>
    <row x14ac:dyDescent="0.25" r="279" customHeight="1" ht="12.75">
      <c r="A279" s="1" t="s">
        <v>72</v>
      </c>
      <c r="B279" s="1" t="s">
        <v>2609</v>
      </c>
      <c r="C279" s="1"/>
      <c r="D279" s="1"/>
      <c r="E279" s="1"/>
      <c r="F279" s="1" t="s">
        <v>2610</v>
      </c>
      <c r="G279" s="1"/>
      <c r="H279" s="1"/>
      <c r="I279" s="1" t="s">
        <v>2611</v>
      </c>
      <c r="J279" s="1" t="s">
        <v>2612</v>
      </c>
      <c r="K279" s="1"/>
      <c r="L279" s="1"/>
      <c r="M279" s="1"/>
      <c r="N279" s="1"/>
      <c r="O279" s="1"/>
      <c r="P279" s="2"/>
      <c r="Q279" s="1"/>
      <c r="R279" s="1"/>
      <c r="S279" s="1"/>
      <c r="T279" s="1"/>
      <c r="U279" s="1"/>
      <c r="V279" s="1" t="s">
        <v>2613</v>
      </c>
      <c r="W279" s="1"/>
      <c r="X279" s="1"/>
      <c r="Y279" s="1"/>
      <c r="Z279" s="1"/>
      <c r="AA279" s="1"/>
      <c r="AB279" s="1"/>
      <c r="AC279" s="1"/>
      <c r="AD279" s="1"/>
      <c r="AE279" s="1"/>
      <c r="AF279" s="1"/>
      <c r="AG279" s="1"/>
      <c r="AH279" s="1"/>
      <c r="AI279" s="1"/>
      <c r="AJ279" s="1"/>
      <c r="AK279" s="1"/>
      <c r="AL279" s="1"/>
      <c r="AM279" s="1"/>
      <c r="AN279" s="1"/>
      <c r="AO279" s="1" t="s">
        <v>2614</v>
      </c>
      <c r="AP279" s="1"/>
      <c r="AQ279" s="1"/>
      <c r="AR279" s="1"/>
      <c r="AS279" s="1"/>
      <c r="AT279" s="1" t="s">
        <v>169</v>
      </c>
      <c r="AU279" s="3">
        <v>2023</v>
      </c>
      <c r="AV279" s="3">
        <v>23</v>
      </c>
      <c r="AW279" s="3">
        <v>3</v>
      </c>
      <c r="AX279" s="2"/>
      <c r="AY279" s="2"/>
      <c r="AZ279" s="1"/>
      <c r="BA279" s="2"/>
      <c r="BB279" s="2"/>
      <c r="BC279" s="2"/>
      <c r="BD279" s="2" t="s">
        <v>2615</v>
      </c>
      <c r="BE279" s="1" t="s">
        <v>2616</v>
      </c>
      <c r="BF279" s="4">
        <f>HYPERLINK("http://dx.doi.org/10.5565/rev/athenea.3386","http://dx.doi.org/10.5565/rev/athenea.3386")</f>
      </c>
      <c r="BG279" s="1"/>
      <c r="BH279" s="1"/>
      <c r="BI279" s="1"/>
      <c r="BJ279" s="1"/>
      <c r="BK279" s="1"/>
      <c r="BL279" s="1"/>
      <c r="BM279" s="1"/>
      <c r="BN279" s="2"/>
      <c r="BO279" s="1"/>
      <c r="BP279" s="1"/>
      <c r="BQ279" s="1"/>
      <c r="BR279" s="1"/>
      <c r="BS279" s="1" t="s">
        <v>2617</v>
      </c>
      <c r="BT279" s="5">
        <f>HYPERLINK("https%3A%2F%2Fwww.webofscience.com%2Fwos%2Fwoscc%2Ffull-record%2FWOS:001086406800005","View Full Record in Web of Science")</f>
      </c>
    </row>
    <row x14ac:dyDescent="0.25" r="280" customHeight="1" ht="12.75">
      <c r="A280" s="1" t="s">
        <v>72</v>
      </c>
      <c r="B280" s="1" t="s">
        <v>2618</v>
      </c>
      <c r="C280" s="1"/>
      <c r="D280" s="1"/>
      <c r="E280" s="1"/>
      <c r="F280" s="1" t="s">
        <v>2619</v>
      </c>
      <c r="G280" s="1"/>
      <c r="H280" s="1"/>
      <c r="I280" s="1" t="s">
        <v>2620</v>
      </c>
      <c r="J280" s="1" t="s">
        <v>2621</v>
      </c>
      <c r="K280" s="1"/>
      <c r="L280" s="1"/>
      <c r="M280" s="1"/>
      <c r="N280" s="1"/>
      <c r="O280" s="1"/>
      <c r="P280" s="2"/>
      <c r="Q280" s="1"/>
      <c r="R280" s="1"/>
      <c r="S280" s="1"/>
      <c r="T280" s="1"/>
      <c r="U280" s="1"/>
      <c r="V280" s="1" t="s">
        <v>2622</v>
      </c>
      <c r="W280" s="1"/>
      <c r="X280" s="1"/>
      <c r="Y280" s="1"/>
      <c r="Z280" s="1"/>
      <c r="AA280" s="1"/>
      <c r="AB280" s="1"/>
      <c r="AC280" s="1"/>
      <c r="AD280" s="1"/>
      <c r="AE280" s="1"/>
      <c r="AF280" s="1"/>
      <c r="AG280" s="1"/>
      <c r="AH280" s="1"/>
      <c r="AI280" s="1"/>
      <c r="AJ280" s="1"/>
      <c r="AK280" s="1"/>
      <c r="AL280" s="1"/>
      <c r="AM280" s="1"/>
      <c r="AN280" s="1"/>
      <c r="AO280" s="1" t="s">
        <v>2623</v>
      </c>
      <c r="AP280" s="1" t="s">
        <v>2624</v>
      </c>
      <c r="AQ280" s="1"/>
      <c r="AR280" s="1"/>
      <c r="AS280" s="1"/>
      <c r="AT280" s="1" t="s">
        <v>158</v>
      </c>
      <c r="AU280" s="3">
        <v>2023</v>
      </c>
      <c r="AV280" s="2"/>
      <c r="AW280" s="3">
        <v>31</v>
      </c>
      <c r="AX280" s="2"/>
      <c r="AY280" s="2"/>
      <c r="AZ280" s="1"/>
      <c r="BA280" s="2"/>
      <c r="BB280" s="3">
        <v>147</v>
      </c>
      <c r="BC280" s="3">
        <v>177</v>
      </c>
      <c r="BD280" s="2"/>
      <c r="BE280" s="1"/>
      <c r="BF280" s="1"/>
      <c r="BG280" s="1"/>
      <c r="BH280" s="1"/>
      <c r="BI280" s="1"/>
      <c r="BJ280" s="1"/>
      <c r="BK280" s="1"/>
      <c r="BL280" s="1"/>
      <c r="BM280" s="1"/>
      <c r="BN280" s="2"/>
      <c r="BO280" s="1"/>
      <c r="BP280" s="1"/>
      <c r="BQ280" s="1"/>
      <c r="BR280" s="1"/>
      <c r="BS280" s="1" t="s">
        <v>2625</v>
      </c>
      <c r="BT280" s="5">
        <f>HYPERLINK("https%3A%2F%2Fwww.webofscience.com%2Fwos%2Fwoscc%2Ffull-record%2FWOS:001108322900006","View Full Record in Web of Science")</f>
      </c>
    </row>
    <row x14ac:dyDescent="0.25" r="281" customHeight="1" ht="12.75">
      <c r="A281" s="1" t="s">
        <v>72</v>
      </c>
      <c r="B281" s="1" t="s">
        <v>2626</v>
      </c>
      <c r="C281" s="1"/>
      <c r="D281" s="1"/>
      <c r="E281" s="1"/>
      <c r="F281" s="1" t="s">
        <v>2627</v>
      </c>
      <c r="G281" s="1"/>
      <c r="H281" s="1"/>
      <c r="I281" s="1" t="s">
        <v>2628</v>
      </c>
      <c r="J281" s="1" t="s">
        <v>2629</v>
      </c>
      <c r="K281" s="1"/>
      <c r="L281" s="1"/>
      <c r="M281" s="1"/>
      <c r="N281" s="1"/>
      <c r="O281" s="1"/>
      <c r="P281" s="2"/>
      <c r="Q281" s="1"/>
      <c r="R281" s="1"/>
      <c r="S281" s="1"/>
      <c r="T281" s="1"/>
      <c r="U281" s="1"/>
      <c r="V281" s="1" t="s">
        <v>2630</v>
      </c>
      <c r="W281" s="1"/>
      <c r="X281" s="1"/>
      <c r="Y281" s="1"/>
      <c r="Z281" s="1"/>
      <c r="AA281" s="1"/>
      <c r="AB281" s="1" t="s">
        <v>2631</v>
      </c>
      <c r="AC281" s="1"/>
      <c r="AD281" s="1"/>
      <c r="AE281" s="1"/>
      <c r="AF281" s="1"/>
      <c r="AG281" s="1"/>
      <c r="AH281" s="1"/>
      <c r="AI281" s="1"/>
      <c r="AJ281" s="1"/>
      <c r="AK281" s="1"/>
      <c r="AL281" s="1"/>
      <c r="AM281" s="1"/>
      <c r="AN281" s="1"/>
      <c r="AO281" s="1"/>
      <c r="AP281" s="1" t="s">
        <v>2632</v>
      </c>
      <c r="AQ281" s="1"/>
      <c r="AR281" s="1"/>
      <c r="AS281" s="1"/>
      <c r="AT281" s="1" t="s">
        <v>2633</v>
      </c>
      <c r="AU281" s="3">
        <v>2023</v>
      </c>
      <c r="AV281" s="3">
        <v>11</v>
      </c>
      <c r="AW281" s="3">
        <v>5</v>
      </c>
      <c r="AX281" s="2"/>
      <c r="AY281" s="2"/>
      <c r="AZ281" s="1"/>
      <c r="BA281" s="2"/>
      <c r="BB281" s="2"/>
      <c r="BC281" s="2"/>
      <c r="BD281" s="3">
        <v>1390</v>
      </c>
      <c r="BE281" s="1" t="s">
        <v>2634</v>
      </c>
      <c r="BF281" s="4">
        <f>HYPERLINK("http://dx.doi.org/10.3390/pr11051390","http://dx.doi.org/10.3390/pr11051390")</f>
      </c>
      <c r="BG281" s="1"/>
      <c r="BH281" s="1"/>
      <c r="BI281" s="1"/>
      <c r="BJ281" s="1"/>
      <c r="BK281" s="1"/>
      <c r="BL281" s="1"/>
      <c r="BM281" s="1"/>
      <c r="BN281" s="2"/>
      <c r="BO281" s="1"/>
      <c r="BP281" s="1"/>
      <c r="BQ281" s="1"/>
      <c r="BR281" s="1"/>
      <c r="BS281" s="1" t="s">
        <v>2635</v>
      </c>
      <c r="BT281" s="5">
        <f>HYPERLINK("https%3A%2F%2Fwww.webofscience.com%2Fwos%2Fwoscc%2Ffull-record%2FWOS:000996552400001","View Full Record in Web of Science")</f>
      </c>
    </row>
    <row x14ac:dyDescent="0.25" r="282" customHeight="1" ht="12.75">
      <c r="A282" s="1" t="s">
        <v>72</v>
      </c>
      <c r="B282" s="1" t="s">
        <v>2636</v>
      </c>
      <c r="C282" s="1"/>
      <c r="D282" s="1"/>
      <c r="E282" s="1"/>
      <c r="F282" s="1" t="s">
        <v>2637</v>
      </c>
      <c r="G282" s="1"/>
      <c r="H282" s="1"/>
      <c r="I282" s="1" t="s">
        <v>2638</v>
      </c>
      <c r="J282" s="1" t="s">
        <v>2639</v>
      </c>
      <c r="K282" s="1"/>
      <c r="L282" s="1"/>
      <c r="M282" s="1"/>
      <c r="N282" s="1"/>
      <c r="O282" s="1"/>
      <c r="P282" s="2"/>
      <c r="Q282" s="1"/>
      <c r="R282" s="1"/>
      <c r="S282" s="1"/>
      <c r="T282" s="1"/>
      <c r="U282" s="1"/>
      <c r="V282" s="1" t="s">
        <v>2640</v>
      </c>
      <c r="W282" s="1"/>
      <c r="X282" s="1"/>
      <c r="Y282" s="1"/>
      <c r="Z282" s="1"/>
      <c r="AA282" s="1" t="s">
        <v>2641</v>
      </c>
      <c r="AB282" s="1"/>
      <c r="AC282" s="1"/>
      <c r="AD282" s="1"/>
      <c r="AE282" s="1"/>
      <c r="AF282" s="1"/>
      <c r="AG282" s="1"/>
      <c r="AH282" s="1"/>
      <c r="AI282" s="1"/>
      <c r="AJ282" s="1"/>
      <c r="AK282" s="1"/>
      <c r="AL282" s="1"/>
      <c r="AM282" s="1"/>
      <c r="AN282" s="1"/>
      <c r="AO282" s="1" t="s">
        <v>2642</v>
      </c>
      <c r="AP282" s="1" t="s">
        <v>2643</v>
      </c>
      <c r="AQ282" s="1"/>
      <c r="AR282" s="1"/>
      <c r="AS282" s="1"/>
      <c r="AT282" s="1" t="s">
        <v>683</v>
      </c>
      <c r="AU282" s="3">
        <v>2023</v>
      </c>
      <c r="AV282" s="3">
        <v>56</v>
      </c>
      <c r="AW282" s="3">
        <v>5</v>
      </c>
      <c r="AX282" s="2"/>
      <c r="AY282" s="2"/>
      <c r="AZ282" s="1"/>
      <c r="BA282" s="2"/>
      <c r="BB282" s="3">
        <v>3611</v>
      </c>
      <c r="BC282" s="3">
        <v>3620</v>
      </c>
      <c r="BD282" s="2"/>
      <c r="BE282" s="1" t="s">
        <v>2644</v>
      </c>
      <c r="BF282" s="4">
        <f>HYPERLINK("http://dx.doi.org/10.1007/s00603-023-03251-0","http://dx.doi.org/10.1007/s00603-023-03251-0")</f>
      </c>
      <c r="BG282" s="1"/>
      <c r="BH282" s="1" t="s">
        <v>2645</v>
      </c>
      <c r="BI282" s="1"/>
      <c r="BJ282" s="1"/>
      <c r="BK282" s="1"/>
      <c r="BL282" s="1"/>
      <c r="BM282" s="1"/>
      <c r="BN282" s="2"/>
      <c r="BO282" s="1"/>
      <c r="BP282" s="1"/>
      <c r="BQ282" s="1"/>
      <c r="BR282" s="1"/>
      <c r="BS282" s="1" t="s">
        <v>2646</v>
      </c>
      <c r="BT282" s="5">
        <f>HYPERLINK("https%3A%2F%2Fwww.webofscience.com%2Fwos%2Fwoscc%2Ffull-record%2FWOS:000926124100001","View Full Record in Web of Science")</f>
      </c>
    </row>
    <row x14ac:dyDescent="0.25" r="283" customHeight="1" ht="12.75">
      <c r="A283" s="1" t="s">
        <v>267</v>
      </c>
      <c r="B283" s="1" t="s">
        <v>2647</v>
      </c>
      <c r="C283" s="1" t="s">
        <v>2648</v>
      </c>
      <c r="D283" s="1"/>
      <c r="E283" s="1"/>
      <c r="F283" s="1" t="s">
        <v>2649</v>
      </c>
      <c r="G283" s="1" t="s">
        <v>2648</v>
      </c>
      <c r="H283" s="1"/>
      <c r="I283" s="1" t="s">
        <v>2650</v>
      </c>
      <c r="J283" s="1" t="s">
        <v>2651</v>
      </c>
      <c r="K283" s="1" t="s">
        <v>2652</v>
      </c>
      <c r="L283" s="1"/>
      <c r="M283" s="1"/>
      <c r="N283" s="1"/>
      <c r="O283" s="1"/>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t="s">
        <v>2653</v>
      </c>
      <c r="AR283" s="1"/>
      <c r="AS283" s="1"/>
      <c r="AT283" s="1"/>
      <c r="AU283" s="3">
        <v>2023</v>
      </c>
      <c r="AV283" s="2"/>
      <c r="AW283" s="2"/>
      <c r="AX283" s="2"/>
      <c r="AY283" s="2"/>
      <c r="AZ283" s="1"/>
      <c r="BA283" s="2"/>
      <c r="BB283" s="3">
        <v>77</v>
      </c>
      <c r="BC283" s="3">
        <v>110</v>
      </c>
      <c r="BD283" s="2"/>
      <c r="BE283" s="1" t="s">
        <v>2654</v>
      </c>
      <c r="BF283" s="4">
        <f>HYPERLINK("http://dx.doi.org/10.4324/9781003355557-6","http://dx.doi.org/10.4324/9781003355557-6")</f>
      </c>
      <c r="BG283" s="1" t="s">
        <v>2655</v>
      </c>
      <c r="BH283" s="1"/>
      <c r="BI283" s="1"/>
      <c r="BJ283" s="1"/>
      <c r="BK283" s="1"/>
      <c r="BL283" s="1"/>
      <c r="BM283" s="1"/>
      <c r="BN283" s="2"/>
      <c r="BO283" s="1"/>
      <c r="BP283" s="1"/>
      <c r="BQ283" s="1"/>
      <c r="BR283" s="1"/>
      <c r="BS283" s="1" t="s">
        <v>2656</v>
      </c>
      <c r="BT283" s="5">
        <f>HYPERLINK("https%3A%2F%2Fwww.webofscience.com%2Fwos%2Fwoscc%2Ffull-record%2FWOS:001198018700004","View Full Record in Web of Science")</f>
      </c>
    </row>
    <row x14ac:dyDescent="0.25" r="284" customHeight="1" ht="12.75">
      <c r="A284" s="1" t="s">
        <v>72</v>
      </c>
      <c r="B284" s="1" t="s">
        <v>2657</v>
      </c>
      <c r="C284" s="1"/>
      <c r="D284" s="1"/>
      <c r="E284" s="1"/>
      <c r="F284" s="1" t="s">
        <v>2658</v>
      </c>
      <c r="G284" s="1"/>
      <c r="H284" s="1"/>
      <c r="I284" s="1" t="s">
        <v>2659</v>
      </c>
      <c r="J284" s="1" t="s">
        <v>2660</v>
      </c>
      <c r="K284" s="1"/>
      <c r="L284" s="1"/>
      <c r="M284" s="1"/>
      <c r="N284" s="1"/>
      <c r="O284" s="1"/>
      <c r="P284" s="2"/>
      <c r="Q284" s="1"/>
      <c r="R284" s="1"/>
      <c r="S284" s="1"/>
      <c r="T284" s="1"/>
      <c r="U284" s="1"/>
      <c r="V284" s="1" t="s">
        <v>2661</v>
      </c>
      <c r="W284" s="1"/>
      <c r="X284" s="1"/>
      <c r="Y284" s="1"/>
      <c r="Z284" s="1"/>
      <c r="AA284" s="1"/>
      <c r="AB284" s="1"/>
      <c r="AC284" s="1"/>
      <c r="AD284" s="1"/>
      <c r="AE284" s="1"/>
      <c r="AF284" s="1"/>
      <c r="AG284" s="1"/>
      <c r="AH284" s="1"/>
      <c r="AI284" s="1"/>
      <c r="AJ284" s="1"/>
      <c r="AK284" s="1"/>
      <c r="AL284" s="1"/>
      <c r="AM284" s="1"/>
      <c r="AN284" s="1"/>
      <c r="AO284" s="1" t="s">
        <v>2662</v>
      </c>
      <c r="AP284" s="1"/>
      <c r="AQ284" s="1"/>
      <c r="AR284" s="1"/>
      <c r="AS284" s="1"/>
      <c r="AT284" s="1"/>
      <c r="AU284" s="3">
        <v>2023</v>
      </c>
      <c r="AV284" s="3">
        <v>11</v>
      </c>
      <c r="AW284" s="3">
        <v>20</v>
      </c>
      <c r="AX284" s="2"/>
      <c r="AY284" s="2"/>
      <c r="AZ284" s="1"/>
      <c r="BA284" s="2"/>
      <c r="BB284" s="3">
        <v>185</v>
      </c>
      <c r="BC284" s="2" t="s">
        <v>1630</v>
      </c>
      <c r="BD284" s="2"/>
      <c r="BE284" s="1" t="s">
        <v>2663</v>
      </c>
      <c r="BF284" s="4">
        <f>HYPERLINK("http://dx.doi.org/10.5195/ct/2023.582","http://dx.doi.org/10.5195/ct/2023.582")</f>
      </c>
      <c r="BG284" s="1"/>
      <c r="BH284" s="1"/>
      <c r="BI284" s="1"/>
      <c r="BJ284" s="1"/>
      <c r="BK284" s="1"/>
      <c r="BL284" s="1"/>
      <c r="BM284" s="1"/>
      <c r="BN284" s="2"/>
      <c r="BO284" s="1"/>
      <c r="BP284" s="1"/>
      <c r="BQ284" s="1"/>
      <c r="BR284" s="1"/>
      <c r="BS284" s="1" t="s">
        <v>2664</v>
      </c>
      <c r="BT284" s="5">
        <f>HYPERLINK("https%3A%2F%2Fwww.webofscience.com%2Fwos%2Fwoscc%2Ffull-record%2FWOS:001044368200006","View Full Record in Web of Science")</f>
      </c>
    </row>
    <row x14ac:dyDescent="0.25" r="285" customHeight="1" ht="12.75">
      <c r="A285" s="1" t="s">
        <v>72</v>
      </c>
      <c r="B285" s="1" t="s">
        <v>2665</v>
      </c>
      <c r="C285" s="1"/>
      <c r="D285" s="1"/>
      <c r="E285" s="1"/>
      <c r="F285" s="1" t="s">
        <v>2666</v>
      </c>
      <c r="G285" s="1"/>
      <c r="H285" s="1"/>
      <c r="I285" s="1" t="s">
        <v>2667</v>
      </c>
      <c r="J285" s="1" t="s">
        <v>2668</v>
      </c>
      <c r="K285" s="1"/>
      <c r="L285" s="1"/>
      <c r="M285" s="1"/>
      <c r="N285" s="1"/>
      <c r="O285" s="1"/>
      <c r="P285" s="2"/>
      <c r="Q285" s="1"/>
      <c r="R285" s="1"/>
      <c r="S285" s="1"/>
      <c r="T285" s="1"/>
      <c r="U285" s="1"/>
      <c r="V285" s="1" t="s">
        <v>2669</v>
      </c>
      <c r="W285" s="1"/>
      <c r="X285" s="1"/>
      <c r="Y285" s="1"/>
      <c r="Z285" s="1"/>
      <c r="AA285" s="1"/>
      <c r="AB285" s="1"/>
      <c r="AC285" s="1"/>
      <c r="AD285" s="1"/>
      <c r="AE285" s="1"/>
      <c r="AF285" s="1"/>
      <c r="AG285" s="1"/>
      <c r="AH285" s="1"/>
      <c r="AI285" s="1"/>
      <c r="AJ285" s="1"/>
      <c r="AK285" s="1"/>
      <c r="AL285" s="1"/>
      <c r="AM285" s="1"/>
      <c r="AN285" s="1"/>
      <c r="AO285" s="1" t="s">
        <v>2670</v>
      </c>
      <c r="AP285" s="1"/>
      <c r="AQ285" s="1"/>
      <c r="AR285" s="1"/>
      <c r="AS285" s="1"/>
      <c r="AT285" s="1" t="s">
        <v>538</v>
      </c>
      <c r="AU285" s="3">
        <v>2023</v>
      </c>
      <c r="AV285" s="2"/>
      <c r="AW285" s="3">
        <v>57</v>
      </c>
      <c r="AX285" s="2"/>
      <c r="AY285" s="2"/>
      <c r="AZ285" s="1"/>
      <c r="BA285" s="2"/>
      <c r="BB285" s="3">
        <v>17</v>
      </c>
      <c r="BC285" s="3">
        <v>36</v>
      </c>
      <c r="BD285" s="2"/>
      <c r="BE285" s="1"/>
      <c r="BF285" s="1"/>
      <c r="BG285" s="1"/>
      <c r="BH285" s="1"/>
      <c r="BI285" s="1"/>
      <c r="BJ285" s="1"/>
      <c r="BK285" s="1"/>
      <c r="BL285" s="1"/>
      <c r="BM285" s="1"/>
      <c r="BN285" s="2"/>
      <c r="BO285" s="1"/>
      <c r="BP285" s="1"/>
      <c r="BQ285" s="1"/>
      <c r="BR285" s="1"/>
      <c r="BS285" s="1" t="s">
        <v>2671</v>
      </c>
      <c r="BT285" s="5">
        <f>HYPERLINK("https%3A%2F%2Fwww.webofscience.com%2Fwos%2Fwoscc%2Ffull-record%2FWOS:000921579100002","View Full Record in Web of Science")</f>
      </c>
    </row>
    <row x14ac:dyDescent="0.25" r="286" customHeight="1" ht="12.75">
      <c r="A286" s="1" t="s">
        <v>72</v>
      </c>
      <c r="B286" s="1" t="s">
        <v>2672</v>
      </c>
      <c r="C286" s="1"/>
      <c r="D286" s="1"/>
      <c r="E286" s="1"/>
      <c r="F286" s="1" t="s">
        <v>2673</v>
      </c>
      <c r="G286" s="1"/>
      <c r="H286" s="1"/>
      <c r="I286" s="1" t="s">
        <v>2674</v>
      </c>
      <c r="J286" s="1" t="s">
        <v>1150</v>
      </c>
      <c r="K286" s="1"/>
      <c r="L286" s="1"/>
      <c r="M286" s="1"/>
      <c r="N286" s="1"/>
      <c r="O286" s="1"/>
      <c r="P286" s="2"/>
      <c r="Q286" s="1"/>
      <c r="R286" s="1"/>
      <c r="S286" s="1"/>
      <c r="T286" s="1"/>
      <c r="U286" s="1"/>
      <c r="V286" s="1" t="s">
        <v>2675</v>
      </c>
      <c r="W286" s="1"/>
      <c r="X286" s="1"/>
      <c r="Y286" s="1"/>
      <c r="Z286" s="1"/>
      <c r="AA286" s="1" t="s">
        <v>2676</v>
      </c>
      <c r="AB286" s="1" t="s">
        <v>2677</v>
      </c>
      <c r="AC286" s="1"/>
      <c r="AD286" s="1"/>
      <c r="AE286" s="1"/>
      <c r="AF286" s="1"/>
      <c r="AG286" s="1"/>
      <c r="AH286" s="1"/>
      <c r="AI286" s="1"/>
      <c r="AJ286" s="1"/>
      <c r="AK286" s="1"/>
      <c r="AL286" s="1"/>
      <c r="AM286" s="1"/>
      <c r="AN286" s="1"/>
      <c r="AO286" s="1"/>
      <c r="AP286" s="1" t="s">
        <v>1153</v>
      </c>
      <c r="AQ286" s="1"/>
      <c r="AR286" s="1"/>
      <c r="AS286" s="1"/>
      <c r="AT286" s="1" t="s">
        <v>431</v>
      </c>
      <c r="AU286" s="3">
        <v>2022</v>
      </c>
      <c r="AV286" s="3">
        <v>22</v>
      </c>
      <c r="AW286" s="3">
        <v>19</v>
      </c>
      <c r="AX286" s="2"/>
      <c r="AY286" s="2"/>
      <c r="AZ286" s="1"/>
      <c r="BA286" s="2"/>
      <c r="BB286" s="2"/>
      <c r="BC286" s="2"/>
      <c r="BD286" s="3">
        <v>7153</v>
      </c>
      <c r="BE286" s="1" t="s">
        <v>2678</v>
      </c>
      <c r="BF286" s="4">
        <f>HYPERLINK("http://dx.doi.org/10.3390/s22197153","http://dx.doi.org/10.3390/s22197153")</f>
      </c>
      <c r="BG286" s="1"/>
      <c r="BH286" s="1"/>
      <c r="BI286" s="1"/>
      <c r="BJ286" s="1"/>
      <c r="BK286" s="1"/>
      <c r="BL286" s="1"/>
      <c r="BM286" s="1"/>
      <c r="BN286" s="3">
        <v>36236257</v>
      </c>
      <c r="BO286" s="1"/>
      <c r="BP286" s="1"/>
      <c r="BQ286" s="1"/>
      <c r="BR286" s="1"/>
      <c r="BS286" s="1" t="s">
        <v>2679</v>
      </c>
      <c r="BT286" s="5">
        <f>HYPERLINK("https%3A%2F%2Fwww.webofscience.com%2Fwos%2Fwoscc%2Ffull-record%2FWOS:000867026400001","View Full Record in Web of Science")</f>
      </c>
    </row>
    <row x14ac:dyDescent="0.25" r="287" customHeight="1" ht="12.75">
      <c r="A287" s="1" t="s">
        <v>72</v>
      </c>
      <c r="B287" s="1" t="s">
        <v>2680</v>
      </c>
      <c r="C287" s="1"/>
      <c r="D287" s="1"/>
      <c r="E287" s="1"/>
      <c r="F287" s="1" t="s">
        <v>2681</v>
      </c>
      <c r="G287" s="1"/>
      <c r="H287" s="1"/>
      <c r="I287" s="1" t="s">
        <v>2682</v>
      </c>
      <c r="J287" s="1" t="s">
        <v>1001</v>
      </c>
      <c r="K287" s="1"/>
      <c r="L287" s="1"/>
      <c r="M287" s="1"/>
      <c r="N287" s="1"/>
      <c r="O287" s="1"/>
      <c r="P287" s="2"/>
      <c r="Q287" s="1"/>
      <c r="R287" s="1"/>
      <c r="S287" s="1"/>
      <c r="T287" s="1"/>
      <c r="U287" s="1"/>
      <c r="V287" s="1" t="s">
        <v>2683</v>
      </c>
      <c r="W287" s="1"/>
      <c r="X287" s="1"/>
      <c r="Y287" s="1"/>
      <c r="Z287" s="1"/>
      <c r="AA287" s="1"/>
      <c r="AB287" s="1"/>
      <c r="AC287" s="1"/>
      <c r="AD287" s="1"/>
      <c r="AE287" s="1"/>
      <c r="AF287" s="1"/>
      <c r="AG287" s="1"/>
      <c r="AH287" s="1"/>
      <c r="AI287" s="1"/>
      <c r="AJ287" s="1"/>
      <c r="AK287" s="1"/>
      <c r="AL287" s="1"/>
      <c r="AM287" s="1"/>
      <c r="AN287" s="1"/>
      <c r="AO287" s="1" t="s">
        <v>1004</v>
      </c>
      <c r="AP287" s="1" t="s">
        <v>1005</v>
      </c>
      <c r="AQ287" s="1"/>
      <c r="AR287" s="1"/>
      <c r="AS287" s="1"/>
      <c r="AT287" s="1" t="s">
        <v>2684</v>
      </c>
      <c r="AU287" s="3">
        <v>2022</v>
      </c>
      <c r="AV287" s="3">
        <v>99</v>
      </c>
      <c r="AW287" s="3">
        <v>5</v>
      </c>
      <c r="AX287" s="2"/>
      <c r="AY287" s="2"/>
      <c r="AZ287" s="1"/>
      <c r="BA287" s="2"/>
      <c r="BB287" s="3">
        <v>885</v>
      </c>
      <c r="BC287" s="3">
        <v>906</v>
      </c>
      <c r="BD287" s="2"/>
      <c r="BE287" s="1" t="s">
        <v>2685</v>
      </c>
      <c r="BF287" s="4">
        <f>HYPERLINK("http://dx.doi.org/10.1080/14753820.2022.2050061","http://dx.doi.org/10.1080/14753820.2022.2050061")</f>
      </c>
      <c r="BG287" s="1"/>
      <c r="BH287" s="1" t="s">
        <v>1103</v>
      </c>
      <c r="BI287" s="1"/>
      <c r="BJ287" s="1"/>
      <c r="BK287" s="1"/>
      <c r="BL287" s="1"/>
      <c r="BM287" s="1"/>
      <c r="BN287" s="2"/>
      <c r="BO287" s="1"/>
      <c r="BP287" s="1"/>
      <c r="BQ287" s="1"/>
      <c r="BR287" s="1"/>
      <c r="BS287" s="1" t="s">
        <v>2686</v>
      </c>
      <c r="BT287" s="5">
        <f>HYPERLINK("https%3A%2F%2Fwww.webofscience.com%2Fwos%2Fwoscc%2Ffull-record%2FWOS:000797432400001","View Full Record in Web of Science")</f>
      </c>
    </row>
    <row x14ac:dyDescent="0.25" r="288" customHeight="1" ht="12.75">
      <c r="A288" s="1" t="s">
        <v>72</v>
      </c>
      <c r="B288" s="1" t="s">
        <v>2687</v>
      </c>
      <c r="C288" s="1"/>
      <c r="D288" s="1"/>
      <c r="E288" s="1"/>
      <c r="F288" s="1" t="s">
        <v>2688</v>
      </c>
      <c r="G288" s="1"/>
      <c r="H288" s="1"/>
      <c r="I288" s="1" t="s">
        <v>2689</v>
      </c>
      <c r="J288" s="1" t="s">
        <v>2690</v>
      </c>
      <c r="K288" s="1"/>
      <c r="L288" s="1"/>
      <c r="M288" s="1"/>
      <c r="N288" s="1"/>
      <c r="O288" s="1"/>
      <c r="P288" s="2"/>
      <c r="Q288" s="1"/>
      <c r="R288" s="1"/>
      <c r="S288" s="1"/>
      <c r="T288" s="1"/>
      <c r="U288" s="1"/>
      <c r="V288" s="1" t="s">
        <v>2691</v>
      </c>
      <c r="W288" s="1"/>
      <c r="X288" s="1"/>
      <c r="Y288" s="1"/>
      <c r="Z288" s="1"/>
      <c r="AA288" s="1" t="s">
        <v>2692</v>
      </c>
      <c r="AB288" s="1"/>
      <c r="AC288" s="1"/>
      <c r="AD288" s="1"/>
      <c r="AE288" s="1"/>
      <c r="AF288" s="1"/>
      <c r="AG288" s="1"/>
      <c r="AH288" s="1"/>
      <c r="AI288" s="1"/>
      <c r="AJ288" s="1"/>
      <c r="AK288" s="1"/>
      <c r="AL288" s="1"/>
      <c r="AM288" s="1"/>
      <c r="AN288" s="1"/>
      <c r="AO288" s="1" t="s">
        <v>2693</v>
      </c>
      <c r="AP288" s="1" t="s">
        <v>2694</v>
      </c>
      <c r="AQ288" s="1"/>
      <c r="AR288" s="1"/>
      <c r="AS288" s="1"/>
      <c r="AT288" s="1" t="s">
        <v>2695</v>
      </c>
      <c r="AU288" s="3">
        <v>2024</v>
      </c>
      <c r="AV288" s="3">
        <v>30</v>
      </c>
      <c r="AW288" s="3">
        <v>2</v>
      </c>
      <c r="AX288" s="2"/>
      <c r="AY288" s="2"/>
      <c r="AZ288" s="1" t="s">
        <v>170</v>
      </c>
      <c r="BA288" s="2"/>
      <c r="BB288" s="3">
        <v>195</v>
      </c>
      <c r="BC288" s="3">
        <v>207</v>
      </c>
      <c r="BD288" s="2"/>
      <c r="BE288" s="1" t="s">
        <v>2696</v>
      </c>
      <c r="BF288" s="4">
        <f>HYPERLINK("http://dx.doi.org/10.1080/13540602.2022.2062718","http://dx.doi.org/10.1080/13540602.2022.2062718")</f>
      </c>
      <c r="BG288" s="1"/>
      <c r="BH288" s="1" t="s">
        <v>2697</v>
      </c>
      <c r="BI288" s="1"/>
      <c r="BJ288" s="1"/>
      <c r="BK288" s="1"/>
      <c r="BL288" s="1"/>
      <c r="BM288" s="1"/>
      <c r="BN288" s="2"/>
      <c r="BO288" s="1"/>
      <c r="BP288" s="1"/>
      <c r="BQ288" s="1"/>
      <c r="BR288" s="1"/>
      <c r="BS288" s="1" t="s">
        <v>2698</v>
      </c>
      <c r="BT288" s="5">
        <f>HYPERLINK("https%3A%2F%2Fwww.webofscience.com%2Fwos%2Fwoscc%2Ffull-record%2FWOS:000781767200001","View Full Record in Web of Science")</f>
      </c>
    </row>
    <row x14ac:dyDescent="0.25" r="289" customHeight="1" ht="12.75">
      <c r="A289" s="1" t="s">
        <v>72</v>
      </c>
      <c r="B289" s="1" t="s">
        <v>2699</v>
      </c>
      <c r="C289" s="1"/>
      <c r="D289" s="1"/>
      <c r="E289" s="1"/>
      <c r="F289" s="1" t="s">
        <v>2700</v>
      </c>
      <c r="G289" s="1"/>
      <c r="H289" s="1"/>
      <c r="I289" s="1" t="s">
        <v>2701</v>
      </c>
      <c r="J289" s="1" t="s">
        <v>1126</v>
      </c>
      <c r="K289" s="1"/>
      <c r="L289" s="1"/>
      <c r="M289" s="1"/>
      <c r="N289" s="1"/>
      <c r="O289" s="1"/>
      <c r="P289" s="2"/>
      <c r="Q289" s="1"/>
      <c r="R289" s="1"/>
      <c r="S289" s="1"/>
      <c r="T289" s="1"/>
      <c r="U289" s="1"/>
      <c r="V289" s="1" t="s">
        <v>2702</v>
      </c>
      <c r="W289" s="1"/>
      <c r="X289" s="1"/>
      <c r="Y289" s="1"/>
      <c r="Z289" s="1"/>
      <c r="AA289" s="1"/>
      <c r="AB289" s="1" t="s">
        <v>2703</v>
      </c>
      <c r="AC289" s="1"/>
      <c r="AD289" s="1"/>
      <c r="AE289" s="1"/>
      <c r="AF289" s="1"/>
      <c r="AG289" s="1"/>
      <c r="AH289" s="1"/>
      <c r="AI289" s="1"/>
      <c r="AJ289" s="1"/>
      <c r="AK289" s="1"/>
      <c r="AL289" s="1"/>
      <c r="AM289" s="1"/>
      <c r="AN289" s="1"/>
      <c r="AO289" s="1" t="s">
        <v>1130</v>
      </c>
      <c r="AP289" s="1"/>
      <c r="AQ289" s="1"/>
      <c r="AR289" s="1"/>
      <c r="AS289" s="1"/>
      <c r="AT289" s="1"/>
      <c r="AU289" s="3">
        <v>2022</v>
      </c>
      <c r="AV289" s="3">
        <v>27</v>
      </c>
      <c r="AW289" s="3">
        <v>2</v>
      </c>
      <c r="AX289" s="2"/>
      <c r="AY289" s="2"/>
      <c r="AZ289" s="1"/>
      <c r="BA289" s="2"/>
      <c r="BB289" s="2"/>
      <c r="BC289" s="2"/>
      <c r="BD289" s="2" t="s">
        <v>2704</v>
      </c>
      <c r="BE289" s="1" t="s">
        <v>2705</v>
      </c>
      <c r="BF289" s="4">
        <f>HYPERLINK("http://dx.doi.org/10.1590/1517-7076-RMAT-2022-48310","http://dx.doi.org/10.1590/1517-7076-RMAT-2022-48310")</f>
      </c>
      <c r="BG289" s="1"/>
      <c r="BH289" s="1"/>
      <c r="BI289" s="1"/>
      <c r="BJ289" s="1"/>
      <c r="BK289" s="1"/>
      <c r="BL289" s="1"/>
      <c r="BM289" s="1"/>
      <c r="BN289" s="2"/>
      <c r="BO289" s="1"/>
      <c r="BP289" s="1"/>
      <c r="BQ289" s="1"/>
      <c r="BR289" s="1"/>
      <c r="BS289" s="1" t="s">
        <v>2706</v>
      </c>
      <c r="BT289" s="5">
        <f>HYPERLINK("https%3A%2F%2Fwww.webofscience.com%2Fwos%2Fwoscc%2Ffull-record%2FWOS:000817809700001","View Full Record in Web of Science")</f>
      </c>
    </row>
    <row x14ac:dyDescent="0.25" r="290" customHeight="1" ht="12.75">
      <c r="A290" s="1" t="s">
        <v>72</v>
      </c>
      <c r="B290" s="1" t="s">
        <v>2707</v>
      </c>
      <c r="C290" s="1"/>
      <c r="D290" s="1"/>
      <c r="E290" s="1"/>
      <c r="F290" s="1" t="s">
        <v>2708</v>
      </c>
      <c r="G290" s="1"/>
      <c r="H290" s="1"/>
      <c r="I290" s="1" t="s">
        <v>2709</v>
      </c>
      <c r="J290" s="1" t="s">
        <v>2710</v>
      </c>
      <c r="K290" s="1"/>
      <c r="L290" s="1"/>
      <c r="M290" s="1"/>
      <c r="N290" s="1"/>
      <c r="O290" s="1"/>
      <c r="P290" s="2"/>
      <c r="Q290" s="1"/>
      <c r="R290" s="1"/>
      <c r="S290" s="1"/>
      <c r="T290" s="1"/>
      <c r="U290" s="1"/>
      <c r="V290" s="1" t="s">
        <v>2711</v>
      </c>
      <c r="W290" s="1"/>
      <c r="X290" s="1"/>
      <c r="Y290" s="1"/>
      <c r="Z290" s="1"/>
      <c r="AA290" s="1"/>
      <c r="AB290" s="1" t="s">
        <v>2712</v>
      </c>
      <c r="AC290" s="1"/>
      <c r="AD290" s="1"/>
      <c r="AE290" s="1"/>
      <c r="AF290" s="1"/>
      <c r="AG290" s="1"/>
      <c r="AH290" s="1"/>
      <c r="AI290" s="1"/>
      <c r="AJ290" s="1"/>
      <c r="AK290" s="1"/>
      <c r="AL290" s="1"/>
      <c r="AM290" s="1"/>
      <c r="AN290" s="1"/>
      <c r="AO290" s="1" t="s">
        <v>2713</v>
      </c>
      <c r="AP290" s="1" t="s">
        <v>2714</v>
      </c>
      <c r="AQ290" s="1"/>
      <c r="AR290" s="1"/>
      <c r="AS290" s="1"/>
      <c r="AT290" s="1"/>
      <c r="AU290" s="3">
        <v>2022</v>
      </c>
      <c r="AV290" s="2"/>
      <c r="AW290" s="3">
        <v>129</v>
      </c>
      <c r="AX290" s="2"/>
      <c r="AY290" s="2"/>
      <c r="AZ290" s="1"/>
      <c r="BA290" s="2"/>
      <c r="BB290" s="3">
        <v>177</v>
      </c>
      <c r="BC290" s="3">
        <v>202</v>
      </c>
      <c r="BD290" s="2"/>
      <c r="BE290" s="1" t="s">
        <v>2715</v>
      </c>
      <c r="BF290" s="4">
        <f>HYPERLINK("http://dx.doi.org/10.4000/rccs.14048","http://dx.doi.org/10.4000/rccs.14048")</f>
      </c>
      <c r="BG290" s="1"/>
      <c r="BH290" s="1"/>
      <c r="BI290" s="1"/>
      <c r="BJ290" s="1"/>
      <c r="BK290" s="1"/>
      <c r="BL290" s="1"/>
      <c r="BM290" s="1"/>
      <c r="BN290" s="2"/>
      <c r="BO290" s="1"/>
      <c r="BP290" s="1"/>
      <c r="BQ290" s="1"/>
      <c r="BR290" s="1"/>
      <c r="BS290" s="1" t="s">
        <v>2716</v>
      </c>
      <c r="BT290" s="5">
        <f>HYPERLINK("https%3A%2F%2Fwww.webofscience.com%2Fwos%2Fwoscc%2Ffull-record%2FWOS:000967014200009","View Full Record in Web of Science")</f>
      </c>
    </row>
    <row x14ac:dyDescent="0.25" r="291" customHeight="1" ht="12.75">
      <c r="A291" s="1" t="s">
        <v>72</v>
      </c>
      <c r="B291" s="1" t="s">
        <v>2717</v>
      </c>
      <c r="C291" s="1"/>
      <c r="D291" s="1"/>
      <c r="E291" s="1"/>
      <c r="F291" s="1" t="s">
        <v>2718</v>
      </c>
      <c r="G291" s="1"/>
      <c r="H291" s="1"/>
      <c r="I291" s="1" t="s">
        <v>2719</v>
      </c>
      <c r="J291" s="1" t="s">
        <v>2720</v>
      </c>
      <c r="K291" s="1"/>
      <c r="L291" s="1"/>
      <c r="M291" s="1"/>
      <c r="N291" s="1"/>
      <c r="O291" s="1"/>
      <c r="P291" s="2"/>
      <c r="Q291" s="1"/>
      <c r="R291" s="1"/>
      <c r="S291" s="1"/>
      <c r="T291" s="1"/>
      <c r="U291" s="1"/>
      <c r="V291" s="1" t="s">
        <v>2721</v>
      </c>
      <c r="W291" s="1"/>
      <c r="X291" s="1"/>
      <c r="Y291" s="1"/>
      <c r="Z291" s="1"/>
      <c r="AA291" s="1" t="s">
        <v>2722</v>
      </c>
      <c r="AB291" s="1" t="s">
        <v>2723</v>
      </c>
      <c r="AC291" s="1"/>
      <c r="AD291" s="1"/>
      <c r="AE291" s="1"/>
      <c r="AF291" s="1"/>
      <c r="AG291" s="1"/>
      <c r="AH291" s="1"/>
      <c r="AI291" s="1"/>
      <c r="AJ291" s="1"/>
      <c r="AK291" s="1"/>
      <c r="AL291" s="1"/>
      <c r="AM291" s="1"/>
      <c r="AN291" s="1"/>
      <c r="AO291" s="1" t="s">
        <v>2724</v>
      </c>
      <c r="AP291" s="1"/>
      <c r="AQ291" s="1"/>
      <c r="AR291" s="1"/>
      <c r="AS291" s="1"/>
      <c r="AT291" s="1" t="s">
        <v>169</v>
      </c>
      <c r="AU291" s="3">
        <v>2021</v>
      </c>
      <c r="AV291" s="3">
        <v>5</v>
      </c>
      <c r="AW291" s="3">
        <v>5</v>
      </c>
      <c r="AX291" s="2"/>
      <c r="AY291" s="2"/>
      <c r="AZ291" s="1"/>
      <c r="BA291" s="2"/>
      <c r="BB291" s="3">
        <v>1561</v>
      </c>
      <c r="BC291" s="3">
        <v>1566</v>
      </c>
      <c r="BD291" s="2"/>
      <c r="BE291" s="1" t="s">
        <v>2725</v>
      </c>
      <c r="BF291" s="4">
        <f>HYPERLINK("http://dx.doi.org/10.1109/LCSYS.2020.3041097","http://dx.doi.org/10.1109/LCSYS.2020.3041097")</f>
      </c>
      <c r="BG291" s="1"/>
      <c r="BH291" s="1"/>
      <c r="BI291" s="1"/>
      <c r="BJ291" s="1"/>
      <c r="BK291" s="1"/>
      <c r="BL291" s="1"/>
      <c r="BM291" s="1"/>
      <c r="BN291" s="2"/>
      <c r="BO291" s="1"/>
      <c r="BP291" s="1"/>
      <c r="BQ291" s="1"/>
      <c r="BR291" s="1"/>
      <c r="BS291" s="1" t="s">
        <v>2726</v>
      </c>
      <c r="BT291" s="5">
        <f>HYPERLINK("https%3A%2F%2Fwww.webofscience.com%2Fwos%2Fwoscc%2Ffull-record%2FWOS:000603610500013","View Full Record in Web of Science")</f>
      </c>
    </row>
    <row x14ac:dyDescent="0.25" r="292" customHeight="1" ht="12.75">
      <c r="A292" s="1" t="s">
        <v>72</v>
      </c>
      <c r="B292" s="1" t="s">
        <v>2166</v>
      </c>
      <c r="C292" s="1"/>
      <c r="D292" s="1"/>
      <c r="E292" s="1"/>
      <c r="F292" s="1" t="s">
        <v>2167</v>
      </c>
      <c r="G292" s="1"/>
      <c r="H292" s="1"/>
      <c r="I292" s="1" t="s">
        <v>2727</v>
      </c>
      <c r="J292" s="1" t="s">
        <v>2728</v>
      </c>
      <c r="K292" s="1"/>
      <c r="L292" s="1"/>
      <c r="M292" s="1"/>
      <c r="N292" s="1"/>
      <c r="O292" s="1"/>
      <c r="P292" s="2"/>
      <c r="Q292" s="1"/>
      <c r="R292" s="1"/>
      <c r="S292" s="1"/>
      <c r="T292" s="1"/>
      <c r="U292" s="1"/>
      <c r="V292" s="1" t="s">
        <v>2729</v>
      </c>
      <c r="W292" s="1"/>
      <c r="X292" s="1"/>
      <c r="Y292" s="1"/>
      <c r="Z292" s="1"/>
      <c r="AA292" s="1" t="s">
        <v>201</v>
      </c>
      <c r="AB292" s="1" t="s">
        <v>1152</v>
      </c>
      <c r="AC292" s="1"/>
      <c r="AD292" s="1"/>
      <c r="AE292" s="1"/>
      <c r="AF292" s="1"/>
      <c r="AG292" s="1"/>
      <c r="AH292" s="1"/>
      <c r="AI292" s="1"/>
      <c r="AJ292" s="1"/>
      <c r="AK292" s="1"/>
      <c r="AL292" s="1"/>
      <c r="AM292" s="1"/>
      <c r="AN292" s="1"/>
      <c r="AO292" s="1" t="s">
        <v>2730</v>
      </c>
      <c r="AP292" s="1" t="s">
        <v>2731</v>
      </c>
      <c r="AQ292" s="1"/>
      <c r="AR292" s="1"/>
      <c r="AS292" s="1"/>
      <c r="AT292" s="1" t="s">
        <v>431</v>
      </c>
      <c r="AU292" s="3">
        <v>2021</v>
      </c>
      <c r="AV292" s="3">
        <v>95</v>
      </c>
      <c r="AW292" s="2"/>
      <c r="AX292" s="2"/>
      <c r="AY292" s="2"/>
      <c r="AZ292" s="1"/>
      <c r="BA292" s="2"/>
      <c r="BB292" s="2"/>
      <c r="BC292" s="2"/>
      <c r="BD292" s="3">
        <v>107424</v>
      </c>
      <c r="BE292" s="1" t="s">
        <v>2732</v>
      </c>
      <c r="BF292" s="4">
        <f>HYPERLINK("http://dx.doi.org/10.1016/j.compeleceng.2021.107424","http://dx.doi.org/10.1016/j.compeleceng.2021.107424")</f>
      </c>
      <c r="BG292" s="1"/>
      <c r="BH292" s="1" t="s">
        <v>2733</v>
      </c>
      <c r="BI292" s="1"/>
      <c r="BJ292" s="1"/>
      <c r="BK292" s="1"/>
      <c r="BL292" s="1"/>
      <c r="BM292" s="1"/>
      <c r="BN292" s="2"/>
      <c r="BO292" s="1"/>
      <c r="BP292" s="1"/>
      <c r="BQ292" s="1"/>
      <c r="BR292" s="1"/>
      <c r="BS292" s="1" t="s">
        <v>2734</v>
      </c>
      <c r="BT292" s="5">
        <f>HYPERLINK("https%3A%2F%2Fwww.webofscience.com%2Fwos%2Fwoscc%2Ffull-record%2FWOS:000702661400002","View Full Record in Web of Science")</f>
      </c>
    </row>
    <row x14ac:dyDescent="0.25" r="293" customHeight="1" ht="12.75">
      <c r="A293" s="1" t="s">
        <v>72</v>
      </c>
      <c r="B293" s="1" t="s">
        <v>2735</v>
      </c>
      <c r="C293" s="1"/>
      <c r="D293" s="1"/>
      <c r="E293" s="1"/>
      <c r="F293" s="1" t="s">
        <v>2736</v>
      </c>
      <c r="G293" s="1"/>
      <c r="H293" s="1"/>
      <c r="I293" s="1" t="s">
        <v>2737</v>
      </c>
      <c r="J293" s="1" t="s">
        <v>2738</v>
      </c>
      <c r="K293" s="1"/>
      <c r="L293" s="1"/>
      <c r="M293" s="1"/>
      <c r="N293" s="1"/>
      <c r="O293" s="1"/>
      <c r="P293" s="2"/>
      <c r="Q293" s="1"/>
      <c r="R293" s="1"/>
      <c r="S293" s="1"/>
      <c r="T293" s="1"/>
      <c r="U293" s="1"/>
      <c r="V293" s="1" t="s">
        <v>2739</v>
      </c>
      <c r="W293" s="1"/>
      <c r="X293" s="1"/>
      <c r="Y293" s="1"/>
      <c r="Z293" s="1"/>
      <c r="AA293" s="1"/>
      <c r="AB293" s="1"/>
      <c r="AC293" s="1"/>
      <c r="AD293" s="1"/>
      <c r="AE293" s="1"/>
      <c r="AF293" s="1"/>
      <c r="AG293" s="1"/>
      <c r="AH293" s="1"/>
      <c r="AI293" s="1"/>
      <c r="AJ293" s="1"/>
      <c r="AK293" s="1"/>
      <c r="AL293" s="1"/>
      <c r="AM293" s="1"/>
      <c r="AN293" s="1"/>
      <c r="AO293" s="1" t="s">
        <v>2740</v>
      </c>
      <c r="AP293" s="1" t="s">
        <v>2741</v>
      </c>
      <c r="AQ293" s="1"/>
      <c r="AR293" s="1"/>
      <c r="AS293" s="1"/>
      <c r="AT293" s="1" t="s">
        <v>158</v>
      </c>
      <c r="AU293" s="3">
        <v>2021</v>
      </c>
      <c r="AV293" s="2"/>
      <c r="AW293" s="3">
        <v>18</v>
      </c>
      <c r="AX293" s="2"/>
      <c r="AY293" s="2"/>
      <c r="AZ293" s="1"/>
      <c r="BA293" s="2"/>
      <c r="BB293" s="3">
        <v>212</v>
      </c>
      <c r="BC293" s="3">
        <v>235</v>
      </c>
      <c r="BD293" s="2"/>
      <c r="BE293" s="1" t="s">
        <v>2742</v>
      </c>
      <c r="BF293" s="4">
        <f>HYPERLINK("http://dx.doi.org/10.17533/udea.trahs.n18a10","http://dx.doi.org/10.17533/udea.trahs.n18a10")</f>
      </c>
      <c r="BG293" s="1"/>
      <c r="BH293" s="1"/>
      <c r="BI293" s="1"/>
      <c r="BJ293" s="1"/>
      <c r="BK293" s="1"/>
      <c r="BL293" s="1"/>
      <c r="BM293" s="1"/>
      <c r="BN293" s="2"/>
      <c r="BO293" s="1"/>
      <c r="BP293" s="1"/>
      <c r="BQ293" s="1"/>
      <c r="BR293" s="1"/>
      <c r="BS293" s="1" t="s">
        <v>2743</v>
      </c>
      <c r="BT293" s="5">
        <f>HYPERLINK("https%3A%2F%2Fwww.webofscience.com%2Fwos%2Fwoscc%2Ffull-record%2FWOS:000680834000010","View Full Record in Web of Science")</f>
      </c>
    </row>
    <row x14ac:dyDescent="0.25" r="294" customHeight="1" ht="12.75">
      <c r="A294" s="1" t="s">
        <v>303</v>
      </c>
      <c r="B294" s="1" t="s">
        <v>2744</v>
      </c>
      <c r="C294" s="1"/>
      <c r="D294" s="1"/>
      <c r="E294" s="1" t="s">
        <v>305</v>
      </c>
      <c r="F294" s="1" t="s">
        <v>2745</v>
      </c>
      <c r="G294" s="1"/>
      <c r="H294" s="1"/>
      <c r="I294" s="1" t="s">
        <v>2746</v>
      </c>
      <c r="J294" s="1" t="s">
        <v>2747</v>
      </c>
      <c r="K294" s="1"/>
      <c r="L294" s="1"/>
      <c r="M294" s="1"/>
      <c r="N294" s="1"/>
      <c r="O294" s="1" t="s">
        <v>2748</v>
      </c>
      <c r="P294" s="2" t="s">
        <v>2749</v>
      </c>
      <c r="Q294" s="1" t="s">
        <v>1218</v>
      </c>
      <c r="R294" s="1" t="s">
        <v>2750</v>
      </c>
      <c r="S294" s="1"/>
      <c r="T294" s="1"/>
      <c r="U294" s="1"/>
      <c r="V294" s="1" t="s">
        <v>2751</v>
      </c>
      <c r="W294" s="1"/>
      <c r="X294" s="1"/>
      <c r="Y294" s="1"/>
      <c r="Z294" s="1"/>
      <c r="AA294" s="1"/>
      <c r="AB294" s="1" t="s">
        <v>2752</v>
      </c>
      <c r="AC294" s="1"/>
      <c r="AD294" s="1"/>
      <c r="AE294" s="1"/>
      <c r="AF294" s="1"/>
      <c r="AG294" s="1"/>
      <c r="AH294" s="1"/>
      <c r="AI294" s="1"/>
      <c r="AJ294" s="1"/>
      <c r="AK294" s="1"/>
      <c r="AL294" s="1"/>
      <c r="AM294" s="1"/>
      <c r="AN294" s="1"/>
      <c r="AO294" s="1"/>
      <c r="AP294" s="1"/>
      <c r="AQ294" s="1" t="s">
        <v>2753</v>
      </c>
      <c r="AR294" s="1"/>
      <c r="AS294" s="1"/>
      <c r="AT294" s="1"/>
      <c r="AU294" s="3">
        <v>2021</v>
      </c>
      <c r="AV294" s="2"/>
      <c r="AW294" s="2"/>
      <c r="AX294" s="2"/>
      <c r="AY294" s="2"/>
      <c r="AZ294" s="1"/>
      <c r="BA294" s="2"/>
      <c r="BB294" s="2"/>
      <c r="BC294" s="2"/>
      <c r="BD294" s="2"/>
      <c r="BE294" s="1" t="s">
        <v>2754</v>
      </c>
      <c r="BF294" s="4">
        <f>HYPERLINK("http://dx.doi.org/10.1109/ICAACCA51523.2021.9465266","http://dx.doi.org/10.1109/ICAACCA51523.2021.9465266")</f>
      </c>
      <c r="BG294" s="1"/>
      <c r="BH294" s="1"/>
      <c r="BI294" s="1"/>
      <c r="BJ294" s="1"/>
      <c r="BK294" s="1"/>
      <c r="BL294" s="1"/>
      <c r="BM294" s="1"/>
      <c r="BN294" s="2"/>
      <c r="BO294" s="1"/>
      <c r="BP294" s="1"/>
      <c r="BQ294" s="1"/>
      <c r="BR294" s="1"/>
      <c r="BS294" s="1" t="s">
        <v>2755</v>
      </c>
      <c r="BT294" s="5">
        <f>HYPERLINK("https%3A%2F%2Fwww.webofscience.com%2Fwos%2Fwoscc%2Ffull-record%2FWOS:000855764500029","View Full Record in Web of Science")</f>
      </c>
    </row>
    <row x14ac:dyDescent="0.25" r="295" customHeight="1" ht="12.75">
      <c r="A295" s="1" t="s">
        <v>72</v>
      </c>
      <c r="B295" s="1" t="s">
        <v>2756</v>
      </c>
      <c r="C295" s="1"/>
      <c r="D295" s="1"/>
      <c r="E295" s="1"/>
      <c r="F295" s="1" t="s">
        <v>2757</v>
      </c>
      <c r="G295" s="1"/>
      <c r="H295" s="1"/>
      <c r="I295" s="1" t="s">
        <v>2758</v>
      </c>
      <c r="J295" s="1" t="s">
        <v>2759</v>
      </c>
      <c r="K295" s="1"/>
      <c r="L295" s="1"/>
      <c r="M295" s="1"/>
      <c r="N295" s="1"/>
      <c r="O295" s="1"/>
      <c r="P295" s="2"/>
      <c r="Q295" s="1"/>
      <c r="R295" s="1"/>
      <c r="S295" s="1"/>
      <c r="T295" s="1"/>
      <c r="U295" s="1"/>
      <c r="V295" s="1" t="s">
        <v>2760</v>
      </c>
      <c r="W295" s="1"/>
      <c r="X295" s="1"/>
      <c r="Y295" s="1"/>
      <c r="Z295" s="1"/>
      <c r="AA295" s="1"/>
      <c r="AB295" s="1"/>
      <c r="AC295" s="1"/>
      <c r="AD295" s="1"/>
      <c r="AE295" s="1"/>
      <c r="AF295" s="1"/>
      <c r="AG295" s="1"/>
      <c r="AH295" s="1"/>
      <c r="AI295" s="1"/>
      <c r="AJ295" s="1"/>
      <c r="AK295" s="1"/>
      <c r="AL295" s="1"/>
      <c r="AM295" s="1"/>
      <c r="AN295" s="1"/>
      <c r="AO295" s="1" t="s">
        <v>2761</v>
      </c>
      <c r="AP295" s="1"/>
      <c r="AQ295" s="1"/>
      <c r="AR295" s="1"/>
      <c r="AS295" s="1"/>
      <c r="AT295" s="1" t="s">
        <v>431</v>
      </c>
      <c r="AU295" s="3">
        <v>2020</v>
      </c>
      <c r="AV295" s="3">
        <v>9</v>
      </c>
      <c r="AW295" s="3">
        <v>3</v>
      </c>
      <c r="AX295" s="2"/>
      <c r="AY295" s="2"/>
      <c r="AZ295" s="1"/>
      <c r="BA295" s="2"/>
      <c r="BB295" s="3">
        <v>278</v>
      </c>
      <c r="BC295" s="3">
        <v>300</v>
      </c>
      <c r="BD295" s="2"/>
      <c r="BE295" s="1" t="s">
        <v>2762</v>
      </c>
      <c r="BF295" s="4">
        <f>HYPERLINK("http://dx.doi.org/10.1783/hse.2020.5049","http://dx.doi.org/10.1783/hse.2020.5049")</f>
      </c>
      <c r="BG295" s="1"/>
      <c r="BH295" s="1"/>
      <c r="BI295" s="1"/>
      <c r="BJ295" s="1"/>
      <c r="BK295" s="1"/>
      <c r="BL295" s="1"/>
      <c r="BM295" s="1"/>
      <c r="BN295" s="2"/>
      <c r="BO295" s="1"/>
      <c r="BP295" s="1"/>
      <c r="BQ295" s="1"/>
      <c r="BR295" s="1"/>
      <c r="BS295" s="1" t="s">
        <v>2763</v>
      </c>
      <c r="BT295" s="5">
        <f>HYPERLINK("https%3A%2F%2Fwww.webofscience.com%2Fwos%2Fwoscc%2Ffull-record%2FWOS:000583766200003","View Full Record in Web of Science")</f>
      </c>
    </row>
    <row x14ac:dyDescent="0.25" r="296" customHeight="1" ht="12.75">
      <c r="A296" s="1" t="s">
        <v>72</v>
      </c>
      <c r="B296" s="1" t="s">
        <v>2764</v>
      </c>
      <c r="C296" s="1"/>
      <c r="D296" s="1"/>
      <c r="E296" s="1"/>
      <c r="F296" s="1" t="s">
        <v>2765</v>
      </c>
      <c r="G296" s="1"/>
      <c r="H296" s="1"/>
      <c r="I296" s="1" t="s">
        <v>2766</v>
      </c>
      <c r="J296" s="1" t="s">
        <v>2767</v>
      </c>
      <c r="K296" s="1"/>
      <c r="L296" s="1"/>
      <c r="M296" s="1"/>
      <c r="N296" s="1"/>
      <c r="O296" s="1"/>
      <c r="P296" s="2"/>
      <c r="Q296" s="1"/>
      <c r="R296" s="1"/>
      <c r="S296" s="1"/>
      <c r="T296" s="1"/>
      <c r="U296" s="1"/>
      <c r="V296" s="1" t="s">
        <v>2768</v>
      </c>
      <c r="W296" s="1"/>
      <c r="X296" s="1"/>
      <c r="Y296" s="1"/>
      <c r="Z296" s="1"/>
      <c r="AA296" s="1" t="s">
        <v>201</v>
      </c>
      <c r="AB296" s="1" t="s">
        <v>202</v>
      </c>
      <c r="AC296" s="1"/>
      <c r="AD296" s="1"/>
      <c r="AE296" s="1"/>
      <c r="AF296" s="1"/>
      <c r="AG296" s="1"/>
      <c r="AH296" s="1"/>
      <c r="AI296" s="1"/>
      <c r="AJ296" s="1"/>
      <c r="AK296" s="1"/>
      <c r="AL296" s="1"/>
      <c r="AM296" s="1"/>
      <c r="AN296" s="1"/>
      <c r="AO296" s="1" t="s">
        <v>2769</v>
      </c>
      <c r="AP296" s="1" t="s">
        <v>2770</v>
      </c>
      <c r="AQ296" s="1"/>
      <c r="AR296" s="1"/>
      <c r="AS296" s="1"/>
      <c r="AT296" s="1" t="s">
        <v>265</v>
      </c>
      <c r="AU296" s="3">
        <v>2020</v>
      </c>
      <c r="AV296" s="3">
        <v>101</v>
      </c>
      <c r="AW296" s="2"/>
      <c r="AX296" s="2"/>
      <c r="AY296" s="2"/>
      <c r="AZ296" s="1"/>
      <c r="BA296" s="2"/>
      <c r="BB296" s="2"/>
      <c r="BC296" s="2"/>
      <c r="BD296" s="3">
        <v>104508</v>
      </c>
      <c r="BE296" s="1" t="s">
        <v>2771</v>
      </c>
      <c r="BF296" s="4">
        <f>HYPERLINK("http://dx.doi.org/10.1016/j.conengprac.2020.104508","http://dx.doi.org/10.1016/j.conengprac.2020.104508")</f>
      </c>
      <c r="BG296" s="1"/>
      <c r="BH296" s="1"/>
      <c r="BI296" s="1"/>
      <c r="BJ296" s="1"/>
      <c r="BK296" s="1"/>
      <c r="BL296" s="1"/>
      <c r="BM296" s="1"/>
      <c r="BN296" s="2"/>
      <c r="BO296" s="1"/>
      <c r="BP296" s="1"/>
      <c r="BQ296" s="1"/>
      <c r="BR296" s="1"/>
      <c r="BS296" s="1" t="s">
        <v>2772</v>
      </c>
      <c r="BT296" s="5">
        <f>HYPERLINK("https%3A%2F%2Fwww.webofscience.com%2Fwos%2Fwoscc%2Ffull-record%2FWOS:000555039300027","View Full Record in Web of Science")</f>
      </c>
    </row>
    <row x14ac:dyDescent="0.25" r="297" customHeight="1" ht="12.75">
      <c r="A297" s="1" t="s">
        <v>72</v>
      </c>
      <c r="B297" s="1" t="s">
        <v>2773</v>
      </c>
      <c r="C297" s="1"/>
      <c r="D297" s="1"/>
      <c r="E297" s="1"/>
      <c r="F297" s="1" t="s">
        <v>2774</v>
      </c>
      <c r="G297" s="1"/>
      <c r="H297" s="1"/>
      <c r="I297" s="1" t="s">
        <v>2775</v>
      </c>
      <c r="J297" s="1" t="s">
        <v>2776</v>
      </c>
      <c r="K297" s="1"/>
      <c r="L297" s="1"/>
      <c r="M297" s="1"/>
      <c r="N297" s="1"/>
      <c r="O297" s="1"/>
      <c r="P297" s="2"/>
      <c r="Q297" s="1"/>
      <c r="R297" s="1"/>
      <c r="S297" s="1"/>
      <c r="T297" s="1"/>
      <c r="U297" s="1"/>
      <c r="V297" s="1" t="s">
        <v>2777</v>
      </c>
      <c r="W297" s="1"/>
      <c r="X297" s="1"/>
      <c r="Y297" s="1"/>
      <c r="Z297" s="1"/>
      <c r="AA297" s="1"/>
      <c r="AB297" s="1"/>
      <c r="AC297" s="1"/>
      <c r="AD297" s="1"/>
      <c r="AE297" s="1"/>
      <c r="AF297" s="1"/>
      <c r="AG297" s="1"/>
      <c r="AH297" s="1"/>
      <c r="AI297" s="1"/>
      <c r="AJ297" s="1"/>
      <c r="AK297" s="1"/>
      <c r="AL297" s="1"/>
      <c r="AM297" s="1"/>
      <c r="AN297" s="1"/>
      <c r="AO297" s="1" t="s">
        <v>2778</v>
      </c>
      <c r="AP297" s="1"/>
      <c r="AQ297" s="1"/>
      <c r="AR297" s="1"/>
      <c r="AS297" s="1"/>
      <c r="AT297" s="1" t="s">
        <v>2779</v>
      </c>
      <c r="AU297" s="3">
        <v>2020</v>
      </c>
      <c r="AV297" s="2"/>
      <c r="AW297" s="3">
        <v>52</v>
      </c>
      <c r="AX297" s="2"/>
      <c r="AY297" s="2"/>
      <c r="AZ297" s="1"/>
      <c r="BA297" s="2"/>
      <c r="BB297" s="3">
        <v>85</v>
      </c>
      <c r="BC297" s="3">
        <v>99</v>
      </c>
      <c r="BD297" s="2"/>
      <c r="BE297" s="1"/>
      <c r="BF297" s="1"/>
      <c r="BG297" s="1"/>
      <c r="BH297" s="1"/>
      <c r="BI297" s="1"/>
      <c r="BJ297" s="1"/>
      <c r="BK297" s="1"/>
      <c r="BL297" s="1"/>
      <c r="BM297" s="1"/>
      <c r="BN297" s="2"/>
      <c r="BO297" s="1"/>
      <c r="BP297" s="1"/>
      <c r="BQ297" s="1"/>
      <c r="BR297" s="1"/>
      <c r="BS297" s="1" t="s">
        <v>2780</v>
      </c>
      <c r="BT297" s="5">
        <f>HYPERLINK("https%3A%2F%2Fwww.webofscience.com%2Fwos%2Fwoscc%2Ffull-record%2FWOS:000583142900009","View Full Record in Web of Science")</f>
      </c>
    </row>
    <row x14ac:dyDescent="0.25" r="298" customHeight="1" ht="12.75">
      <c r="A298" s="1" t="s">
        <v>267</v>
      </c>
      <c r="B298" s="1" t="s">
        <v>295</v>
      </c>
      <c r="C298" s="1"/>
      <c r="D298" s="1" t="s">
        <v>296</v>
      </c>
      <c r="E298" s="1"/>
      <c r="F298" s="1" t="s">
        <v>297</v>
      </c>
      <c r="G298" s="1"/>
      <c r="H298" s="1"/>
      <c r="I298" s="1" t="s">
        <v>2781</v>
      </c>
      <c r="J298" s="1" t="s">
        <v>299</v>
      </c>
      <c r="K298" s="1" t="s">
        <v>300</v>
      </c>
      <c r="L298" s="1"/>
      <c r="M298" s="1"/>
      <c r="N298" s="1"/>
      <c r="O298" s="1"/>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t="s">
        <v>301</v>
      </c>
      <c r="AR298" s="1"/>
      <c r="AS298" s="1"/>
      <c r="AT298" s="1"/>
      <c r="AU298" s="3">
        <v>2020</v>
      </c>
      <c r="AV298" s="3">
        <v>8</v>
      </c>
      <c r="AW298" s="2"/>
      <c r="AX298" s="2"/>
      <c r="AY298" s="2"/>
      <c r="AZ298" s="1"/>
      <c r="BA298" s="2"/>
      <c r="BB298" s="3">
        <v>58</v>
      </c>
      <c r="BC298" s="3">
        <v>60</v>
      </c>
      <c r="BD298" s="2"/>
      <c r="BE298" s="1"/>
      <c r="BF298" s="1"/>
      <c r="BG298" s="1"/>
      <c r="BH298" s="1"/>
      <c r="BI298" s="1"/>
      <c r="BJ298" s="1"/>
      <c r="BK298" s="1"/>
      <c r="BL298" s="1"/>
      <c r="BM298" s="1"/>
      <c r="BN298" s="2"/>
      <c r="BO298" s="1"/>
      <c r="BP298" s="1"/>
      <c r="BQ298" s="1"/>
      <c r="BR298" s="1"/>
      <c r="BS298" s="1" t="s">
        <v>2782</v>
      </c>
      <c r="BT298" s="5">
        <f>HYPERLINK("https%3A%2F%2Fwww.webofscience.com%2Fwos%2Fwoscc%2Ffull-record%2FWOS:000608865900011","View Full Record in Web of Science")</f>
      </c>
    </row>
    <row x14ac:dyDescent="0.25" r="299" customHeight="1" ht="12.75">
      <c r="A299" s="1" t="s">
        <v>72</v>
      </c>
      <c r="B299" s="1" t="s">
        <v>2783</v>
      </c>
      <c r="C299" s="1"/>
      <c r="D299" s="1"/>
      <c r="E299" s="1"/>
      <c r="F299" s="1" t="s">
        <v>2784</v>
      </c>
      <c r="G299" s="1"/>
      <c r="H299" s="1"/>
      <c r="I299" s="1" t="s">
        <v>2785</v>
      </c>
      <c r="J299" s="1" t="s">
        <v>2786</v>
      </c>
      <c r="K299" s="1"/>
      <c r="L299" s="1"/>
      <c r="M299" s="1"/>
      <c r="N299" s="1"/>
      <c r="O299" s="1"/>
      <c r="P299" s="2"/>
      <c r="Q299" s="1"/>
      <c r="R299" s="1"/>
      <c r="S299" s="1"/>
      <c r="T299" s="1"/>
      <c r="U299" s="1"/>
      <c r="V299" s="1" t="s">
        <v>2787</v>
      </c>
      <c r="W299" s="1"/>
      <c r="X299" s="1"/>
      <c r="Y299" s="1"/>
      <c r="Z299" s="1"/>
      <c r="AA299" s="1" t="s">
        <v>2788</v>
      </c>
      <c r="AB299" s="1" t="s">
        <v>2789</v>
      </c>
      <c r="AC299" s="1"/>
      <c r="AD299" s="1"/>
      <c r="AE299" s="1"/>
      <c r="AF299" s="1"/>
      <c r="AG299" s="1"/>
      <c r="AH299" s="1"/>
      <c r="AI299" s="1"/>
      <c r="AJ299" s="1"/>
      <c r="AK299" s="1"/>
      <c r="AL299" s="1"/>
      <c r="AM299" s="1"/>
      <c r="AN299" s="1"/>
      <c r="AO299" s="1" t="s">
        <v>2790</v>
      </c>
      <c r="AP299" s="1" t="s">
        <v>2791</v>
      </c>
      <c r="AQ299" s="1"/>
      <c r="AR299" s="1"/>
      <c r="AS299" s="1"/>
      <c r="AT299" s="1" t="s">
        <v>204</v>
      </c>
      <c r="AU299" s="3">
        <v>2019</v>
      </c>
      <c r="AV299" s="3">
        <v>34</v>
      </c>
      <c r="AW299" s="3">
        <v>10</v>
      </c>
      <c r="AX299" s="2"/>
      <c r="AY299" s="2"/>
      <c r="AZ299" s="1"/>
      <c r="BA299" s="2"/>
      <c r="BB299" s="3">
        <v>792</v>
      </c>
      <c r="BC299" s="3">
        <v>799</v>
      </c>
      <c r="BD299" s="2"/>
      <c r="BE299" s="1" t="s">
        <v>2792</v>
      </c>
      <c r="BF299" s="4">
        <f>HYPERLINK("http://dx.doi.org/10.1093/heapol/czz120","http://dx.doi.org/10.1093/heapol/czz120")</f>
      </c>
      <c r="BG299" s="1"/>
      <c r="BH299" s="1"/>
      <c r="BI299" s="1"/>
      <c r="BJ299" s="1"/>
      <c r="BK299" s="1"/>
      <c r="BL299" s="1"/>
      <c r="BM299" s="1"/>
      <c r="BN299" s="3">
        <v>31603492</v>
      </c>
      <c r="BO299" s="1"/>
      <c r="BP299" s="1"/>
      <c r="BQ299" s="1"/>
      <c r="BR299" s="1"/>
      <c r="BS299" s="1" t="s">
        <v>2793</v>
      </c>
      <c r="BT299" s="5">
        <f>HYPERLINK("https%3A%2F%2Fwww.webofscience.com%2Fwos%2Fwoscc%2Ffull-record%2FWOS:000507575000008","View Full Record in Web of Science")</f>
      </c>
    </row>
    <row x14ac:dyDescent="0.25" r="300" customHeight="1" ht="12.75">
      <c r="A300" s="1" t="s">
        <v>72</v>
      </c>
      <c r="B300" s="1" t="s">
        <v>348</v>
      </c>
      <c r="C300" s="1"/>
      <c r="D300" s="1"/>
      <c r="E300" s="1"/>
      <c r="F300" s="1" t="s">
        <v>349</v>
      </c>
      <c r="G300" s="1"/>
      <c r="H300" s="1"/>
      <c r="I300" s="1" t="s">
        <v>2794</v>
      </c>
      <c r="J300" s="1" t="s">
        <v>565</v>
      </c>
      <c r="K300" s="1"/>
      <c r="L300" s="1"/>
      <c r="M300" s="1"/>
      <c r="N300" s="1"/>
      <c r="O300" s="1"/>
      <c r="P300" s="2"/>
      <c r="Q300" s="1"/>
      <c r="R300" s="1"/>
      <c r="S300" s="1"/>
      <c r="T300" s="1"/>
      <c r="U300" s="1"/>
      <c r="V300" s="1" t="s">
        <v>2795</v>
      </c>
      <c r="W300" s="1"/>
      <c r="X300" s="1"/>
      <c r="Y300" s="1"/>
      <c r="Z300" s="1"/>
      <c r="AA300" s="1"/>
      <c r="AB300" s="1"/>
      <c r="AC300" s="1"/>
      <c r="AD300" s="1"/>
      <c r="AE300" s="1"/>
      <c r="AF300" s="1"/>
      <c r="AG300" s="1"/>
      <c r="AH300" s="1"/>
      <c r="AI300" s="1"/>
      <c r="AJ300" s="1"/>
      <c r="AK300" s="1"/>
      <c r="AL300" s="1"/>
      <c r="AM300" s="1"/>
      <c r="AN300" s="1"/>
      <c r="AO300" s="1" t="s">
        <v>566</v>
      </c>
      <c r="AP300" s="1"/>
      <c r="AQ300" s="1"/>
      <c r="AR300" s="1"/>
      <c r="AS300" s="1"/>
      <c r="AT300" s="1" t="s">
        <v>169</v>
      </c>
      <c r="AU300" s="3">
        <v>2019</v>
      </c>
      <c r="AV300" s="2"/>
      <c r="AW300" s="3">
        <v>100</v>
      </c>
      <c r="AX300" s="2"/>
      <c r="AY300" s="2"/>
      <c r="AZ300" s="1"/>
      <c r="BA300" s="2"/>
      <c r="BB300" s="3">
        <v>291</v>
      </c>
      <c r="BC300" s="3">
        <v>316</v>
      </c>
      <c r="BD300" s="2"/>
      <c r="BE300" s="1"/>
      <c r="BF300" s="1"/>
      <c r="BG300" s="1"/>
      <c r="BH300" s="1"/>
      <c r="BI300" s="1"/>
      <c r="BJ300" s="1"/>
      <c r="BK300" s="1"/>
      <c r="BL300" s="1"/>
      <c r="BM300" s="1"/>
      <c r="BN300" s="2"/>
      <c r="BO300" s="1"/>
      <c r="BP300" s="1"/>
      <c r="BQ300" s="1"/>
      <c r="BR300" s="1"/>
      <c r="BS300" s="1" t="s">
        <v>2796</v>
      </c>
      <c r="BT300" s="5">
        <f>HYPERLINK("https%3A%2F%2Fwww.webofscience.com%2Fwos%2Fwoscc%2Ffull-record%2FWOS:000502608100012","View Full Record in Web of Science")</f>
      </c>
    </row>
    <row x14ac:dyDescent="0.25" r="301" customHeight="1" ht="12.75">
      <c r="A301" s="1" t="s">
        <v>72</v>
      </c>
      <c r="B301" s="1" t="s">
        <v>2797</v>
      </c>
      <c r="C301" s="1"/>
      <c r="D301" s="1"/>
      <c r="E301" s="1"/>
      <c r="F301" s="1" t="s">
        <v>2798</v>
      </c>
      <c r="G301" s="1"/>
      <c r="H301" s="1"/>
      <c r="I301" s="1" t="s">
        <v>2799</v>
      </c>
      <c r="J301" s="1" t="s">
        <v>2800</v>
      </c>
      <c r="K301" s="1"/>
      <c r="L301" s="1"/>
      <c r="M301" s="1"/>
      <c r="N301" s="1"/>
      <c r="O301" s="1" t="s">
        <v>2801</v>
      </c>
      <c r="P301" s="2" t="s">
        <v>2802</v>
      </c>
      <c r="Q301" s="1" t="s">
        <v>398</v>
      </c>
      <c r="R301" s="1" t="s">
        <v>2803</v>
      </c>
      <c r="S301" s="1"/>
      <c r="T301" s="1"/>
      <c r="U301" s="1"/>
      <c r="V301" s="1"/>
      <c r="W301" s="1"/>
      <c r="X301" s="1"/>
      <c r="Y301" s="1"/>
      <c r="Z301" s="1"/>
      <c r="AA301" s="1" t="s">
        <v>2804</v>
      </c>
      <c r="AB301" s="1" t="s">
        <v>2805</v>
      </c>
      <c r="AC301" s="1"/>
      <c r="AD301" s="1"/>
      <c r="AE301" s="1"/>
      <c r="AF301" s="1"/>
      <c r="AG301" s="1"/>
      <c r="AH301" s="1"/>
      <c r="AI301" s="1"/>
      <c r="AJ301" s="1"/>
      <c r="AK301" s="1"/>
      <c r="AL301" s="1"/>
      <c r="AM301" s="1"/>
      <c r="AN301" s="1"/>
      <c r="AO301" s="1" t="s">
        <v>2806</v>
      </c>
      <c r="AP301" s="1" t="s">
        <v>2807</v>
      </c>
      <c r="AQ301" s="1"/>
      <c r="AR301" s="1"/>
      <c r="AS301" s="1"/>
      <c r="AT301" s="1" t="s">
        <v>683</v>
      </c>
      <c r="AU301" s="3">
        <v>2019</v>
      </c>
      <c r="AV301" s="3">
        <v>85</v>
      </c>
      <c r="AW301" s="3">
        <v>6</v>
      </c>
      <c r="AX301" s="2"/>
      <c r="AY301" s="2"/>
      <c r="AZ301" s="1"/>
      <c r="BA301" s="3">
        <v>8</v>
      </c>
      <c r="BB301" s="3">
        <v>907</v>
      </c>
      <c r="BC301" s="3">
        <v>907</v>
      </c>
      <c r="BD301" s="2"/>
      <c r="BE301" s="1"/>
      <c r="BF301" s="1"/>
      <c r="BG301" s="1"/>
      <c r="BH301" s="1"/>
      <c r="BI301" s="1"/>
      <c r="BJ301" s="1"/>
      <c r="BK301" s="1"/>
      <c r="BL301" s="1"/>
      <c r="BM301" s="1"/>
      <c r="BN301" s="2"/>
      <c r="BO301" s="1"/>
      <c r="BP301" s="1"/>
      <c r="BQ301" s="1"/>
      <c r="BR301" s="1"/>
      <c r="BS301" s="1" t="s">
        <v>2808</v>
      </c>
      <c r="BT301" s="5">
        <f>HYPERLINK("https%3A%2F%2Fwww.webofscience.com%2Fwos%2Fwoscc%2Ffull-record%2FWOS:000466408300038","View Full Record in Web of Science")</f>
      </c>
    </row>
    <row x14ac:dyDescent="0.25" r="302" customHeight="1" ht="12.75">
      <c r="A302" s="1" t="s">
        <v>72</v>
      </c>
      <c r="B302" s="1" t="s">
        <v>2809</v>
      </c>
      <c r="C302" s="1"/>
      <c r="D302" s="1"/>
      <c r="E302" s="1"/>
      <c r="F302" s="1" t="s">
        <v>2810</v>
      </c>
      <c r="G302" s="1"/>
      <c r="H302" s="1"/>
      <c r="I302" s="1" t="s">
        <v>2811</v>
      </c>
      <c r="J302" s="1" t="s">
        <v>2812</v>
      </c>
      <c r="K302" s="1"/>
      <c r="L302" s="1"/>
      <c r="M302" s="1"/>
      <c r="N302" s="1"/>
      <c r="O302" s="1"/>
      <c r="P302" s="2"/>
      <c r="Q302" s="1"/>
      <c r="R302" s="1"/>
      <c r="S302" s="1"/>
      <c r="T302" s="1"/>
      <c r="U302" s="1"/>
      <c r="V302" s="1" t="s">
        <v>2813</v>
      </c>
      <c r="W302" s="1"/>
      <c r="X302" s="1"/>
      <c r="Y302" s="1"/>
      <c r="Z302" s="1"/>
      <c r="AA302" s="1" t="s">
        <v>1498</v>
      </c>
      <c r="AB302" s="1" t="s">
        <v>2814</v>
      </c>
      <c r="AC302" s="1"/>
      <c r="AD302" s="1"/>
      <c r="AE302" s="1"/>
      <c r="AF302" s="1"/>
      <c r="AG302" s="1"/>
      <c r="AH302" s="1"/>
      <c r="AI302" s="1"/>
      <c r="AJ302" s="1"/>
      <c r="AK302" s="1"/>
      <c r="AL302" s="1"/>
      <c r="AM302" s="1"/>
      <c r="AN302" s="1"/>
      <c r="AO302" s="1" t="s">
        <v>2815</v>
      </c>
      <c r="AP302" s="1" t="s">
        <v>2816</v>
      </c>
      <c r="AQ302" s="1"/>
      <c r="AR302" s="1"/>
      <c r="AS302" s="1"/>
      <c r="AT302" s="1" t="s">
        <v>2817</v>
      </c>
      <c r="AU302" s="3">
        <v>2019</v>
      </c>
      <c r="AV302" s="3">
        <v>791</v>
      </c>
      <c r="AW302" s="2"/>
      <c r="AX302" s="2"/>
      <c r="AY302" s="2"/>
      <c r="AZ302" s="1"/>
      <c r="BA302" s="2"/>
      <c r="BB302" s="3">
        <v>17</v>
      </c>
      <c r="BC302" s="3">
        <v>19</v>
      </c>
      <c r="BD302" s="2"/>
      <c r="BE302" s="1" t="s">
        <v>2818</v>
      </c>
      <c r="BF302" s="4">
        <f>HYPERLINK("http://dx.doi.org/10.1016/j.physletb.2019.02.021","http://dx.doi.org/10.1016/j.physletb.2019.02.021")</f>
      </c>
      <c r="BG302" s="1"/>
      <c r="BH302" s="1"/>
      <c r="BI302" s="1"/>
      <c r="BJ302" s="1"/>
      <c r="BK302" s="1"/>
      <c r="BL302" s="1"/>
      <c r="BM302" s="1"/>
      <c r="BN302" s="2"/>
      <c r="BO302" s="1"/>
      <c r="BP302" s="1"/>
      <c r="BQ302" s="1"/>
      <c r="BR302" s="1"/>
      <c r="BS302" s="1" t="s">
        <v>2819</v>
      </c>
      <c r="BT302" s="5">
        <f>HYPERLINK("https%3A%2F%2Fwww.webofscience.com%2Fwos%2Fwoscc%2Ffull-record%2FWOS:000462321800004","View Full Record in Web of Science")</f>
      </c>
    </row>
    <row x14ac:dyDescent="0.25" r="303" customHeight="1" ht="12.75">
      <c r="A303" s="1" t="s">
        <v>303</v>
      </c>
      <c r="B303" s="1" t="s">
        <v>2820</v>
      </c>
      <c r="C303" s="1"/>
      <c r="D303" s="1"/>
      <c r="E303" s="1" t="s">
        <v>2821</v>
      </c>
      <c r="F303" s="1" t="s">
        <v>2822</v>
      </c>
      <c r="G303" s="1"/>
      <c r="H303" s="1"/>
      <c r="I303" s="1" t="s">
        <v>2823</v>
      </c>
      <c r="J303" s="1" t="s">
        <v>2824</v>
      </c>
      <c r="K303" s="1" t="s">
        <v>2825</v>
      </c>
      <c r="L303" s="1"/>
      <c r="M303" s="1"/>
      <c r="N303" s="1"/>
      <c r="O303" s="1" t="s">
        <v>2826</v>
      </c>
      <c r="P303" s="2" t="s">
        <v>2827</v>
      </c>
      <c r="Q303" s="1" t="s">
        <v>2828</v>
      </c>
      <c r="R303" s="1" t="s">
        <v>2829</v>
      </c>
      <c r="S303" s="1"/>
      <c r="T303" s="1"/>
      <c r="U303" s="1"/>
      <c r="V303" s="1" t="s">
        <v>2830</v>
      </c>
      <c r="W303" s="1"/>
      <c r="X303" s="1"/>
      <c r="Y303" s="1"/>
      <c r="Z303" s="1"/>
      <c r="AA303" s="1"/>
      <c r="AB303" s="1"/>
      <c r="AC303" s="1"/>
      <c r="AD303" s="1"/>
      <c r="AE303" s="1"/>
      <c r="AF303" s="1"/>
      <c r="AG303" s="1"/>
      <c r="AH303" s="1"/>
      <c r="AI303" s="1"/>
      <c r="AJ303" s="1"/>
      <c r="AK303" s="1"/>
      <c r="AL303" s="1"/>
      <c r="AM303" s="1"/>
      <c r="AN303" s="1"/>
      <c r="AO303" s="1" t="s">
        <v>2831</v>
      </c>
      <c r="AP303" s="1"/>
      <c r="AQ303" s="1"/>
      <c r="AR303" s="1"/>
      <c r="AS303" s="1"/>
      <c r="AT303" s="1"/>
      <c r="AU303" s="3">
        <v>2019</v>
      </c>
      <c r="AV303" s="3">
        <v>603</v>
      </c>
      <c r="AW303" s="2"/>
      <c r="AX303" s="2"/>
      <c r="AY303" s="2"/>
      <c r="AZ303" s="1"/>
      <c r="BA303" s="2"/>
      <c r="BB303" s="2"/>
      <c r="BC303" s="2"/>
      <c r="BD303" s="3">
        <v>22012</v>
      </c>
      <c r="BE303" s="1" t="s">
        <v>2832</v>
      </c>
      <c r="BF303" s="4">
        <f>HYPERLINK("http://dx.doi.org/10.1088/1757-899X/603/2/022012","http://dx.doi.org/10.1088/1757-899X/603/2/022012")</f>
      </c>
      <c r="BG303" s="1"/>
      <c r="BH303" s="1"/>
      <c r="BI303" s="1"/>
      <c r="BJ303" s="1"/>
      <c r="BK303" s="1"/>
      <c r="BL303" s="1"/>
      <c r="BM303" s="1"/>
      <c r="BN303" s="2"/>
      <c r="BO303" s="1"/>
      <c r="BP303" s="1"/>
      <c r="BQ303" s="1"/>
      <c r="BR303" s="1"/>
      <c r="BS303" s="1" t="s">
        <v>2833</v>
      </c>
      <c r="BT303" s="5">
        <f>HYPERLINK("https%3A%2F%2Fwww.webofscience.com%2Fwos%2Fwoscc%2Ffull-record%2FWOS:000562099100012","View Full Record in Web of Science")</f>
      </c>
    </row>
    <row x14ac:dyDescent="0.25" r="304" customHeight="1" ht="12.75">
      <c r="A304" s="1" t="s">
        <v>267</v>
      </c>
      <c r="B304" s="1" t="s">
        <v>2834</v>
      </c>
      <c r="C304" s="1"/>
      <c r="D304" s="1"/>
      <c r="E304" s="1" t="s">
        <v>1241</v>
      </c>
      <c r="F304" s="1" t="s">
        <v>2835</v>
      </c>
      <c r="G304" s="1"/>
      <c r="H304" s="1"/>
      <c r="I304" s="1" t="s">
        <v>2836</v>
      </c>
      <c r="J304" s="1" t="s">
        <v>1244</v>
      </c>
      <c r="K304" s="1"/>
      <c r="L304" s="1"/>
      <c r="M304" s="1"/>
      <c r="N304" s="1"/>
      <c r="O304" s="1"/>
      <c r="P304" s="2"/>
      <c r="Q304" s="1"/>
      <c r="R304" s="1"/>
      <c r="S304" s="1"/>
      <c r="T304" s="1"/>
      <c r="U304" s="1"/>
      <c r="V304" s="1" t="s">
        <v>2837</v>
      </c>
      <c r="W304" s="1"/>
      <c r="X304" s="1"/>
      <c r="Y304" s="1"/>
      <c r="Z304" s="1"/>
      <c r="AA304" s="1"/>
      <c r="AB304" s="1"/>
      <c r="AC304" s="1"/>
      <c r="AD304" s="1"/>
      <c r="AE304" s="1"/>
      <c r="AF304" s="1"/>
      <c r="AG304" s="1"/>
      <c r="AH304" s="1"/>
      <c r="AI304" s="1"/>
      <c r="AJ304" s="1"/>
      <c r="AK304" s="1"/>
      <c r="AL304" s="1"/>
      <c r="AM304" s="1"/>
      <c r="AN304" s="1"/>
      <c r="AO304" s="1"/>
      <c r="AP304" s="1"/>
      <c r="AQ304" s="1" t="s">
        <v>1247</v>
      </c>
      <c r="AR304" s="1"/>
      <c r="AS304" s="1"/>
      <c r="AT304" s="1"/>
      <c r="AU304" s="3">
        <v>2019</v>
      </c>
      <c r="AV304" s="2"/>
      <c r="AW304" s="2"/>
      <c r="AX304" s="2"/>
      <c r="AY304" s="2"/>
      <c r="AZ304" s="1"/>
      <c r="BA304" s="2"/>
      <c r="BB304" s="3">
        <v>25</v>
      </c>
      <c r="BC304" s="3">
        <v>29</v>
      </c>
      <c r="BD304" s="2"/>
      <c r="BE304" s="1"/>
      <c r="BF304" s="1"/>
      <c r="BG304" s="1"/>
      <c r="BH304" s="1"/>
      <c r="BI304" s="1"/>
      <c r="BJ304" s="1"/>
      <c r="BK304" s="1"/>
      <c r="BL304" s="1"/>
      <c r="BM304" s="1"/>
      <c r="BN304" s="2"/>
      <c r="BO304" s="1"/>
      <c r="BP304" s="1"/>
      <c r="BQ304" s="1"/>
      <c r="BR304" s="1"/>
      <c r="BS304" s="1" t="s">
        <v>2838</v>
      </c>
      <c r="BT304" s="5">
        <f>HYPERLINK("https%3A%2F%2Fwww.webofscience.com%2Fwos%2Fwoscc%2Ffull-record%2FWOS:000886992800003","View Full Record in Web of Science")</f>
      </c>
    </row>
    <row x14ac:dyDescent="0.25" r="305" customHeight="1" ht="12.75">
      <c r="A305" s="1" t="s">
        <v>72</v>
      </c>
      <c r="B305" s="1" t="s">
        <v>2839</v>
      </c>
      <c r="C305" s="1"/>
      <c r="D305" s="1"/>
      <c r="E305" s="1"/>
      <c r="F305" s="1" t="s">
        <v>2840</v>
      </c>
      <c r="G305" s="1"/>
      <c r="H305" s="1"/>
      <c r="I305" s="1" t="s">
        <v>2841</v>
      </c>
      <c r="J305" s="1" t="s">
        <v>2842</v>
      </c>
      <c r="K305" s="1"/>
      <c r="L305" s="1"/>
      <c r="M305" s="1"/>
      <c r="N305" s="1"/>
      <c r="O305" s="1"/>
      <c r="P305" s="2"/>
      <c r="Q305" s="1"/>
      <c r="R305" s="1"/>
      <c r="S305" s="1"/>
      <c r="T305" s="1"/>
      <c r="U305" s="1"/>
      <c r="V305" s="1" t="s">
        <v>2843</v>
      </c>
      <c r="W305" s="1"/>
      <c r="X305" s="1"/>
      <c r="Y305" s="1"/>
      <c r="Z305" s="1"/>
      <c r="AA305" s="1" t="s">
        <v>2844</v>
      </c>
      <c r="AB305" s="1" t="s">
        <v>2845</v>
      </c>
      <c r="AC305" s="1"/>
      <c r="AD305" s="1"/>
      <c r="AE305" s="1"/>
      <c r="AF305" s="1"/>
      <c r="AG305" s="1"/>
      <c r="AH305" s="1"/>
      <c r="AI305" s="1"/>
      <c r="AJ305" s="1"/>
      <c r="AK305" s="1"/>
      <c r="AL305" s="1"/>
      <c r="AM305" s="1"/>
      <c r="AN305" s="1"/>
      <c r="AO305" s="1" t="s">
        <v>2846</v>
      </c>
      <c r="AP305" s="1"/>
      <c r="AQ305" s="1"/>
      <c r="AR305" s="1"/>
      <c r="AS305" s="1"/>
      <c r="AT305" s="1" t="s">
        <v>2847</v>
      </c>
      <c r="AU305" s="3">
        <v>2018</v>
      </c>
      <c r="AV305" s="3">
        <v>9</v>
      </c>
      <c r="AW305" s="3">
        <v>18</v>
      </c>
      <c r="AX305" s="2"/>
      <c r="AY305" s="2"/>
      <c r="AZ305" s="1"/>
      <c r="BA305" s="2"/>
      <c r="BB305" s="3">
        <v>5327</v>
      </c>
      <c r="BC305" s="3">
        <v>5333</v>
      </c>
      <c r="BD305" s="2"/>
      <c r="BE305" s="1" t="s">
        <v>2848</v>
      </c>
      <c r="BF305" s="4">
        <f>HYPERLINK("http://dx.doi.org/10.1021/acs.jpclett.8b02359","http://dx.doi.org/10.1021/acs.jpclett.8b02359")</f>
      </c>
      <c r="BG305" s="1"/>
      <c r="BH305" s="1"/>
      <c r="BI305" s="1"/>
      <c r="BJ305" s="1"/>
      <c r="BK305" s="1"/>
      <c r="BL305" s="1"/>
      <c r="BM305" s="1"/>
      <c r="BN305" s="3">
        <v>30149712</v>
      </c>
      <c r="BO305" s="1"/>
      <c r="BP305" s="1"/>
      <c r="BQ305" s="1"/>
      <c r="BR305" s="1"/>
      <c r="BS305" s="1" t="s">
        <v>2849</v>
      </c>
      <c r="BT305" s="5">
        <f>HYPERLINK("https%3A%2F%2Fwww.webofscience.com%2Fwos%2Fwoscc%2Ffull-record%2FWOS:000445713200019","View Full Record in Web of Science")</f>
      </c>
    </row>
    <row x14ac:dyDescent="0.25" r="306" customHeight="1" ht="12.75">
      <c r="A306" s="1" t="s">
        <v>72</v>
      </c>
      <c r="B306" s="1" t="s">
        <v>2850</v>
      </c>
      <c r="C306" s="1"/>
      <c r="D306" s="1"/>
      <c r="E306" s="1"/>
      <c r="F306" s="1" t="s">
        <v>2851</v>
      </c>
      <c r="G306" s="1"/>
      <c r="H306" s="1"/>
      <c r="I306" s="1" t="s">
        <v>2852</v>
      </c>
      <c r="J306" s="1" t="s">
        <v>1824</v>
      </c>
      <c r="K306" s="1"/>
      <c r="L306" s="1"/>
      <c r="M306" s="1"/>
      <c r="N306" s="1"/>
      <c r="O306" s="1"/>
      <c r="P306" s="2"/>
      <c r="Q306" s="1"/>
      <c r="R306" s="1"/>
      <c r="S306" s="1"/>
      <c r="T306" s="1"/>
      <c r="U306" s="1"/>
      <c r="V306" s="1" t="s">
        <v>2853</v>
      </c>
      <c r="W306" s="1"/>
      <c r="X306" s="1"/>
      <c r="Y306" s="1"/>
      <c r="Z306" s="1"/>
      <c r="AA306" s="1" t="s">
        <v>2854</v>
      </c>
      <c r="AB306" s="1"/>
      <c r="AC306" s="1"/>
      <c r="AD306" s="1"/>
      <c r="AE306" s="1"/>
      <c r="AF306" s="1"/>
      <c r="AG306" s="1"/>
      <c r="AH306" s="1"/>
      <c r="AI306" s="1"/>
      <c r="AJ306" s="1"/>
      <c r="AK306" s="1"/>
      <c r="AL306" s="1"/>
      <c r="AM306" s="1"/>
      <c r="AN306" s="1"/>
      <c r="AO306" s="1" t="s">
        <v>1827</v>
      </c>
      <c r="AP306" s="1"/>
      <c r="AQ306" s="1"/>
      <c r="AR306" s="1"/>
      <c r="AS306" s="1"/>
      <c r="AT306" s="1" t="s">
        <v>2855</v>
      </c>
      <c r="AU306" s="3">
        <v>2018</v>
      </c>
      <c r="AV306" s="3">
        <v>13</v>
      </c>
      <c r="AW306" s="3">
        <v>4</v>
      </c>
      <c r="AX306" s="2"/>
      <c r="AY306" s="2"/>
      <c r="AZ306" s="1"/>
      <c r="BA306" s="2"/>
      <c r="BB306" s="2"/>
      <c r="BC306" s="2"/>
      <c r="BD306" s="2" t="s">
        <v>2856</v>
      </c>
      <c r="BE306" s="1" t="s">
        <v>2857</v>
      </c>
      <c r="BF306" s="4">
        <f>HYPERLINK("http://dx.doi.org/10.1371/journal.pone.0187473","http://dx.doi.org/10.1371/journal.pone.0187473")</f>
      </c>
      <c r="BG306" s="1"/>
      <c r="BH306" s="1"/>
      <c r="BI306" s="1"/>
      <c r="BJ306" s="1"/>
      <c r="BK306" s="1"/>
      <c r="BL306" s="1"/>
      <c r="BM306" s="1"/>
      <c r="BN306" s="3">
        <v>29649262</v>
      </c>
      <c r="BO306" s="1"/>
      <c r="BP306" s="1"/>
      <c r="BQ306" s="1"/>
      <c r="BR306" s="1"/>
      <c r="BS306" s="1" t="s">
        <v>2858</v>
      </c>
      <c r="BT306" s="5">
        <f>HYPERLINK("https%3A%2F%2Fwww.webofscience.com%2Fwos%2Fwoscc%2Ffull-record%2FWOS:000429791900001","View Full Record in Web of Science")</f>
      </c>
    </row>
    <row x14ac:dyDescent="0.25" r="307" customHeight="1" ht="12.75">
      <c r="A307" s="1" t="s">
        <v>267</v>
      </c>
      <c r="B307" s="1" t="s">
        <v>2859</v>
      </c>
      <c r="C307" s="1"/>
      <c r="D307" s="1" t="s">
        <v>2860</v>
      </c>
      <c r="E307" s="1"/>
      <c r="F307" s="1" t="s">
        <v>2861</v>
      </c>
      <c r="G307" s="1"/>
      <c r="H307" s="1"/>
      <c r="I307" s="1" t="s">
        <v>2862</v>
      </c>
      <c r="J307" s="1" t="s">
        <v>2863</v>
      </c>
      <c r="K307" s="1" t="s">
        <v>2864</v>
      </c>
      <c r="L307" s="1"/>
      <c r="M307" s="1"/>
      <c r="N307" s="1"/>
      <c r="O307" s="1"/>
      <c r="P307" s="2"/>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t="s">
        <v>2865</v>
      </c>
      <c r="AR307" s="1"/>
      <c r="AS307" s="1"/>
      <c r="AT307" s="1"/>
      <c r="AU307" s="3">
        <v>2018</v>
      </c>
      <c r="AV307" s="2"/>
      <c r="AW307" s="2"/>
      <c r="AX307" s="2"/>
      <c r="AY307" s="2"/>
      <c r="AZ307" s="1"/>
      <c r="BA307" s="2"/>
      <c r="BB307" s="3">
        <v>3</v>
      </c>
      <c r="BC307" s="3">
        <v>4</v>
      </c>
      <c r="BD307" s="2"/>
      <c r="BE307" s="1"/>
      <c r="BF307" s="1"/>
      <c r="BG307" s="1"/>
      <c r="BH307" s="1"/>
      <c r="BI307" s="1"/>
      <c r="BJ307" s="1"/>
      <c r="BK307" s="1"/>
      <c r="BL307" s="1"/>
      <c r="BM307" s="1"/>
      <c r="BN307" s="2"/>
      <c r="BO307" s="1"/>
      <c r="BP307" s="1"/>
      <c r="BQ307" s="1"/>
      <c r="BR307" s="1"/>
      <c r="BS307" s="1" t="s">
        <v>2866</v>
      </c>
      <c r="BT307" s="5">
        <f>HYPERLINK("https%3A%2F%2Fwww.webofscience.com%2Fwos%2Fwoscc%2Ffull-record%2FWOS:000448454900001","View Full Record in Web of Science")</f>
      </c>
    </row>
    <row x14ac:dyDescent="0.25" r="308" customHeight="1" ht="12.75">
      <c r="A308" s="1" t="s">
        <v>72</v>
      </c>
      <c r="B308" s="1" t="s">
        <v>2867</v>
      </c>
      <c r="C308" s="1"/>
      <c r="D308" s="1"/>
      <c r="E308" s="1"/>
      <c r="F308" s="1" t="s">
        <v>2868</v>
      </c>
      <c r="G308" s="1"/>
      <c r="H308" s="1"/>
      <c r="I308" s="1" t="s">
        <v>2869</v>
      </c>
      <c r="J308" s="1" t="s">
        <v>2870</v>
      </c>
      <c r="K308" s="1"/>
      <c r="L308" s="1"/>
      <c r="M308" s="1"/>
      <c r="N308" s="1"/>
      <c r="O308" s="1"/>
      <c r="P308" s="2"/>
      <c r="Q308" s="1"/>
      <c r="R308" s="1"/>
      <c r="S308" s="1"/>
      <c r="T308" s="1"/>
      <c r="U308" s="1"/>
      <c r="V308" s="1" t="s">
        <v>2871</v>
      </c>
      <c r="W308" s="1"/>
      <c r="X308" s="1"/>
      <c r="Y308" s="1"/>
      <c r="Z308" s="1"/>
      <c r="AA308" s="1" t="s">
        <v>450</v>
      </c>
      <c r="AB308" s="1"/>
      <c r="AC308" s="1"/>
      <c r="AD308" s="1"/>
      <c r="AE308" s="1"/>
      <c r="AF308" s="1"/>
      <c r="AG308" s="1"/>
      <c r="AH308" s="1"/>
      <c r="AI308" s="1"/>
      <c r="AJ308" s="1"/>
      <c r="AK308" s="1"/>
      <c r="AL308" s="1"/>
      <c r="AM308" s="1"/>
      <c r="AN308" s="1"/>
      <c r="AO308" s="1" t="s">
        <v>2872</v>
      </c>
      <c r="AP308" s="1"/>
      <c r="AQ308" s="1"/>
      <c r="AR308" s="1"/>
      <c r="AS308" s="1"/>
      <c r="AT308" s="1"/>
      <c r="AU308" s="3">
        <v>2018</v>
      </c>
      <c r="AV308" s="2"/>
      <c r="AW308" s="3">
        <v>60</v>
      </c>
      <c r="AX308" s="2"/>
      <c r="AY308" s="2"/>
      <c r="AZ308" s="1"/>
      <c r="BA308" s="2"/>
      <c r="BB308" s="3">
        <v>161</v>
      </c>
      <c r="BC308" s="3">
        <v>191</v>
      </c>
      <c r="BD308" s="2"/>
      <c r="BE308" s="1" t="s">
        <v>2873</v>
      </c>
      <c r="BF308" s="4">
        <f>HYPERLINK("http://dx.doi.org/10.4067/S0718-10432018005001602","http://dx.doi.org/10.4067/S0718-10432018005001602")</f>
      </c>
      <c r="BG308" s="1"/>
      <c r="BH308" s="1"/>
      <c r="BI308" s="1"/>
      <c r="BJ308" s="1"/>
      <c r="BK308" s="1"/>
      <c r="BL308" s="1"/>
      <c r="BM308" s="1"/>
      <c r="BN308" s="2"/>
      <c r="BO308" s="1"/>
      <c r="BP308" s="1"/>
      <c r="BQ308" s="1"/>
      <c r="BR308" s="1"/>
      <c r="BS308" s="1" t="s">
        <v>2874</v>
      </c>
      <c r="BT308" s="5">
        <f>HYPERLINK("https%3A%2F%2Fwww.webofscience.com%2Fwos%2Fwoscc%2Ffull-record%2FWOS:000467059400009","View Full Record in Web of Science")</f>
      </c>
    </row>
    <row x14ac:dyDescent="0.25" r="309" customHeight="1" ht="12.75">
      <c r="A309" s="1" t="s">
        <v>267</v>
      </c>
      <c r="B309" s="1" t="s">
        <v>2875</v>
      </c>
      <c r="C309" s="1"/>
      <c r="D309" s="1"/>
      <c r="E309" s="1" t="s">
        <v>370</v>
      </c>
      <c r="F309" s="1" t="s">
        <v>2876</v>
      </c>
      <c r="G309" s="1"/>
      <c r="H309" s="1"/>
      <c r="I309" s="1" t="s">
        <v>2877</v>
      </c>
      <c r="J309" s="1" t="s">
        <v>373</v>
      </c>
      <c r="K309" s="1"/>
      <c r="L309" s="1"/>
      <c r="M309" s="1"/>
      <c r="N309" s="1"/>
      <c r="O309" s="1"/>
      <c r="P309" s="2"/>
      <c r="Q309" s="1"/>
      <c r="R309" s="1"/>
      <c r="S309" s="1"/>
      <c r="T309" s="1"/>
      <c r="U309" s="1"/>
      <c r="V309" s="1" t="s">
        <v>2878</v>
      </c>
      <c r="W309" s="1"/>
      <c r="X309" s="1"/>
      <c r="Y309" s="1"/>
      <c r="Z309" s="1"/>
      <c r="AA309" s="1"/>
      <c r="AB309" s="1"/>
      <c r="AC309" s="1"/>
      <c r="AD309" s="1"/>
      <c r="AE309" s="1"/>
      <c r="AF309" s="1"/>
      <c r="AG309" s="1"/>
      <c r="AH309" s="1"/>
      <c r="AI309" s="1"/>
      <c r="AJ309" s="1"/>
      <c r="AK309" s="1"/>
      <c r="AL309" s="1"/>
      <c r="AM309" s="1"/>
      <c r="AN309" s="1"/>
      <c r="AO309" s="1"/>
      <c r="AP309" s="1"/>
      <c r="AQ309" s="1" t="s">
        <v>376</v>
      </c>
      <c r="AR309" s="1"/>
      <c r="AS309" s="1"/>
      <c r="AT309" s="1"/>
      <c r="AU309" s="3">
        <v>2018</v>
      </c>
      <c r="AV309" s="2"/>
      <c r="AW309" s="2"/>
      <c r="AX309" s="2"/>
      <c r="AY309" s="2"/>
      <c r="AZ309" s="1"/>
      <c r="BA309" s="2"/>
      <c r="BB309" s="3">
        <v>16</v>
      </c>
      <c r="BC309" s="3">
        <v>33</v>
      </c>
      <c r="BD309" s="2"/>
      <c r="BE309" s="1"/>
      <c r="BF309" s="1"/>
      <c r="BG309" s="1"/>
      <c r="BH309" s="1"/>
      <c r="BI309" s="1"/>
      <c r="BJ309" s="1"/>
      <c r="BK309" s="1"/>
      <c r="BL309" s="1"/>
      <c r="BM309" s="1"/>
      <c r="BN309" s="2"/>
      <c r="BO309" s="1"/>
      <c r="BP309" s="1"/>
      <c r="BQ309" s="1"/>
      <c r="BR309" s="1"/>
      <c r="BS309" s="1" t="s">
        <v>2879</v>
      </c>
      <c r="BT309" s="5">
        <f>HYPERLINK("https%3A%2F%2Fwww.webofscience.com%2Fwos%2Fwoscc%2Ffull-record%2FWOS:000480327100002","View Full Record in Web of Science")</f>
      </c>
    </row>
    <row x14ac:dyDescent="0.25" r="310" customHeight="1" ht="12.75">
      <c r="A310" s="1" t="s">
        <v>72</v>
      </c>
      <c r="B310" s="1" t="s">
        <v>2880</v>
      </c>
      <c r="C310" s="1"/>
      <c r="D310" s="1"/>
      <c r="E310" s="1"/>
      <c r="F310" s="1" t="s">
        <v>2881</v>
      </c>
      <c r="G310" s="1"/>
      <c r="H310" s="1"/>
      <c r="I310" s="1" t="s">
        <v>2882</v>
      </c>
      <c r="J310" s="1" t="s">
        <v>1507</v>
      </c>
      <c r="K310" s="1"/>
      <c r="L310" s="1"/>
      <c r="M310" s="1"/>
      <c r="N310" s="1"/>
      <c r="O310" s="1"/>
      <c r="P310" s="2"/>
      <c r="Q310" s="1"/>
      <c r="R310" s="1"/>
      <c r="S310" s="1"/>
      <c r="T310" s="1"/>
      <c r="U310" s="1"/>
      <c r="V310" s="1" t="s">
        <v>2883</v>
      </c>
      <c r="W310" s="1"/>
      <c r="X310" s="1"/>
      <c r="Y310" s="1"/>
      <c r="Z310" s="1"/>
      <c r="AA310" s="1" t="s">
        <v>2884</v>
      </c>
      <c r="AB310" s="1" t="s">
        <v>2885</v>
      </c>
      <c r="AC310" s="1"/>
      <c r="AD310" s="1"/>
      <c r="AE310" s="1"/>
      <c r="AF310" s="1"/>
      <c r="AG310" s="1"/>
      <c r="AH310" s="1"/>
      <c r="AI310" s="1"/>
      <c r="AJ310" s="1"/>
      <c r="AK310" s="1"/>
      <c r="AL310" s="1"/>
      <c r="AM310" s="1"/>
      <c r="AN310" s="1"/>
      <c r="AO310" s="1" t="s">
        <v>2886</v>
      </c>
      <c r="AP310" s="1"/>
      <c r="AQ310" s="1"/>
      <c r="AR310" s="1"/>
      <c r="AS310" s="1"/>
      <c r="AT310" s="1" t="s">
        <v>204</v>
      </c>
      <c r="AU310" s="3">
        <v>2016</v>
      </c>
      <c r="AV310" s="3">
        <v>61</v>
      </c>
      <c r="AW310" s="3">
        <v>4</v>
      </c>
      <c r="AX310" s="2"/>
      <c r="AY310" s="2"/>
      <c r="AZ310" s="1"/>
      <c r="BA310" s="2"/>
      <c r="BB310" s="3">
        <v>3304</v>
      </c>
      <c r="BC310" s="3">
        <v>3310</v>
      </c>
      <c r="BD310" s="2"/>
      <c r="BE310" s="1" t="s">
        <v>2887</v>
      </c>
      <c r="BF310" s="4">
        <f>HYPERLINK("http://dx.doi.org/10.4067/S0717-97072016000400030","http://dx.doi.org/10.4067/S0717-97072016000400030")</f>
      </c>
      <c r="BG310" s="1"/>
      <c r="BH310" s="1"/>
      <c r="BI310" s="1"/>
      <c r="BJ310" s="1"/>
      <c r="BK310" s="1"/>
      <c r="BL310" s="1"/>
      <c r="BM310" s="1"/>
      <c r="BN310" s="2"/>
      <c r="BO310" s="1"/>
      <c r="BP310" s="1"/>
      <c r="BQ310" s="1"/>
      <c r="BR310" s="1"/>
      <c r="BS310" s="1" t="s">
        <v>2888</v>
      </c>
      <c r="BT310" s="5">
        <f>HYPERLINK("https%3A%2F%2Fwww.webofscience.com%2Fwos%2Fwoscc%2Ffull-record%2FWOS:000393079900030","View Full Record in Web of Science")</f>
      </c>
    </row>
    <row x14ac:dyDescent="0.25" r="311" customHeight="1" ht="12.75">
      <c r="A311" s="1" t="s">
        <v>72</v>
      </c>
      <c r="B311" s="1" t="s">
        <v>2889</v>
      </c>
      <c r="C311" s="1"/>
      <c r="D311" s="1"/>
      <c r="E311" s="1"/>
      <c r="F311" s="1" t="s">
        <v>2890</v>
      </c>
      <c r="G311" s="1"/>
      <c r="H311" s="1"/>
      <c r="I311" s="1" t="s">
        <v>2891</v>
      </c>
      <c r="J311" s="1" t="s">
        <v>2892</v>
      </c>
      <c r="K311" s="1"/>
      <c r="L311" s="1"/>
      <c r="M311" s="1"/>
      <c r="N311" s="1"/>
      <c r="O311" s="1"/>
      <c r="P311" s="2"/>
      <c r="Q311" s="1"/>
      <c r="R311" s="1"/>
      <c r="S311" s="1"/>
      <c r="T311" s="1"/>
      <c r="U311" s="1"/>
      <c r="V311" s="1" t="s">
        <v>2893</v>
      </c>
      <c r="W311" s="1"/>
      <c r="X311" s="1"/>
      <c r="Y311" s="1"/>
      <c r="Z311" s="1"/>
      <c r="AA311" s="1" t="s">
        <v>2894</v>
      </c>
      <c r="AB311" s="1" t="s">
        <v>2895</v>
      </c>
      <c r="AC311" s="1"/>
      <c r="AD311" s="1"/>
      <c r="AE311" s="1"/>
      <c r="AF311" s="1"/>
      <c r="AG311" s="1"/>
      <c r="AH311" s="1"/>
      <c r="AI311" s="1"/>
      <c r="AJ311" s="1"/>
      <c r="AK311" s="1"/>
      <c r="AL311" s="1"/>
      <c r="AM311" s="1"/>
      <c r="AN311" s="1"/>
      <c r="AO311" s="1" t="s">
        <v>2896</v>
      </c>
      <c r="AP311" s="1" t="s">
        <v>2897</v>
      </c>
      <c r="AQ311" s="1"/>
      <c r="AR311" s="1"/>
      <c r="AS311" s="1"/>
      <c r="AT311" s="1" t="s">
        <v>204</v>
      </c>
      <c r="AU311" s="3">
        <v>2016</v>
      </c>
      <c r="AV311" s="3">
        <v>103</v>
      </c>
      <c r="AW311" s="2"/>
      <c r="AX311" s="2"/>
      <c r="AY311" s="2"/>
      <c r="AZ311" s="1"/>
      <c r="BA311" s="2"/>
      <c r="BB311" s="3">
        <v>251</v>
      </c>
      <c r="BC311" s="3">
        <v>260</v>
      </c>
      <c r="BD311" s="2"/>
      <c r="BE311" s="1" t="s">
        <v>2898</v>
      </c>
      <c r="BF311" s="4">
        <f>HYPERLINK("http://dx.doi.org/10.1016/j.biocontrol.2016.10.002","http://dx.doi.org/10.1016/j.biocontrol.2016.10.002")</f>
      </c>
      <c r="BG311" s="1"/>
      <c r="BH311" s="1"/>
      <c r="BI311" s="1"/>
      <c r="BJ311" s="1"/>
      <c r="BK311" s="1"/>
      <c r="BL311" s="1"/>
      <c r="BM311" s="1"/>
      <c r="BN311" s="2"/>
      <c r="BO311" s="1"/>
      <c r="BP311" s="1"/>
      <c r="BQ311" s="1"/>
      <c r="BR311" s="1"/>
      <c r="BS311" s="1" t="s">
        <v>2899</v>
      </c>
      <c r="BT311" s="5">
        <f>HYPERLINK("https%3A%2F%2Fwww.webofscience.com%2Fwos%2Fwoscc%2Ffull-record%2FWOS:000386468300029","View Full Record in Web of Science")</f>
      </c>
    </row>
    <row x14ac:dyDescent="0.25" r="312" customHeight="1" ht="12.75">
      <c r="A312" s="1" t="s">
        <v>72</v>
      </c>
      <c r="B312" s="1" t="s">
        <v>2900</v>
      </c>
      <c r="C312" s="1"/>
      <c r="D312" s="1"/>
      <c r="E312" s="1"/>
      <c r="F312" s="1" t="s">
        <v>2901</v>
      </c>
      <c r="G312" s="1"/>
      <c r="H312" s="1"/>
      <c r="I312" s="1" t="s">
        <v>2902</v>
      </c>
      <c r="J312" s="1" t="s">
        <v>1507</v>
      </c>
      <c r="K312" s="1"/>
      <c r="L312" s="1"/>
      <c r="M312" s="1"/>
      <c r="N312" s="1"/>
      <c r="O312" s="1"/>
      <c r="P312" s="2"/>
      <c r="Q312" s="1"/>
      <c r="R312" s="1"/>
      <c r="S312" s="1"/>
      <c r="T312" s="1"/>
      <c r="U312" s="1"/>
      <c r="V312" s="1" t="s">
        <v>2903</v>
      </c>
      <c r="W312" s="1"/>
      <c r="X312" s="1"/>
      <c r="Y312" s="1"/>
      <c r="Z312" s="1"/>
      <c r="AA312" s="1" t="s">
        <v>2904</v>
      </c>
      <c r="AB312" s="1" t="s">
        <v>2905</v>
      </c>
      <c r="AC312" s="1"/>
      <c r="AD312" s="1"/>
      <c r="AE312" s="1"/>
      <c r="AF312" s="1"/>
      <c r="AG312" s="1"/>
      <c r="AH312" s="1"/>
      <c r="AI312" s="1"/>
      <c r="AJ312" s="1"/>
      <c r="AK312" s="1"/>
      <c r="AL312" s="1"/>
      <c r="AM312" s="1"/>
      <c r="AN312" s="1"/>
      <c r="AO312" s="1" t="s">
        <v>2886</v>
      </c>
      <c r="AP312" s="1"/>
      <c r="AQ312" s="1"/>
      <c r="AR312" s="1"/>
      <c r="AS312" s="1"/>
      <c r="AT312" s="1" t="s">
        <v>292</v>
      </c>
      <c r="AU312" s="3">
        <v>2016</v>
      </c>
      <c r="AV312" s="3">
        <v>61</v>
      </c>
      <c r="AW312" s="3">
        <v>3</v>
      </c>
      <c r="AX312" s="2"/>
      <c r="AY312" s="2"/>
      <c r="AZ312" s="1"/>
      <c r="BA312" s="2"/>
      <c r="BB312" s="3">
        <v>3039</v>
      </c>
      <c r="BC312" s="3">
        <v>3042</v>
      </c>
      <c r="BD312" s="2"/>
      <c r="BE312" s="1" t="s">
        <v>2906</v>
      </c>
      <c r="BF312" s="4">
        <f>HYPERLINK("http://dx.doi.org/10.4067/S0717-97072016000300006","http://dx.doi.org/10.4067/S0717-97072016000300006")</f>
      </c>
      <c r="BG312" s="1"/>
      <c r="BH312" s="1"/>
      <c r="BI312" s="1"/>
      <c r="BJ312" s="1"/>
      <c r="BK312" s="1"/>
      <c r="BL312" s="1"/>
      <c r="BM312" s="1"/>
      <c r="BN312" s="2"/>
      <c r="BO312" s="1"/>
      <c r="BP312" s="1"/>
      <c r="BQ312" s="1"/>
      <c r="BR312" s="1"/>
      <c r="BS312" s="1" t="s">
        <v>2907</v>
      </c>
      <c r="BT312" s="5">
        <f>HYPERLINK("https%3A%2F%2Fwww.webofscience.com%2Fwos%2Fwoscc%2Ffull-record%2FWOS:000389063700006","View Full Record in Web of Science")</f>
      </c>
    </row>
    <row x14ac:dyDescent="0.25" r="313" customHeight="1" ht="12.75">
      <c r="A313" s="1" t="s">
        <v>72</v>
      </c>
      <c r="B313" s="1" t="s">
        <v>2908</v>
      </c>
      <c r="C313" s="1"/>
      <c r="D313" s="1"/>
      <c r="E313" s="1"/>
      <c r="F313" s="1" t="s">
        <v>2909</v>
      </c>
      <c r="G313" s="1"/>
      <c r="H313" s="1"/>
      <c r="I313" s="1" t="s">
        <v>2910</v>
      </c>
      <c r="J313" s="1" t="s">
        <v>2911</v>
      </c>
      <c r="K313" s="1"/>
      <c r="L313" s="1"/>
      <c r="M313" s="1"/>
      <c r="N313" s="1"/>
      <c r="O313" s="1"/>
      <c r="P313" s="2"/>
      <c r="Q313" s="1"/>
      <c r="R313" s="1"/>
      <c r="S313" s="1"/>
      <c r="T313" s="1"/>
      <c r="U313" s="1"/>
      <c r="V313" s="1" t="s">
        <v>2912</v>
      </c>
      <c r="W313" s="1"/>
      <c r="X313" s="1"/>
      <c r="Y313" s="1"/>
      <c r="Z313" s="1"/>
      <c r="AA313" s="1"/>
      <c r="AB313" s="1"/>
      <c r="AC313" s="1"/>
      <c r="AD313" s="1"/>
      <c r="AE313" s="1"/>
      <c r="AF313" s="1"/>
      <c r="AG313" s="1"/>
      <c r="AH313" s="1"/>
      <c r="AI313" s="1"/>
      <c r="AJ313" s="1"/>
      <c r="AK313" s="1"/>
      <c r="AL313" s="1"/>
      <c r="AM313" s="1"/>
      <c r="AN313" s="1"/>
      <c r="AO313" s="1" t="s">
        <v>2913</v>
      </c>
      <c r="AP313" s="1" t="s">
        <v>2914</v>
      </c>
      <c r="AQ313" s="1"/>
      <c r="AR313" s="1"/>
      <c r="AS313" s="1"/>
      <c r="AT313" s="1" t="s">
        <v>605</v>
      </c>
      <c r="AU313" s="3">
        <v>2016</v>
      </c>
      <c r="AV313" s="3">
        <v>117</v>
      </c>
      <c r="AW313" s="3">
        <v>3</v>
      </c>
      <c r="AX313" s="2"/>
      <c r="AY313" s="2"/>
      <c r="AZ313" s="1"/>
      <c r="BA313" s="2"/>
      <c r="BB313" s="3">
        <v>741</v>
      </c>
      <c r="BC313" s="3">
        <v>750</v>
      </c>
      <c r="BD313" s="2"/>
      <c r="BE313" s="1" t="s">
        <v>2915</v>
      </c>
      <c r="BF313" s="4">
        <f>HYPERLINK("http://dx.doi.org/10.1002/jcb.25359","http://dx.doi.org/10.1002/jcb.25359")</f>
      </c>
      <c r="BG313" s="1"/>
      <c r="BH313" s="1"/>
      <c r="BI313" s="1"/>
      <c r="BJ313" s="1"/>
      <c r="BK313" s="1"/>
      <c r="BL313" s="1"/>
      <c r="BM313" s="1"/>
      <c r="BN313" s="3">
        <v>26335579</v>
      </c>
      <c r="BO313" s="1"/>
      <c r="BP313" s="1"/>
      <c r="BQ313" s="1"/>
      <c r="BR313" s="1"/>
      <c r="BS313" s="1" t="s">
        <v>2916</v>
      </c>
      <c r="BT313" s="5">
        <f>HYPERLINK("https%3A%2F%2Fwww.webofscience.com%2Fwos%2Fwoscc%2Ffull-record%2FWOS:000368857900018","View Full Record in Web of Science")</f>
      </c>
    </row>
    <row x14ac:dyDescent="0.25" r="314" customHeight="1" ht="12.75">
      <c r="A314" s="1" t="s">
        <v>72</v>
      </c>
      <c r="B314" s="1" t="s">
        <v>2917</v>
      </c>
      <c r="C314" s="1"/>
      <c r="D314" s="1"/>
      <c r="E314" s="1"/>
      <c r="F314" s="1" t="s">
        <v>2918</v>
      </c>
      <c r="G314" s="1"/>
      <c r="H314" s="1"/>
      <c r="I314" s="1" t="s">
        <v>2919</v>
      </c>
      <c r="J314" s="1" t="s">
        <v>2920</v>
      </c>
      <c r="K314" s="1"/>
      <c r="L314" s="1"/>
      <c r="M314" s="1"/>
      <c r="N314" s="1"/>
      <c r="O314" s="1"/>
      <c r="P314" s="2"/>
      <c r="Q314" s="1"/>
      <c r="R314" s="1"/>
      <c r="S314" s="1"/>
      <c r="T314" s="1"/>
      <c r="U314" s="1"/>
      <c r="V314" s="1" t="s">
        <v>2921</v>
      </c>
      <c r="W314" s="1"/>
      <c r="X314" s="1"/>
      <c r="Y314" s="1"/>
      <c r="Z314" s="1"/>
      <c r="AA314" s="1" t="s">
        <v>2922</v>
      </c>
      <c r="AB314" s="1" t="s">
        <v>2923</v>
      </c>
      <c r="AC314" s="1"/>
      <c r="AD314" s="1"/>
      <c r="AE314" s="1"/>
      <c r="AF314" s="1"/>
      <c r="AG314" s="1"/>
      <c r="AH314" s="1"/>
      <c r="AI314" s="1"/>
      <c r="AJ314" s="1"/>
      <c r="AK314" s="1"/>
      <c r="AL314" s="1"/>
      <c r="AM314" s="1"/>
      <c r="AN314" s="1"/>
      <c r="AO314" s="1" t="s">
        <v>2924</v>
      </c>
      <c r="AP314" s="1" t="s">
        <v>2925</v>
      </c>
      <c r="AQ314" s="1"/>
      <c r="AR314" s="1"/>
      <c r="AS314" s="1"/>
      <c r="AT314" s="1"/>
      <c r="AU314" s="3">
        <v>2015</v>
      </c>
      <c r="AV314" s="3">
        <v>18</v>
      </c>
      <c r="AW314" s="3">
        <v>3</v>
      </c>
      <c r="AX314" s="2"/>
      <c r="AY314" s="2"/>
      <c r="AZ314" s="1"/>
      <c r="BA314" s="2"/>
      <c r="BB314" s="3">
        <v>257</v>
      </c>
      <c r="BC314" s="3">
        <v>267</v>
      </c>
      <c r="BD314" s="2"/>
      <c r="BE314" s="1" t="s">
        <v>2926</v>
      </c>
      <c r="BF314" s="4">
        <f>HYPERLINK("http://dx.doi.org/10.1615/JPorMedia.v18.i3.60","http://dx.doi.org/10.1615/JPorMedia.v18.i3.60")</f>
      </c>
      <c r="BG314" s="1"/>
      <c r="BH314" s="1"/>
      <c r="BI314" s="1"/>
      <c r="BJ314" s="1"/>
      <c r="BK314" s="1"/>
      <c r="BL314" s="1"/>
      <c r="BM314" s="1"/>
      <c r="BN314" s="2"/>
      <c r="BO314" s="1"/>
      <c r="BP314" s="1"/>
      <c r="BQ314" s="1"/>
      <c r="BR314" s="1"/>
      <c r="BS314" s="1" t="s">
        <v>2927</v>
      </c>
      <c r="BT314" s="5">
        <f>HYPERLINK("https%3A%2F%2Fwww.webofscience.com%2Fwos%2Fwoscc%2Ffull-record%2FWOS:000352968200006","View Full Record in Web of Science")</f>
      </c>
    </row>
    <row x14ac:dyDescent="0.25" r="315" customHeight="1" ht="12.75">
      <c r="A315" s="1" t="s">
        <v>72</v>
      </c>
      <c r="B315" s="1" t="s">
        <v>2928</v>
      </c>
      <c r="C315" s="1"/>
      <c r="D315" s="1"/>
      <c r="E315" s="1"/>
      <c r="F315" s="1" t="s">
        <v>2929</v>
      </c>
      <c r="G315" s="1"/>
      <c r="H315" s="1"/>
      <c r="I315" s="1" t="s">
        <v>2930</v>
      </c>
      <c r="J315" s="1" t="s">
        <v>2931</v>
      </c>
      <c r="K315" s="1"/>
      <c r="L315" s="1"/>
      <c r="M315" s="1"/>
      <c r="N315" s="1"/>
      <c r="O315" s="1"/>
      <c r="P315" s="2"/>
      <c r="Q315" s="1"/>
      <c r="R315" s="1"/>
      <c r="S315" s="1"/>
      <c r="T315" s="1"/>
      <c r="U315" s="1"/>
      <c r="V315" s="1" t="s">
        <v>2932</v>
      </c>
      <c r="W315" s="1"/>
      <c r="X315" s="1"/>
      <c r="Y315" s="1"/>
      <c r="Z315" s="1"/>
      <c r="AA315" s="1"/>
      <c r="AB315" s="1"/>
      <c r="AC315" s="1"/>
      <c r="AD315" s="1"/>
      <c r="AE315" s="1"/>
      <c r="AF315" s="1"/>
      <c r="AG315" s="1"/>
      <c r="AH315" s="1"/>
      <c r="AI315" s="1"/>
      <c r="AJ315" s="1"/>
      <c r="AK315" s="1"/>
      <c r="AL315" s="1"/>
      <c r="AM315" s="1"/>
      <c r="AN315" s="1"/>
      <c r="AO315" s="1" t="s">
        <v>2933</v>
      </c>
      <c r="AP315" s="1" t="s">
        <v>2934</v>
      </c>
      <c r="AQ315" s="1"/>
      <c r="AR315" s="1"/>
      <c r="AS315" s="1"/>
      <c r="AT315" s="1" t="s">
        <v>567</v>
      </c>
      <c r="AU315" s="3">
        <v>2014</v>
      </c>
      <c r="AV315" s="3">
        <v>34</v>
      </c>
      <c r="AW315" s="2"/>
      <c r="AX315" s="3">
        <v>2</v>
      </c>
      <c r="AY315" s="2"/>
      <c r="AZ315" s="1"/>
      <c r="BA315" s="2"/>
      <c r="BB315" s="3">
        <v>501</v>
      </c>
      <c r="BC315" s="3">
        <v>533</v>
      </c>
      <c r="BD315" s="2"/>
      <c r="BE315" s="1" t="s">
        <v>2935</v>
      </c>
      <c r="BF315" s="4">
        <f>HYPERLINK("http://dx.doi.org/10.1017/etds.2012.145","http://dx.doi.org/10.1017/etds.2012.145")</f>
      </c>
      <c r="BG315" s="1"/>
      <c r="BH315" s="1"/>
      <c r="BI315" s="1"/>
      <c r="BJ315" s="1"/>
      <c r="BK315" s="1"/>
      <c r="BL315" s="1"/>
      <c r="BM315" s="1"/>
      <c r="BN315" s="2"/>
      <c r="BO315" s="1"/>
      <c r="BP315" s="1"/>
      <c r="BQ315" s="1"/>
      <c r="BR315" s="1"/>
      <c r="BS315" s="1" t="s">
        <v>2936</v>
      </c>
      <c r="BT315" s="5">
        <f>HYPERLINK("https%3A%2F%2Fwww.webofscience.com%2Fwos%2Fwoscc%2Ffull-record%2FWOS:000338294400006","View Full Record in Web of Science")</f>
      </c>
    </row>
    <row x14ac:dyDescent="0.25" r="316" customHeight="1" ht="12.75">
      <c r="A316" s="1" t="s">
        <v>72</v>
      </c>
      <c r="B316" s="1" t="s">
        <v>2937</v>
      </c>
      <c r="C316" s="1"/>
      <c r="D316" s="1"/>
      <c r="E316" s="1"/>
      <c r="F316" s="1" t="s">
        <v>2938</v>
      </c>
      <c r="G316" s="1"/>
      <c r="H316" s="1"/>
      <c r="I316" s="1" t="s">
        <v>2939</v>
      </c>
      <c r="J316" s="1" t="s">
        <v>2940</v>
      </c>
      <c r="K316" s="1"/>
      <c r="L316" s="1"/>
      <c r="M316" s="1"/>
      <c r="N316" s="1"/>
      <c r="O316" s="1"/>
      <c r="P316" s="2"/>
      <c r="Q316" s="1"/>
      <c r="R316" s="1"/>
      <c r="S316" s="1"/>
      <c r="T316" s="1"/>
      <c r="U316" s="1"/>
      <c r="V316" s="1" t="s">
        <v>2941</v>
      </c>
      <c r="W316" s="1"/>
      <c r="X316" s="1"/>
      <c r="Y316" s="1"/>
      <c r="Z316" s="1"/>
      <c r="AA316" s="1" t="s">
        <v>2942</v>
      </c>
      <c r="AB316" s="1" t="s">
        <v>2943</v>
      </c>
      <c r="AC316" s="1"/>
      <c r="AD316" s="1"/>
      <c r="AE316" s="1"/>
      <c r="AF316" s="1"/>
      <c r="AG316" s="1"/>
      <c r="AH316" s="1"/>
      <c r="AI316" s="1"/>
      <c r="AJ316" s="1"/>
      <c r="AK316" s="1"/>
      <c r="AL316" s="1"/>
      <c r="AM316" s="1"/>
      <c r="AN316" s="1"/>
      <c r="AO316" s="1" t="s">
        <v>2944</v>
      </c>
      <c r="AP316" s="1" t="s">
        <v>2945</v>
      </c>
      <c r="AQ316" s="1"/>
      <c r="AR316" s="1"/>
      <c r="AS316" s="1"/>
      <c r="AT316" s="1" t="s">
        <v>126</v>
      </c>
      <c r="AU316" s="3">
        <v>2013</v>
      </c>
      <c r="AV316" s="3">
        <v>19</v>
      </c>
      <c r="AW316" s="3">
        <v>7</v>
      </c>
      <c r="AX316" s="2"/>
      <c r="AY316" s="2"/>
      <c r="AZ316" s="1"/>
      <c r="BA316" s="2"/>
      <c r="BB316" s="3">
        <v>2913</v>
      </c>
      <c r="BC316" s="3">
        <v>2924</v>
      </c>
      <c r="BD316" s="2"/>
      <c r="BE316" s="1" t="s">
        <v>2946</v>
      </c>
      <c r="BF316" s="4">
        <f>HYPERLINK("http://dx.doi.org/10.1007/s00894-013-1822-z","http://dx.doi.org/10.1007/s00894-013-1822-z")</f>
      </c>
      <c r="BG316" s="1"/>
      <c r="BH316" s="1"/>
      <c r="BI316" s="1"/>
      <c r="BJ316" s="1"/>
      <c r="BK316" s="1"/>
      <c r="BL316" s="1"/>
      <c r="BM316" s="1"/>
      <c r="BN316" s="3">
        <v>23584553</v>
      </c>
      <c r="BO316" s="1"/>
      <c r="BP316" s="1"/>
      <c r="BQ316" s="1"/>
      <c r="BR316" s="1"/>
      <c r="BS316" s="1" t="s">
        <v>2947</v>
      </c>
      <c r="BT316" s="5">
        <f>HYPERLINK("https%3A%2F%2Fwww.webofscience.com%2Fwos%2Fwoscc%2Ffull-record%2FWOS:000320954600027","View Full Record in Web of Science")</f>
      </c>
    </row>
    <row x14ac:dyDescent="0.25" r="317" customHeight="1" ht="12.75">
      <c r="A317" s="1" t="s">
        <v>72</v>
      </c>
      <c r="B317" s="1" t="s">
        <v>2948</v>
      </c>
      <c r="C317" s="1"/>
      <c r="D317" s="1"/>
      <c r="E317" s="1"/>
      <c r="F317" s="1" t="s">
        <v>2949</v>
      </c>
      <c r="G317" s="1"/>
      <c r="H317" s="1"/>
      <c r="I317" s="1" t="s">
        <v>2950</v>
      </c>
      <c r="J317" s="1" t="s">
        <v>2920</v>
      </c>
      <c r="K317" s="1"/>
      <c r="L317" s="1"/>
      <c r="M317" s="1"/>
      <c r="N317" s="1"/>
      <c r="O317" s="1"/>
      <c r="P317" s="2"/>
      <c r="Q317" s="1"/>
      <c r="R317" s="1"/>
      <c r="S317" s="1"/>
      <c r="T317" s="1"/>
      <c r="U317" s="1"/>
      <c r="V317" s="1" t="s">
        <v>2951</v>
      </c>
      <c r="W317" s="1"/>
      <c r="X317" s="1"/>
      <c r="Y317" s="1"/>
      <c r="Z317" s="1"/>
      <c r="AA317" s="1" t="s">
        <v>2922</v>
      </c>
      <c r="AB317" s="1" t="s">
        <v>2923</v>
      </c>
      <c r="AC317" s="1"/>
      <c r="AD317" s="1"/>
      <c r="AE317" s="1"/>
      <c r="AF317" s="1"/>
      <c r="AG317" s="1"/>
      <c r="AH317" s="1"/>
      <c r="AI317" s="1"/>
      <c r="AJ317" s="1"/>
      <c r="AK317" s="1"/>
      <c r="AL317" s="1"/>
      <c r="AM317" s="1"/>
      <c r="AN317" s="1"/>
      <c r="AO317" s="1" t="s">
        <v>2924</v>
      </c>
      <c r="AP317" s="1" t="s">
        <v>2925</v>
      </c>
      <c r="AQ317" s="1"/>
      <c r="AR317" s="1"/>
      <c r="AS317" s="1"/>
      <c r="AT317" s="1"/>
      <c r="AU317" s="3">
        <v>2013</v>
      </c>
      <c r="AV317" s="3">
        <v>16</v>
      </c>
      <c r="AW317" s="3">
        <v>10</v>
      </c>
      <c r="AX317" s="2"/>
      <c r="AY317" s="2"/>
      <c r="AZ317" s="1"/>
      <c r="BA317" s="2"/>
      <c r="BB317" s="3">
        <v>933</v>
      </c>
      <c r="BC317" s="3">
        <v>944</v>
      </c>
      <c r="BD317" s="2"/>
      <c r="BE317" s="1" t="s">
        <v>2952</v>
      </c>
      <c r="BF317" s="4">
        <f>HYPERLINK("http://dx.doi.org/10.1615/JPorMedia.v16.i10.50","http://dx.doi.org/10.1615/JPorMedia.v16.i10.50")</f>
      </c>
      <c r="BG317" s="1"/>
      <c r="BH317" s="1"/>
      <c r="BI317" s="1"/>
      <c r="BJ317" s="1"/>
      <c r="BK317" s="1"/>
      <c r="BL317" s="1"/>
      <c r="BM317" s="1"/>
      <c r="BN317" s="2"/>
      <c r="BO317" s="1"/>
      <c r="BP317" s="1"/>
      <c r="BQ317" s="1"/>
      <c r="BR317" s="1"/>
      <c r="BS317" s="1" t="s">
        <v>2953</v>
      </c>
      <c r="BT317" s="5">
        <f>HYPERLINK("https%3A%2F%2Fwww.webofscience.com%2Fwos%2Fwoscc%2Ffull-record%2FWOS:000326202400005","View Full Record in Web of Science")</f>
      </c>
    </row>
    <row x14ac:dyDescent="0.25" r="318" customHeight="1" ht="12.75">
      <c r="A318" s="1" t="s">
        <v>72</v>
      </c>
      <c r="B318" s="1" t="s">
        <v>2954</v>
      </c>
      <c r="C318" s="1"/>
      <c r="D318" s="1"/>
      <c r="E318" s="1"/>
      <c r="F318" s="1" t="s">
        <v>2955</v>
      </c>
      <c r="G318" s="1"/>
      <c r="H318" s="1"/>
      <c r="I318" s="1" t="s">
        <v>2956</v>
      </c>
      <c r="J318" s="1" t="s">
        <v>2957</v>
      </c>
      <c r="K318" s="1"/>
      <c r="L318" s="1"/>
      <c r="M318" s="1"/>
      <c r="N318" s="1"/>
      <c r="O318" s="1"/>
      <c r="P318" s="2"/>
      <c r="Q318" s="1"/>
      <c r="R318" s="1"/>
      <c r="S318" s="1"/>
      <c r="T318" s="1"/>
      <c r="U318" s="1"/>
      <c r="V318" s="1" t="s">
        <v>2958</v>
      </c>
      <c r="W318" s="1"/>
      <c r="X318" s="1"/>
      <c r="Y318" s="1"/>
      <c r="Z318" s="1"/>
      <c r="AA318" s="1" t="s">
        <v>2959</v>
      </c>
      <c r="AB318" s="1" t="s">
        <v>2960</v>
      </c>
      <c r="AC318" s="1"/>
      <c r="AD318" s="1"/>
      <c r="AE318" s="1"/>
      <c r="AF318" s="1"/>
      <c r="AG318" s="1"/>
      <c r="AH318" s="1"/>
      <c r="AI318" s="1"/>
      <c r="AJ318" s="1"/>
      <c r="AK318" s="1"/>
      <c r="AL318" s="1"/>
      <c r="AM318" s="1"/>
      <c r="AN318" s="1"/>
      <c r="AO318" s="1" t="s">
        <v>2961</v>
      </c>
      <c r="AP318" s="1" t="s">
        <v>2962</v>
      </c>
      <c r="AQ318" s="1"/>
      <c r="AR318" s="1"/>
      <c r="AS318" s="1"/>
      <c r="AT318" s="1" t="s">
        <v>757</v>
      </c>
      <c r="AU318" s="3">
        <v>2012</v>
      </c>
      <c r="AV318" s="3">
        <v>31</v>
      </c>
      <c r="AW318" s="3">
        <v>2</v>
      </c>
      <c r="AX318" s="2"/>
      <c r="AY318" s="2"/>
      <c r="AZ318" s="1"/>
      <c r="BA318" s="2"/>
      <c r="BB318" s="3">
        <v>173</v>
      </c>
      <c r="BC318" s="3">
        <v>185</v>
      </c>
      <c r="BD318" s="2"/>
      <c r="BE318" s="1" t="s">
        <v>2963</v>
      </c>
      <c r="BF318" s="4">
        <f>HYPERLINK("http://dx.doi.org/10.1007/s00344-011-9229-5","http://dx.doi.org/10.1007/s00344-011-9229-5")</f>
      </c>
      <c r="BG318" s="1"/>
      <c r="BH318" s="1"/>
      <c r="BI318" s="1"/>
      <c r="BJ318" s="1"/>
      <c r="BK318" s="1"/>
      <c r="BL318" s="1"/>
      <c r="BM318" s="1"/>
      <c r="BN318" s="2"/>
      <c r="BO318" s="1"/>
      <c r="BP318" s="1"/>
      <c r="BQ318" s="1"/>
      <c r="BR318" s="1"/>
      <c r="BS318" s="1" t="s">
        <v>2964</v>
      </c>
      <c r="BT318" s="5">
        <f>HYPERLINK("https%3A%2F%2Fwww.webofscience.com%2Fwos%2Fwoscc%2Ffull-record%2FWOS:000303509400004","View Full Record in Web of Science")</f>
      </c>
    </row>
    <row x14ac:dyDescent="0.25" r="319" customHeight="1" ht="12.75">
      <c r="A319" s="1" t="s">
        <v>72</v>
      </c>
      <c r="B319" s="1" t="s">
        <v>2965</v>
      </c>
      <c r="C319" s="1"/>
      <c r="D319" s="1"/>
      <c r="E319" s="1"/>
      <c r="F319" s="1" t="s">
        <v>2966</v>
      </c>
      <c r="G319" s="1"/>
      <c r="H319" s="1"/>
      <c r="I319" s="1" t="s">
        <v>2967</v>
      </c>
      <c r="J319" s="1" t="s">
        <v>2968</v>
      </c>
      <c r="K319" s="1"/>
      <c r="L319" s="1"/>
      <c r="M319" s="1"/>
      <c r="N319" s="1"/>
      <c r="O319" s="1"/>
      <c r="P319" s="2"/>
      <c r="Q319" s="1"/>
      <c r="R319" s="1"/>
      <c r="S319" s="1"/>
      <c r="T319" s="1"/>
      <c r="U319" s="1"/>
      <c r="V319" s="1" t="s">
        <v>2969</v>
      </c>
      <c r="W319" s="1"/>
      <c r="X319" s="1"/>
      <c r="Y319" s="1"/>
      <c r="Z319" s="1"/>
      <c r="AA319" s="1"/>
      <c r="AB319" s="1"/>
      <c r="AC319" s="1"/>
      <c r="AD319" s="1"/>
      <c r="AE319" s="1"/>
      <c r="AF319" s="1"/>
      <c r="AG319" s="1"/>
      <c r="AH319" s="1"/>
      <c r="AI319" s="1"/>
      <c r="AJ319" s="1"/>
      <c r="AK319" s="1"/>
      <c r="AL319" s="1"/>
      <c r="AM319" s="1"/>
      <c r="AN319" s="1"/>
      <c r="AO319" s="1" t="s">
        <v>2970</v>
      </c>
      <c r="AP319" s="1"/>
      <c r="AQ319" s="1"/>
      <c r="AR319" s="1"/>
      <c r="AS319" s="1"/>
      <c r="AT319" s="1" t="s">
        <v>464</v>
      </c>
      <c r="AU319" s="3">
        <v>2012</v>
      </c>
      <c r="AV319" s="3">
        <v>44</v>
      </c>
      <c r="AW319" s="3">
        <v>2</v>
      </c>
      <c r="AX319" s="2"/>
      <c r="AY319" s="2"/>
      <c r="AZ319" s="1"/>
      <c r="BA319" s="2"/>
      <c r="BB319" s="3">
        <v>325</v>
      </c>
      <c r="BC319" s="3">
        <v>340</v>
      </c>
      <c r="BD319" s="2"/>
      <c r="BE319" s="1" t="s">
        <v>2971</v>
      </c>
      <c r="BF319" s="4">
        <f>HYPERLINK("http://dx.doi.org/10.4067/S0717-73562012000200009","http://dx.doi.org/10.4067/S0717-73562012000200009")</f>
      </c>
      <c r="BG319" s="1"/>
      <c r="BH319" s="1"/>
      <c r="BI319" s="1"/>
      <c r="BJ319" s="1"/>
      <c r="BK319" s="1"/>
      <c r="BL319" s="1"/>
      <c r="BM319" s="1"/>
      <c r="BN319" s="2"/>
      <c r="BO319" s="1"/>
      <c r="BP319" s="1"/>
      <c r="BQ319" s="1"/>
      <c r="BR319" s="1"/>
      <c r="BS319" s="1" t="s">
        <v>2972</v>
      </c>
      <c r="BT319" s="5">
        <f>HYPERLINK("https%3A%2F%2Fwww.webofscience.com%2Fwos%2Fwoscc%2Ffull-record%2FWOS:000305856800009","View Full Record in Web of Science")</f>
      </c>
    </row>
    <row x14ac:dyDescent="0.25" r="320" customHeight="1" ht="12.75">
      <c r="A320" s="1" t="s">
        <v>72</v>
      </c>
      <c r="B320" s="1" t="s">
        <v>2973</v>
      </c>
      <c r="C320" s="1"/>
      <c r="D320" s="1"/>
      <c r="E320" s="1"/>
      <c r="F320" s="1" t="s">
        <v>2974</v>
      </c>
      <c r="G320" s="1"/>
      <c r="H320" s="1"/>
      <c r="I320" s="1" t="s">
        <v>2975</v>
      </c>
      <c r="J320" s="1" t="s">
        <v>2976</v>
      </c>
      <c r="K320" s="1"/>
      <c r="L320" s="1"/>
      <c r="M320" s="1"/>
      <c r="N320" s="1"/>
      <c r="O320" s="1" t="s">
        <v>2977</v>
      </c>
      <c r="P320" s="2" t="s">
        <v>2978</v>
      </c>
      <c r="Q320" s="1" t="s">
        <v>2979</v>
      </c>
      <c r="R320" s="1"/>
      <c r="S320" s="1"/>
      <c r="T320" s="1"/>
      <c r="U320" s="1"/>
      <c r="V320" s="1" t="s">
        <v>2980</v>
      </c>
      <c r="W320" s="1"/>
      <c r="X320" s="1"/>
      <c r="Y320" s="1"/>
      <c r="Z320" s="1"/>
      <c r="AA320" s="1" t="s">
        <v>2981</v>
      </c>
      <c r="AB320" s="1" t="s">
        <v>2982</v>
      </c>
      <c r="AC320" s="1"/>
      <c r="AD320" s="1"/>
      <c r="AE320" s="1"/>
      <c r="AF320" s="1"/>
      <c r="AG320" s="1"/>
      <c r="AH320" s="1"/>
      <c r="AI320" s="1"/>
      <c r="AJ320" s="1"/>
      <c r="AK320" s="1"/>
      <c r="AL320" s="1"/>
      <c r="AM320" s="1"/>
      <c r="AN320" s="1"/>
      <c r="AO320" s="1" t="s">
        <v>2983</v>
      </c>
      <c r="AP320" s="1" t="s">
        <v>2984</v>
      </c>
      <c r="AQ320" s="1"/>
      <c r="AR320" s="1"/>
      <c r="AS320" s="1"/>
      <c r="AT320" s="1" t="s">
        <v>169</v>
      </c>
      <c r="AU320" s="3">
        <v>2011</v>
      </c>
      <c r="AV320" s="3">
        <v>91</v>
      </c>
      <c r="AW320" s="3">
        <v>14</v>
      </c>
      <c r="AX320" s="2"/>
      <c r="AY320" s="2"/>
      <c r="AZ320" s="1"/>
      <c r="BA320" s="2"/>
      <c r="BB320" s="3">
        <v>2558</v>
      </c>
      <c r="BC320" s="3">
        <v>2565</v>
      </c>
      <c r="BD320" s="2"/>
      <c r="BE320" s="1" t="s">
        <v>2985</v>
      </c>
      <c r="BF320" s="4">
        <f>HYPERLINK("http://dx.doi.org/10.1002/jsfa.4451","http://dx.doi.org/10.1002/jsfa.4451")</f>
      </c>
      <c r="BG320" s="1"/>
      <c r="BH320" s="1"/>
      <c r="BI320" s="1"/>
      <c r="BJ320" s="1"/>
      <c r="BK320" s="1"/>
      <c r="BL320" s="1"/>
      <c r="BM320" s="1"/>
      <c r="BN320" s="3">
        <v>21594873</v>
      </c>
      <c r="BO320" s="1"/>
      <c r="BP320" s="1"/>
      <c r="BQ320" s="1"/>
      <c r="BR320" s="1"/>
      <c r="BS320" s="1" t="s">
        <v>2986</v>
      </c>
      <c r="BT320" s="5">
        <f>HYPERLINK("https%3A%2F%2Fwww.webofscience.com%2Fwos%2Fwoscc%2Ffull-record%2FWOS:000296385900009","View Full Record in Web of Science")</f>
      </c>
    </row>
    <row x14ac:dyDescent="0.25" r="321" customHeight="1" ht="12.75">
      <c r="A321" s="1" t="s">
        <v>72</v>
      </c>
      <c r="B321" s="1" t="s">
        <v>2987</v>
      </c>
      <c r="C321" s="1"/>
      <c r="D321" s="1"/>
      <c r="E321" s="1"/>
      <c r="F321" s="1" t="s">
        <v>2988</v>
      </c>
      <c r="G321" s="1"/>
      <c r="H321" s="1"/>
      <c r="I321" s="1" t="s">
        <v>2989</v>
      </c>
      <c r="J321" s="1" t="s">
        <v>2990</v>
      </c>
      <c r="K321" s="1"/>
      <c r="L321" s="1"/>
      <c r="M321" s="1"/>
      <c r="N321" s="1"/>
      <c r="O321" s="1" t="s">
        <v>2991</v>
      </c>
      <c r="P321" s="2" t="s">
        <v>2992</v>
      </c>
      <c r="Q321" s="1" t="s">
        <v>2993</v>
      </c>
      <c r="R321" s="1"/>
      <c r="S321" s="1"/>
      <c r="T321" s="1"/>
      <c r="U321" s="1"/>
      <c r="V321" s="1"/>
      <c r="W321" s="1"/>
      <c r="X321" s="1"/>
      <c r="Y321" s="1"/>
      <c r="Z321" s="1"/>
      <c r="AA321" s="1" t="s">
        <v>2300</v>
      </c>
      <c r="AB321" s="1" t="s">
        <v>2301</v>
      </c>
      <c r="AC321" s="1"/>
      <c r="AD321" s="1"/>
      <c r="AE321" s="1"/>
      <c r="AF321" s="1"/>
      <c r="AG321" s="1"/>
      <c r="AH321" s="1"/>
      <c r="AI321" s="1"/>
      <c r="AJ321" s="1"/>
      <c r="AK321" s="1"/>
      <c r="AL321" s="1"/>
      <c r="AM321" s="1"/>
      <c r="AN321" s="1"/>
      <c r="AO321" s="1" t="s">
        <v>2994</v>
      </c>
      <c r="AP321" s="1"/>
      <c r="AQ321" s="1"/>
      <c r="AR321" s="1"/>
      <c r="AS321" s="1"/>
      <c r="AT321" s="1" t="s">
        <v>431</v>
      </c>
      <c r="AU321" s="3">
        <v>2009</v>
      </c>
      <c r="AV321" s="3">
        <v>47</v>
      </c>
      <c r="AW321" s="3">
        <v>9</v>
      </c>
      <c r="AX321" s="2"/>
      <c r="AY321" s="2"/>
      <c r="AZ321" s="1"/>
      <c r="BA321" s="2"/>
      <c r="BB321" s="3">
        <v>840</v>
      </c>
      <c r="BC321" s="3">
        <v>843</v>
      </c>
      <c r="BD321" s="2"/>
      <c r="BE321" s="1" t="s">
        <v>2995</v>
      </c>
      <c r="BF321" s="4">
        <f>HYPERLINK("http://dx.doi.org/10.1093/chromsci/47.9.840","http://dx.doi.org/10.1093/chromsci/47.9.840")</f>
      </c>
      <c r="BG321" s="1"/>
      <c r="BH321" s="1"/>
      <c r="BI321" s="1"/>
      <c r="BJ321" s="1"/>
      <c r="BK321" s="1"/>
      <c r="BL321" s="1"/>
      <c r="BM321" s="1"/>
      <c r="BN321" s="3">
        <v>19835700</v>
      </c>
      <c r="BO321" s="1"/>
      <c r="BP321" s="1"/>
      <c r="BQ321" s="1"/>
      <c r="BR321" s="1"/>
      <c r="BS321" s="1" t="s">
        <v>2996</v>
      </c>
      <c r="BT321" s="5">
        <f>HYPERLINK("https%3A%2F%2Fwww.webofscience.com%2Fwos%2Fwoscc%2Ffull-record%2FWOS:000270500200023","View Full Record in Web of Science")</f>
      </c>
    </row>
    <row x14ac:dyDescent="0.25" r="322" customHeight="1" ht="12.75">
      <c r="A322" s="1" t="s">
        <v>72</v>
      </c>
      <c r="B322" s="1" t="s">
        <v>2997</v>
      </c>
      <c r="C322" s="1"/>
      <c r="D322" s="1"/>
      <c r="E322" s="1"/>
      <c r="F322" s="1" t="s">
        <v>2998</v>
      </c>
      <c r="G322" s="1"/>
      <c r="H322" s="1"/>
      <c r="I322" s="1" t="s">
        <v>2999</v>
      </c>
      <c r="J322" s="1" t="s">
        <v>3000</v>
      </c>
      <c r="K322" s="1"/>
      <c r="L322" s="1"/>
      <c r="M322" s="1"/>
      <c r="N322" s="1"/>
      <c r="O322" s="1"/>
      <c r="P322" s="2"/>
      <c r="Q322" s="1"/>
      <c r="R322" s="1"/>
      <c r="S322" s="1"/>
      <c r="T322" s="1"/>
      <c r="U322" s="1"/>
      <c r="V322" s="1" t="s">
        <v>3001</v>
      </c>
      <c r="W322" s="1"/>
      <c r="X322" s="1"/>
      <c r="Y322" s="1"/>
      <c r="Z322" s="1"/>
      <c r="AA322" s="1" t="s">
        <v>3002</v>
      </c>
      <c r="AB322" s="1" t="s">
        <v>3003</v>
      </c>
      <c r="AC322" s="1"/>
      <c r="AD322" s="1"/>
      <c r="AE322" s="1"/>
      <c r="AF322" s="1"/>
      <c r="AG322" s="1"/>
      <c r="AH322" s="1"/>
      <c r="AI322" s="1"/>
      <c r="AJ322" s="1"/>
      <c r="AK322" s="1"/>
      <c r="AL322" s="1"/>
      <c r="AM322" s="1"/>
      <c r="AN322" s="1"/>
      <c r="AO322" s="1" t="s">
        <v>3004</v>
      </c>
      <c r="AP322" s="1" t="s">
        <v>3005</v>
      </c>
      <c r="AQ322" s="1"/>
      <c r="AR322" s="1"/>
      <c r="AS322" s="1"/>
      <c r="AT322" s="1" t="s">
        <v>126</v>
      </c>
      <c r="AU322" s="3">
        <v>2009</v>
      </c>
      <c r="AV322" s="3">
        <v>2</v>
      </c>
      <c r="AW322" s="3">
        <v>4</v>
      </c>
      <c r="AX322" s="2"/>
      <c r="AY322" s="2"/>
      <c r="AZ322" s="1"/>
      <c r="BA322" s="2"/>
      <c r="BB322" s="3">
        <v>466</v>
      </c>
      <c r="BC322" s="3">
        <v>473</v>
      </c>
      <c r="BD322" s="2"/>
      <c r="BE322" s="1" t="s">
        <v>3006</v>
      </c>
      <c r="BF322" s="4">
        <f>HYPERLINK("http://dx.doi.org/10.1049/iet-pel.2007.0014","http://dx.doi.org/10.1049/iet-pel.2007.0014")</f>
      </c>
      <c r="BG322" s="1"/>
      <c r="BH322" s="1"/>
      <c r="BI322" s="1"/>
      <c r="BJ322" s="1"/>
      <c r="BK322" s="1"/>
      <c r="BL322" s="1"/>
      <c r="BM322" s="1"/>
      <c r="BN322" s="2"/>
      <c r="BO322" s="1"/>
      <c r="BP322" s="1"/>
      <c r="BQ322" s="1"/>
      <c r="BR322" s="1"/>
      <c r="BS322" s="1" t="s">
        <v>3007</v>
      </c>
      <c r="BT322" s="5">
        <f>HYPERLINK("https%3A%2F%2Fwww.webofscience.com%2Fwos%2Fwoscc%2Ffull-record%2FWOS:000276385000015","View Full Record in Web of Science")</f>
      </c>
    </row>
    <row x14ac:dyDescent="0.25" r="323" customHeight="1" ht="12.75">
      <c r="A323" s="1" t="s">
        <v>72</v>
      </c>
      <c r="B323" s="1" t="s">
        <v>3008</v>
      </c>
      <c r="C323" s="1"/>
      <c r="D323" s="1"/>
      <c r="E323" s="1"/>
      <c r="F323" s="1" t="s">
        <v>3009</v>
      </c>
      <c r="G323" s="1"/>
      <c r="H323" s="1"/>
      <c r="I323" s="1" t="s">
        <v>3010</v>
      </c>
      <c r="J323" s="1" t="s">
        <v>3011</v>
      </c>
      <c r="K323" s="1"/>
      <c r="L323" s="1"/>
      <c r="M323" s="1"/>
      <c r="N323" s="1"/>
      <c r="O323" s="1"/>
      <c r="P323" s="2"/>
      <c r="Q323" s="1"/>
      <c r="R323" s="1"/>
      <c r="S323" s="1"/>
      <c r="T323" s="1"/>
      <c r="U323" s="1"/>
      <c r="V323" s="1" t="s">
        <v>3012</v>
      </c>
      <c r="W323" s="1"/>
      <c r="X323" s="1"/>
      <c r="Y323" s="1"/>
      <c r="Z323" s="1"/>
      <c r="AA323" s="1" t="s">
        <v>3013</v>
      </c>
      <c r="AB323" s="1" t="s">
        <v>3014</v>
      </c>
      <c r="AC323" s="1"/>
      <c r="AD323" s="1"/>
      <c r="AE323" s="1"/>
      <c r="AF323" s="1"/>
      <c r="AG323" s="1"/>
      <c r="AH323" s="1"/>
      <c r="AI323" s="1"/>
      <c r="AJ323" s="1"/>
      <c r="AK323" s="1"/>
      <c r="AL323" s="1"/>
      <c r="AM323" s="1"/>
      <c r="AN323" s="1"/>
      <c r="AO323" s="1" t="s">
        <v>3015</v>
      </c>
      <c r="AP323" s="1" t="s">
        <v>3016</v>
      </c>
      <c r="AQ323" s="1"/>
      <c r="AR323" s="1"/>
      <c r="AS323" s="1"/>
      <c r="AT323" s="1" t="s">
        <v>605</v>
      </c>
      <c r="AU323" s="3">
        <v>2009</v>
      </c>
      <c r="AV323" s="3">
        <v>38</v>
      </c>
      <c r="AW323" s="3">
        <v>3</v>
      </c>
      <c r="AX323" s="2"/>
      <c r="AY323" s="2"/>
      <c r="AZ323" s="1"/>
      <c r="BA323" s="2"/>
      <c r="BB323" s="3">
        <v>363</v>
      </c>
      <c r="BC323" s="3">
        <v>371</v>
      </c>
      <c r="BD323" s="2"/>
      <c r="BE323" s="1" t="s">
        <v>3017</v>
      </c>
      <c r="BF323" s="4">
        <f>HYPERLINK("http://dx.doi.org/10.1007/s10953-009-9369-4","http://dx.doi.org/10.1007/s10953-009-9369-4")</f>
      </c>
      <c r="BG323" s="1"/>
      <c r="BH323" s="1"/>
      <c r="BI323" s="1"/>
      <c r="BJ323" s="1"/>
      <c r="BK323" s="1"/>
      <c r="BL323" s="1"/>
      <c r="BM323" s="1"/>
      <c r="BN323" s="2"/>
      <c r="BO323" s="1"/>
      <c r="BP323" s="1"/>
      <c r="BQ323" s="1"/>
      <c r="BR323" s="1"/>
      <c r="BS323" s="1" t="s">
        <v>3018</v>
      </c>
      <c r="BT323" s="5">
        <f>HYPERLINK("https%3A%2F%2Fwww.webofscience.com%2Fwos%2Fwoscc%2Ffull-record%2FWOS:000263543800008","View Full Record in Web of Science")</f>
      </c>
    </row>
    <row x14ac:dyDescent="0.25" r="324" customHeight="1" ht="12.75">
      <c r="A324" s="1" t="s">
        <v>72</v>
      </c>
      <c r="B324" s="1" t="s">
        <v>3019</v>
      </c>
      <c r="C324" s="1"/>
      <c r="D324" s="1"/>
      <c r="E324" s="1"/>
      <c r="F324" s="1" t="s">
        <v>3020</v>
      </c>
      <c r="G324" s="1"/>
      <c r="H324" s="1"/>
      <c r="I324" s="1" t="s">
        <v>3021</v>
      </c>
      <c r="J324" s="1" t="s">
        <v>3022</v>
      </c>
      <c r="K324" s="1"/>
      <c r="L324" s="1"/>
      <c r="M324" s="1"/>
      <c r="N324" s="1"/>
      <c r="O324" s="1"/>
      <c r="P324" s="2"/>
      <c r="Q324" s="1"/>
      <c r="R324" s="1"/>
      <c r="S324" s="1"/>
      <c r="T324" s="1"/>
      <c r="U324" s="1"/>
      <c r="V324" s="1" t="s">
        <v>3023</v>
      </c>
      <c r="W324" s="1"/>
      <c r="X324" s="1"/>
      <c r="Y324" s="1"/>
      <c r="Z324" s="1"/>
      <c r="AA324" s="1"/>
      <c r="AB324" s="1" t="s">
        <v>3024</v>
      </c>
      <c r="AC324" s="1"/>
      <c r="AD324" s="1"/>
      <c r="AE324" s="1"/>
      <c r="AF324" s="1"/>
      <c r="AG324" s="1"/>
      <c r="AH324" s="1"/>
      <c r="AI324" s="1"/>
      <c r="AJ324" s="1"/>
      <c r="AK324" s="1"/>
      <c r="AL324" s="1"/>
      <c r="AM324" s="1"/>
      <c r="AN324" s="1"/>
      <c r="AO324" s="1" t="s">
        <v>3025</v>
      </c>
      <c r="AP324" s="1"/>
      <c r="AQ324" s="1"/>
      <c r="AR324" s="1"/>
      <c r="AS324" s="1"/>
      <c r="AT324" s="1"/>
      <c r="AU324" s="3">
        <v>2009</v>
      </c>
      <c r="AV324" s="3">
        <v>56</v>
      </c>
      <c r="AW324" s="3">
        <v>2</v>
      </c>
      <c r="AX324" s="2"/>
      <c r="AY324" s="2"/>
      <c r="AZ324" s="1"/>
      <c r="BA324" s="2"/>
      <c r="BB324" s="3">
        <v>170</v>
      </c>
      <c r="BC324" s="3">
        <v>191</v>
      </c>
      <c r="BD324" s="2" t="s">
        <v>3026</v>
      </c>
      <c r="BE324" s="1" t="s">
        <v>3027</v>
      </c>
      <c r="BF324" s="4">
        <f>HYPERLINK("http://dx.doi.org/10.1080/10407780903107386","http://dx.doi.org/10.1080/10407780903107386")</f>
      </c>
      <c r="BG324" s="1"/>
      <c r="BH324" s="1"/>
      <c r="BI324" s="1"/>
      <c r="BJ324" s="1"/>
      <c r="BK324" s="1"/>
      <c r="BL324" s="1"/>
      <c r="BM324" s="1"/>
      <c r="BN324" s="2"/>
      <c r="BO324" s="1"/>
      <c r="BP324" s="1"/>
      <c r="BQ324" s="1"/>
      <c r="BR324" s="1"/>
      <c r="BS324" s="1" t="s">
        <v>3028</v>
      </c>
      <c r="BT324" s="5">
        <f>HYPERLINK("https%3A%2F%2Fwww.webofscience.com%2Fwos%2Fwoscc%2Ffull-record%2FWOS:000268192900005","View Full Record in Web of Science")</f>
      </c>
    </row>
    <row x14ac:dyDescent="0.25" r="325" customHeight="1" ht="12.75">
      <c r="A325" s="1" t="s">
        <v>72</v>
      </c>
      <c r="B325" s="1" t="s">
        <v>3029</v>
      </c>
      <c r="C325" s="1"/>
      <c r="D325" s="1"/>
      <c r="E325" s="1"/>
      <c r="F325" s="1" t="s">
        <v>3030</v>
      </c>
      <c r="G325" s="1"/>
      <c r="H325" s="1"/>
      <c r="I325" s="1" t="s">
        <v>3031</v>
      </c>
      <c r="J325" s="1" t="s">
        <v>3032</v>
      </c>
      <c r="K325" s="1"/>
      <c r="L325" s="1"/>
      <c r="M325" s="1"/>
      <c r="N325" s="1"/>
      <c r="O325" s="1"/>
      <c r="P325" s="2"/>
      <c r="Q325" s="1"/>
      <c r="R325" s="1"/>
      <c r="S325" s="1"/>
      <c r="T325" s="1"/>
      <c r="U325" s="1"/>
      <c r="V325" s="1" t="s">
        <v>3033</v>
      </c>
      <c r="W325" s="1"/>
      <c r="X325" s="1"/>
      <c r="Y325" s="1"/>
      <c r="Z325" s="1"/>
      <c r="AA325" s="1"/>
      <c r="AB325" s="1"/>
      <c r="AC325" s="1"/>
      <c r="AD325" s="1"/>
      <c r="AE325" s="1"/>
      <c r="AF325" s="1"/>
      <c r="AG325" s="1"/>
      <c r="AH325" s="1"/>
      <c r="AI325" s="1"/>
      <c r="AJ325" s="1"/>
      <c r="AK325" s="1"/>
      <c r="AL325" s="1"/>
      <c r="AM325" s="1"/>
      <c r="AN325" s="1"/>
      <c r="AO325" s="1" t="s">
        <v>3034</v>
      </c>
      <c r="AP325" s="1" t="s">
        <v>3035</v>
      </c>
      <c r="AQ325" s="1"/>
      <c r="AR325" s="1"/>
      <c r="AS325" s="1"/>
      <c r="AT325" s="1" t="s">
        <v>204</v>
      </c>
      <c r="AU325" s="3">
        <v>2008</v>
      </c>
      <c r="AV325" s="3">
        <v>77</v>
      </c>
      <c r="AW325" s="3">
        <v>3</v>
      </c>
      <c r="AX325" s="2"/>
      <c r="AY325" s="2"/>
      <c r="AZ325" s="1"/>
      <c r="BA325" s="2"/>
      <c r="BB325" s="3">
        <v>456</v>
      </c>
      <c r="BC325" s="3">
        <v>462</v>
      </c>
      <c r="BD325" s="2"/>
      <c r="BE325" s="1" t="s">
        <v>3036</v>
      </c>
      <c r="BF325" s="4">
        <f>HYPERLINK("http://dx.doi.org/10.1007/s00233-008-9071-7","http://dx.doi.org/10.1007/s00233-008-9071-7")</f>
      </c>
      <c r="BG325" s="1"/>
      <c r="BH325" s="1"/>
      <c r="BI325" s="1"/>
      <c r="BJ325" s="1"/>
      <c r="BK325" s="1"/>
      <c r="BL325" s="1"/>
      <c r="BM325" s="1"/>
      <c r="BN325" s="2"/>
      <c r="BO325" s="1"/>
      <c r="BP325" s="1"/>
      <c r="BQ325" s="1"/>
      <c r="BR325" s="1"/>
      <c r="BS325" s="1" t="s">
        <v>3037</v>
      </c>
      <c r="BT325" s="5">
        <f>HYPERLINK("https%3A%2F%2Fwww.webofscience.com%2Fwos%2Fwoscc%2Ffull-record%2FWOS:000263116800006","View Full Record in Web of Science")</f>
      </c>
    </row>
    <row x14ac:dyDescent="0.25" r="326" customHeight="1" ht="12.75">
      <c r="A326" s="1" t="s">
        <v>72</v>
      </c>
      <c r="B326" s="1" t="s">
        <v>3038</v>
      </c>
      <c r="C326" s="1"/>
      <c r="D326" s="1"/>
      <c r="E326" s="1"/>
      <c r="F326" s="1" t="s">
        <v>3039</v>
      </c>
      <c r="G326" s="1"/>
      <c r="H326" s="1"/>
      <c r="I326" s="1" t="s">
        <v>3040</v>
      </c>
      <c r="J326" s="1" t="s">
        <v>3041</v>
      </c>
      <c r="K326" s="1"/>
      <c r="L326" s="1"/>
      <c r="M326" s="1"/>
      <c r="N326" s="1"/>
      <c r="O326" s="1"/>
      <c r="P326" s="2"/>
      <c r="Q326" s="1"/>
      <c r="R326" s="1"/>
      <c r="S326" s="1"/>
      <c r="T326" s="1"/>
      <c r="U326" s="1"/>
      <c r="V326" s="1" t="s">
        <v>3042</v>
      </c>
      <c r="W326" s="1"/>
      <c r="X326" s="1"/>
      <c r="Y326" s="1"/>
      <c r="Z326" s="1"/>
      <c r="AA326" s="1"/>
      <c r="AB326" s="1"/>
      <c r="AC326" s="1"/>
      <c r="AD326" s="1"/>
      <c r="AE326" s="1"/>
      <c r="AF326" s="1"/>
      <c r="AG326" s="1"/>
      <c r="AH326" s="1"/>
      <c r="AI326" s="1"/>
      <c r="AJ326" s="1"/>
      <c r="AK326" s="1"/>
      <c r="AL326" s="1"/>
      <c r="AM326" s="1"/>
      <c r="AN326" s="1"/>
      <c r="AO326" s="1" t="s">
        <v>3043</v>
      </c>
      <c r="AP326" s="1" t="s">
        <v>3044</v>
      </c>
      <c r="AQ326" s="1"/>
      <c r="AR326" s="1"/>
      <c r="AS326" s="1"/>
      <c r="AT326" s="1" t="s">
        <v>3045</v>
      </c>
      <c r="AU326" s="3">
        <v>2006</v>
      </c>
      <c r="AV326" s="3">
        <v>46</v>
      </c>
      <c r="AW326" s="3">
        <v>6</v>
      </c>
      <c r="AX326" s="2"/>
      <c r="AY326" s="2"/>
      <c r="AZ326" s="1"/>
      <c r="BA326" s="2"/>
      <c r="BB326" s="3">
        <v>2288</v>
      </c>
      <c r="BC326" s="3">
        <v>2298</v>
      </c>
      <c r="BD326" s="2"/>
      <c r="BE326" s="1" t="s">
        <v>3046</v>
      </c>
      <c r="BF326" s="4">
        <f>HYPERLINK("http://dx.doi.org/10.1021/ci6002762","http://dx.doi.org/10.1021/ci6002762")</f>
      </c>
      <c r="BG326" s="1"/>
      <c r="BH326" s="1"/>
      <c r="BI326" s="1"/>
      <c r="BJ326" s="1"/>
      <c r="BK326" s="1"/>
      <c r="BL326" s="1"/>
      <c r="BM326" s="1"/>
      <c r="BN326" s="3">
        <v>17125171</v>
      </c>
      <c r="BO326" s="1"/>
      <c r="BP326" s="1"/>
      <c r="BQ326" s="1"/>
      <c r="BR326" s="1"/>
      <c r="BS326" s="1" t="s">
        <v>3047</v>
      </c>
      <c r="BT326" s="5">
        <f>HYPERLINK("https%3A%2F%2Fwww.webofscience.com%2Fwos%2Fwoscc%2Ffull-record%2FWOS:000242298100009","View Full Record in Web of Science")</f>
      </c>
    </row>
    <row x14ac:dyDescent="0.25" r="327" customHeight="1" ht="12.75">
      <c r="A327" s="1" t="s">
        <v>72</v>
      </c>
      <c r="B327" s="1" t="s">
        <v>3029</v>
      </c>
      <c r="C327" s="1"/>
      <c r="D327" s="1"/>
      <c r="E327" s="1"/>
      <c r="F327" s="1" t="s">
        <v>3030</v>
      </c>
      <c r="G327" s="1"/>
      <c r="H327" s="1"/>
      <c r="I327" s="1" t="s">
        <v>3048</v>
      </c>
      <c r="J327" s="1" t="s">
        <v>3032</v>
      </c>
      <c r="K327" s="1"/>
      <c r="L327" s="1"/>
      <c r="M327" s="1"/>
      <c r="N327" s="1"/>
      <c r="O327" s="1"/>
      <c r="P327" s="2"/>
      <c r="Q327" s="1"/>
      <c r="R327" s="1"/>
      <c r="S327" s="1"/>
      <c r="T327" s="1"/>
      <c r="U327" s="1"/>
      <c r="V327" s="1" t="s">
        <v>3049</v>
      </c>
      <c r="W327" s="1"/>
      <c r="X327" s="1"/>
      <c r="Y327" s="1"/>
      <c r="Z327" s="1"/>
      <c r="AA327" s="1"/>
      <c r="AB327" s="1"/>
      <c r="AC327" s="1"/>
      <c r="AD327" s="1"/>
      <c r="AE327" s="1"/>
      <c r="AF327" s="1"/>
      <c r="AG327" s="1"/>
      <c r="AH327" s="1"/>
      <c r="AI327" s="1"/>
      <c r="AJ327" s="1"/>
      <c r="AK327" s="1"/>
      <c r="AL327" s="1"/>
      <c r="AM327" s="1"/>
      <c r="AN327" s="1"/>
      <c r="AO327" s="1" t="s">
        <v>3034</v>
      </c>
      <c r="AP327" s="1" t="s">
        <v>3035</v>
      </c>
      <c r="AQ327" s="1"/>
      <c r="AR327" s="1"/>
      <c r="AS327" s="1"/>
      <c r="AT327" s="1" t="s">
        <v>3050</v>
      </c>
      <c r="AU327" s="3">
        <v>2006</v>
      </c>
      <c r="AV327" s="3">
        <v>73</v>
      </c>
      <c r="AW327" s="3">
        <v>2</v>
      </c>
      <c r="AX327" s="2"/>
      <c r="AY327" s="2"/>
      <c r="AZ327" s="1"/>
      <c r="BA327" s="2"/>
      <c r="BB327" s="3">
        <v>243</v>
      </c>
      <c r="BC327" s="3">
        <v>252</v>
      </c>
      <c r="BD327" s="2"/>
      <c r="BE327" s="1" t="s">
        <v>3051</v>
      </c>
      <c r="BF327" s="4">
        <f>HYPERLINK("http://dx.doi.org/10.1007/s00233-006-0613-6","http://dx.doi.org/10.1007/s00233-006-0613-6")</f>
      </c>
      <c r="BG327" s="1"/>
      <c r="BH327" s="1"/>
      <c r="BI327" s="1"/>
      <c r="BJ327" s="1"/>
      <c r="BK327" s="1"/>
      <c r="BL327" s="1"/>
      <c r="BM327" s="1"/>
      <c r="BN327" s="2"/>
      <c r="BO327" s="1"/>
      <c r="BP327" s="1"/>
      <c r="BQ327" s="1"/>
      <c r="BR327" s="1"/>
      <c r="BS327" s="1" t="s">
        <v>3052</v>
      </c>
      <c r="BT327" s="5">
        <f>HYPERLINK("https%3A%2F%2Fwww.webofscience.com%2Fwos%2Fwoscc%2Ffull-record%2FWOS:000243133500007","View Full Record in Web of Science")</f>
      </c>
    </row>
    <row x14ac:dyDescent="0.25" r="328" customHeight="1" ht="12.75">
      <c r="A328" s="1" t="s">
        <v>72</v>
      </c>
      <c r="B328" s="1" t="s">
        <v>3053</v>
      </c>
      <c r="C328" s="1"/>
      <c r="D328" s="1"/>
      <c r="E328" s="1"/>
      <c r="F328" s="1" t="s">
        <v>3053</v>
      </c>
      <c r="G328" s="1"/>
      <c r="H328" s="1"/>
      <c r="I328" s="1" t="s">
        <v>3054</v>
      </c>
      <c r="J328" s="1" t="s">
        <v>3055</v>
      </c>
      <c r="K328" s="1"/>
      <c r="L328" s="1"/>
      <c r="M328" s="1"/>
      <c r="N328" s="1"/>
      <c r="O328" s="1"/>
      <c r="P328" s="2"/>
      <c r="Q328" s="1"/>
      <c r="R328" s="1"/>
      <c r="S328" s="1"/>
      <c r="T328" s="1"/>
      <c r="U328" s="1"/>
      <c r="V328" s="1" t="s">
        <v>3056</v>
      </c>
      <c r="W328" s="1"/>
      <c r="X328" s="1"/>
      <c r="Y328" s="1"/>
      <c r="Z328" s="1"/>
      <c r="AA328" s="1" t="s">
        <v>3057</v>
      </c>
      <c r="AB328" s="1" t="s">
        <v>3058</v>
      </c>
      <c r="AC328" s="1"/>
      <c r="AD328" s="1"/>
      <c r="AE328" s="1"/>
      <c r="AF328" s="1"/>
      <c r="AG328" s="1"/>
      <c r="AH328" s="1"/>
      <c r="AI328" s="1"/>
      <c r="AJ328" s="1"/>
      <c r="AK328" s="1"/>
      <c r="AL328" s="1"/>
      <c r="AM328" s="1"/>
      <c r="AN328" s="1"/>
      <c r="AO328" s="1" t="s">
        <v>3059</v>
      </c>
      <c r="AP328" s="1"/>
      <c r="AQ328" s="1"/>
      <c r="AR328" s="1"/>
      <c r="AS328" s="1"/>
      <c r="AT328" s="1" t="s">
        <v>683</v>
      </c>
      <c r="AU328" s="3">
        <v>2006</v>
      </c>
      <c r="AV328" s="3">
        <v>41</v>
      </c>
      <c r="AW328" s="3">
        <v>5</v>
      </c>
      <c r="AX328" s="2"/>
      <c r="AY328" s="2"/>
      <c r="AZ328" s="1"/>
      <c r="BA328" s="2"/>
      <c r="BB328" s="3">
        <v>482</v>
      </c>
      <c r="BC328" s="3">
        <v>487</v>
      </c>
      <c r="BD328" s="2"/>
      <c r="BE328" s="1" t="s">
        <v>3060</v>
      </c>
      <c r="BF328" s="4">
        <f>HYPERLINK("http://dx.doi.org/10.1002/ppul.20398","http://dx.doi.org/10.1002/ppul.20398")</f>
      </c>
      <c r="BG328" s="1"/>
      <c r="BH328" s="1"/>
      <c r="BI328" s="1"/>
      <c r="BJ328" s="1"/>
      <c r="BK328" s="1"/>
      <c r="BL328" s="1"/>
      <c r="BM328" s="1"/>
      <c r="BN328" s="3">
        <v>16547934</v>
      </c>
      <c r="BO328" s="1"/>
      <c r="BP328" s="1"/>
      <c r="BQ328" s="1"/>
      <c r="BR328" s="1"/>
      <c r="BS328" s="1" t="s">
        <v>3061</v>
      </c>
      <c r="BT328" s="5">
        <f>HYPERLINK("https%3A%2F%2Fwww.webofscience.com%2Fwos%2Fwoscc%2Ffull-record%2FWOS:000237072200011","View Full Record in Web of Science")</f>
      </c>
    </row>
    <row x14ac:dyDescent="0.25" r="329" customHeight="1" ht="12.75">
      <c r="A329" s="1" t="s">
        <v>72</v>
      </c>
      <c r="B329" s="1" t="s">
        <v>3062</v>
      </c>
      <c r="C329" s="1"/>
      <c r="D329" s="1"/>
      <c r="E329" s="1"/>
      <c r="F329" s="1" t="s">
        <v>3062</v>
      </c>
      <c r="G329" s="1"/>
      <c r="H329" s="1"/>
      <c r="I329" s="1" t="s">
        <v>3063</v>
      </c>
      <c r="J329" s="1" t="s">
        <v>3064</v>
      </c>
      <c r="K329" s="1"/>
      <c r="L329" s="1"/>
      <c r="M329" s="1"/>
      <c r="N329" s="1"/>
      <c r="O329" s="1"/>
      <c r="P329" s="2"/>
      <c r="Q329" s="1"/>
      <c r="R329" s="1"/>
      <c r="S329" s="1"/>
      <c r="T329" s="1"/>
      <c r="U329" s="1"/>
      <c r="V329" s="1" t="s">
        <v>3065</v>
      </c>
      <c r="W329" s="1"/>
      <c r="X329" s="1"/>
      <c r="Y329" s="1"/>
      <c r="Z329" s="1"/>
      <c r="AA329" s="1"/>
      <c r="AB329" s="1" t="s">
        <v>588</v>
      </c>
      <c r="AC329" s="1"/>
      <c r="AD329" s="1"/>
      <c r="AE329" s="1"/>
      <c r="AF329" s="1"/>
      <c r="AG329" s="1"/>
      <c r="AH329" s="1"/>
      <c r="AI329" s="1"/>
      <c r="AJ329" s="1"/>
      <c r="AK329" s="1"/>
      <c r="AL329" s="1"/>
      <c r="AM329" s="1"/>
      <c r="AN329" s="1"/>
      <c r="AO329" s="1" t="s">
        <v>3066</v>
      </c>
      <c r="AP329" s="1" t="s">
        <v>3067</v>
      </c>
      <c r="AQ329" s="1"/>
      <c r="AR329" s="1"/>
      <c r="AS329" s="1"/>
      <c r="AT329" s="1" t="s">
        <v>292</v>
      </c>
      <c r="AU329" s="3">
        <v>2005</v>
      </c>
      <c r="AV329" s="3">
        <v>133</v>
      </c>
      <c r="AW329" s="3">
        <v>9</v>
      </c>
      <c r="AX329" s="2"/>
      <c r="AY329" s="2"/>
      <c r="AZ329" s="1"/>
      <c r="BA329" s="2"/>
      <c r="BB329" s="3">
        <v>999</v>
      </c>
      <c r="BC329" s="3">
        <v>1001</v>
      </c>
      <c r="BD329" s="2"/>
      <c r="BE329" s="1"/>
      <c r="BF329" s="1"/>
      <c r="BG329" s="1"/>
      <c r="BH329" s="1"/>
      <c r="BI329" s="1"/>
      <c r="BJ329" s="1"/>
      <c r="BK329" s="1"/>
      <c r="BL329" s="1"/>
      <c r="BM329" s="1"/>
      <c r="BN329" s="3">
        <v>16311690</v>
      </c>
      <c r="BO329" s="1"/>
      <c r="BP329" s="1"/>
      <c r="BQ329" s="1"/>
      <c r="BR329" s="1"/>
      <c r="BS329" s="1" t="s">
        <v>3068</v>
      </c>
      <c r="BT329" s="5">
        <f>HYPERLINK("https%3A%2F%2Fwww.webofscience.com%2Fwos%2Fwoscc%2Ffull-record%2FWOS:000233207100001","View Full Record in Web of Science")</f>
      </c>
    </row>
    <row x14ac:dyDescent="0.25" r="330" customHeight="1" ht="12.75">
      <c r="A330" s="1" t="s">
        <v>72</v>
      </c>
      <c r="B330" s="1" t="s">
        <v>3069</v>
      </c>
      <c r="C330" s="1"/>
      <c r="D330" s="1"/>
      <c r="E330" s="1"/>
      <c r="F330" s="1" t="s">
        <v>3069</v>
      </c>
      <c r="G330" s="1"/>
      <c r="H330" s="1"/>
      <c r="I330" s="1" t="s">
        <v>3070</v>
      </c>
      <c r="J330" s="1" t="s">
        <v>1507</v>
      </c>
      <c r="K330" s="1"/>
      <c r="L330" s="1"/>
      <c r="M330" s="1"/>
      <c r="N330" s="1"/>
      <c r="O330" s="1"/>
      <c r="P330" s="2"/>
      <c r="Q330" s="1"/>
      <c r="R330" s="1"/>
      <c r="S330" s="1"/>
      <c r="T330" s="1"/>
      <c r="U330" s="1"/>
      <c r="V330" s="1" t="s">
        <v>3071</v>
      </c>
      <c r="W330" s="1"/>
      <c r="X330" s="1"/>
      <c r="Y330" s="1"/>
      <c r="Z330" s="1"/>
      <c r="AA330" s="1" t="s">
        <v>3072</v>
      </c>
      <c r="AB330" s="1" t="s">
        <v>3073</v>
      </c>
      <c r="AC330" s="1"/>
      <c r="AD330" s="1"/>
      <c r="AE330" s="1"/>
      <c r="AF330" s="1"/>
      <c r="AG330" s="1"/>
      <c r="AH330" s="1"/>
      <c r="AI330" s="1"/>
      <c r="AJ330" s="1"/>
      <c r="AK330" s="1"/>
      <c r="AL330" s="1"/>
      <c r="AM330" s="1"/>
      <c r="AN330" s="1"/>
      <c r="AO330" s="1" t="s">
        <v>2886</v>
      </c>
      <c r="AP330" s="1"/>
      <c r="AQ330" s="1"/>
      <c r="AR330" s="1"/>
      <c r="AS330" s="1"/>
      <c r="AT330" s="1" t="s">
        <v>757</v>
      </c>
      <c r="AU330" s="3">
        <v>2005</v>
      </c>
      <c r="AV330" s="3">
        <v>50</v>
      </c>
      <c r="AW330" s="3">
        <v>2</v>
      </c>
      <c r="AX330" s="2"/>
      <c r="AY330" s="2"/>
      <c r="AZ330" s="1"/>
      <c r="BA330" s="2"/>
      <c r="BB330" s="3">
        <v>471</v>
      </c>
      <c r="BC330" s="3">
        <v>476</v>
      </c>
      <c r="BD330" s="2"/>
      <c r="BE330" s="1"/>
      <c r="BF330" s="1"/>
      <c r="BG330" s="1"/>
      <c r="BH330" s="1"/>
      <c r="BI330" s="1"/>
      <c r="BJ330" s="1"/>
      <c r="BK330" s="1"/>
      <c r="BL330" s="1"/>
      <c r="BM330" s="1"/>
      <c r="BN330" s="2"/>
      <c r="BO330" s="1"/>
      <c r="BP330" s="1"/>
      <c r="BQ330" s="1"/>
      <c r="BR330" s="1"/>
      <c r="BS330" s="1" t="s">
        <v>3074</v>
      </c>
      <c r="BT330" s="5">
        <f>HYPERLINK("https%3A%2F%2Fwww.webofscience.com%2Fwos%2Fwoscc%2Ffull-record%2FWOS:000229785200006","View Full Record in Web of Science")</f>
      </c>
    </row>
    <row x14ac:dyDescent="0.25" r="331" customHeight="1" ht="12.75">
      <c r="A331" s="1" t="s">
        <v>72</v>
      </c>
      <c r="B331" s="1" t="s">
        <v>3075</v>
      </c>
      <c r="C331" s="1"/>
      <c r="D331" s="1"/>
      <c r="E331" s="1"/>
      <c r="F331" s="1" t="s">
        <v>3075</v>
      </c>
      <c r="G331" s="1"/>
      <c r="H331" s="1"/>
      <c r="I331" s="1" t="s">
        <v>3076</v>
      </c>
      <c r="J331" s="1" t="s">
        <v>1507</v>
      </c>
      <c r="K331" s="1"/>
      <c r="L331" s="1"/>
      <c r="M331" s="1"/>
      <c r="N331" s="1"/>
      <c r="O331" s="1"/>
      <c r="P331" s="2"/>
      <c r="Q331" s="1"/>
      <c r="R331" s="1"/>
      <c r="S331" s="1"/>
      <c r="T331" s="1"/>
      <c r="U331" s="1"/>
      <c r="V331" s="1" t="s">
        <v>3077</v>
      </c>
      <c r="W331" s="1"/>
      <c r="X331" s="1"/>
      <c r="Y331" s="1"/>
      <c r="Z331" s="1"/>
      <c r="AA331" s="1" t="s">
        <v>679</v>
      </c>
      <c r="AB331" s="1" t="s">
        <v>680</v>
      </c>
      <c r="AC331" s="1"/>
      <c r="AD331" s="1"/>
      <c r="AE331" s="1"/>
      <c r="AF331" s="1"/>
      <c r="AG331" s="1"/>
      <c r="AH331" s="1"/>
      <c r="AI331" s="1"/>
      <c r="AJ331" s="1"/>
      <c r="AK331" s="1"/>
      <c r="AL331" s="1"/>
      <c r="AM331" s="1"/>
      <c r="AN331" s="1"/>
      <c r="AO331" s="1" t="s">
        <v>1510</v>
      </c>
      <c r="AP331" s="1"/>
      <c r="AQ331" s="1"/>
      <c r="AR331" s="1"/>
      <c r="AS331" s="1"/>
      <c r="AT331" s="1" t="s">
        <v>605</v>
      </c>
      <c r="AU331" s="3">
        <v>2005</v>
      </c>
      <c r="AV331" s="3">
        <v>50</v>
      </c>
      <c r="AW331" s="3">
        <v>1</v>
      </c>
      <c r="AX331" s="2"/>
      <c r="AY331" s="2"/>
      <c r="AZ331" s="1"/>
      <c r="BA331" s="2"/>
      <c r="BB331" s="3">
        <v>427</v>
      </c>
      <c r="BC331" s="3">
        <v>430</v>
      </c>
      <c r="BD331" s="2"/>
      <c r="BE331" s="1"/>
      <c r="BF331" s="1"/>
      <c r="BG331" s="1"/>
      <c r="BH331" s="1"/>
      <c r="BI331" s="1"/>
      <c r="BJ331" s="1"/>
      <c r="BK331" s="1"/>
      <c r="BL331" s="1"/>
      <c r="BM331" s="1"/>
      <c r="BN331" s="2"/>
      <c r="BO331" s="1"/>
      <c r="BP331" s="1"/>
      <c r="BQ331" s="1"/>
      <c r="BR331" s="1"/>
      <c r="BS331" s="1" t="s">
        <v>3078</v>
      </c>
      <c r="BT331" s="5">
        <f>HYPERLINK("https%3A%2F%2Fwww.webofscience.com%2Fwos%2Fwoscc%2Ffull-record%2FWOS:000230996800011","View Full Record in Web of Science")</f>
      </c>
    </row>
    <row x14ac:dyDescent="0.25" r="332" customHeight="1" ht="12.75">
      <c r="A332" s="1" t="s">
        <v>72</v>
      </c>
      <c r="B332" s="1" t="s">
        <v>3079</v>
      </c>
      <c r="C332" s="1"/>
      <c r="D332" s="1"/>
      <c r="E332" s="1"/>
      <c r="F332" s="1" t="s">
        <v>3079</v>
      </c>
      <c r="G332" s="1"/>
      <c r="H332" s="1"/>
      <c r="I332" s="1" t="s">
        <v>3080</v>
      </c>
      <c r="J332" s="1" t="s">
        <v>3081</v>
      </c>
      <c r="K332" s="1"/>
      <c r="L332" s="1"/>
      <c r="M332" s="1"/>
      <c r="N332" s="1"/>
      <c r="O332" s="1"/>
      <c r="P332" s="2"/>
      <c r="Q332" s="1"/>
      <c r="R332" s="1"/>
      <c r="S332" s="1"/>
      <c r="T332" s="1"/>
      <c r="U332" s="1"/>
      <c r="V332" s="1" t="s">
        <v>3082</v>
      </c>
      <c r="W332" s="1"/>
      <c r="X332" s="1"/>
      <c r="Y332" s="1"/>
      <c r="Z332" s="1"/>
      <c r="AA332" s="1" t="s">
        <v>3083</v>
      </c>
      <c r="AB332" s="1" t="s">
        <v>3084</v>
      </c>
      <c r="AC332" s="1"/>
      <c r="AD332" s="1"/>
      <c r="AE332" s="1"/>
      <c r="AF332" s="1"/>
      <c r="AG332" s="1"/>
      <c r="AH332" s="1"/>
      <c r="AI332" s="1"/>
      <c r="AJ332" s="1"/>
      <c r="AK332" s="1"/>
      <c r="AL332" s="1"/>
      <c r="AM332" s="1"/>
      <c r="AN332" s="1"/>
      <c r="AO332" s="1" t="s">
        <v>3085</v>
      </c>
      <c r="AP332" s="1" t="s">
        <v>3086</v>
      </c>
      <c r="AQ332" s="1"/>
      <c r="AR332" s="1"/>
      <c r="AS332" s="1"/>
      <c r="AT332" s="1" t="s">
        <v>757</v>
      </c>
      <c r="AU332" s="3">
        <v>2004</v>
      </c>
      <c r="AV332" s="3">
        <v>75</v>
      </c>
      <c r="AW332" s="3">
        <v>6</v>
      </c>
      <c r="AX332" s="2"/>
      <c r="AY332" s="2"/>
      <c r="AZ332" s="1"/>
      <c r="BA332" s="2"/>
      <c r="BB332" s="3">
        <v>2216</v>
      </c>
      <c r="BC332" s="3">
        <v>2217</v>
      </c>
      <c r="BD332" s="2"/>
      <c r="BE332" s="1" t="s">
        <v>3087</v>
      </c>
      <c r="BF332" s="4">
        <f>HYPERLINK("http://dx.doi.org/10.1063/1.1753094","http://dx.doi.org/10.1063/1.1753094")</f>
      </c>
      <c r="BG332" s="1"/>
      <c r="BH332" s="1"/>
      <c r="BI332" s="1"/>
      <c r="BJ332" s="1"/>
      <c r="BK332" s="1"/>
      <c r="BL332" s="1"/>
      <c r="BM332" s="1"/>
      <c r="BN332" s="2"/>
      <c r="BO332" s="1"/>
      <c r="BP332" s="1"/>
      <c r="BQ332" s="1"/>
      <c r="BR332" s="1"/>
      <c r="BS332" s="1" t="s">
        <v>3088</v>
      </c>
      <c r="BT332" s="5">
        <f>HYPERLINK("https%3A%2F%2Fwww.webofscience.com%2Fwos%2Fwoscc%2Ffull-record%2FWOS:000221793800046","View Full Record in Web of Science")</f>
      </c>
    </row>
    <row x14ac:dyDescent="0.25" r="333" customHeight="1" ht="12.75">
      <c r="A333" s="1" t="s">
        <v>72</v>
      </c>
      <c r="B333" s="1" t="s">
        <v>3089</v>
      </c>
      <c r="C333" s="1"/>
      <c r="D333" s="1"/>
      <c r="E333" s="1"/>
      <c r="F333" s="1" t="s">
        <v>3089</v>
      </c>
      <c r="G333" s="1"/>
      <c r="H333" s="1"/>
      <c r="I333" s="1" t="s">
        <v>3090</v>
      </c>
      <c r="J333" s="1" t="s">
        <v>3091</v>
      </c>
      <c r="K333" s="1"/>
      <c r="L333" s="1"/>
      <c r="M333" s="1"/>
      <c r="N333" s="1"/>
      <c r="O333" s="1"/>
      <c r="P333" s="2"/>
      <c r="Q333" s="1"/>
      <c r="R333" s="1"/>
      <c r="S333" s="1"/>
      <c r="T333" s="1"/>
      <c r="U333" s="1"/>
      <c r="V333" s="1" t="s">
        <v>3092</v>
      </c>
      <c r="W333" s="1"/>
      <c r="X333" s="1"/>
      <c r="Y333" s="1"/>
      <c r="Z333" s="1"/>
      <c r="AA333" s="1" t="s">
        <v>3093</v>
      </c>
      <c r="AB333" s="1"/>
      <c r="AC333" s="1"/>
      <c r="AD333" s="1"/>
      <c r="AE333" s="1"/>
      <c r="AF333" s="1"/>
      <c r="AG333" s="1"/>
      <c r="AH333" s="1"/>
      <c r="AI333" s="1"/>
      <c r="AJ333" s="1"/>
      <c r="AK333" s="1"/>
      <c r="AL333" s="1"/>
      <c r="AM333" s="1"/>
      <c r="AN333" s="1"/>
      <c r="AO333" s="1" t="s">
        <v>3094</v>
      </c>
      <c r="AP333" s="1" t="s">
        <v>3095</v>
      </c>
      <c r="AQ333" s="1"/>
      <c r="AR333" s="1"/>
      <c r="AS333" s="1"/>
      <c r="AT333" s="1" t="s">
        <v>605</v>
      </c>
      <c r="AU333" s="3">
        <v>2004</v>
      </c>
      <c r="AV333" s="3">
        <v>51</v>
      </c>
      <c r="AW333" s="3">
        <v>1</v>
      </c>
      <c r="AX333" s="2"/>
      <c r="AY333" s="2"/>
      <c r="AZ333" s="1"/>
      <c r="BA333" s="2"/>
      <c r="BB333" s="3">
        <v>59</v>
      </c>
      <c r="BC333" s="3">
        <v>72</v>
      </c>
      <c r="BD333" s="2"/>
      <c r="BE333" s="1" t="s">
        <v>3096</v>
      </c>
      <c r="BF333" s="4">
        <f>HYPERLINK("http://dx.doi.org/10.1177/0037768604040790","http://dx.doi.org/10.1177/0037768604040790")</f>
      </c>
      <c r="BG333" s="1"/>
      <c r="BH333" s="1"/>
      <c r="BI333" s="1"/>
      <c r="BJ333" s="1"/>
      <c r="BK333" s="1"/>
      <c r="BL333" s="1"/>
      <c r="BM333" s="1"/>
      <c r="BN333" s="2"/>
      <c r="BO333" s="1"/>
      <c r="BP333" s="1"/>
      <c r="BQ333" s="1"/>
      <c r="BR333" s="1"/>
      <c r="BS333" s="1" t="s">
        <v>3097</v>
      </c>
      <c r="BT333" s="5">
        <f>HYPERLINK("https%3A%2F%2Fwww.webofscience.com%2Fwos%2Fwoscc%2Ffull-record%2FWOS:000220190400005","View Full Record in Web of Science")</f>
      </c>
    </row>
    <row x14ac:dyDescent="0.25" r="334" customHeight="1" ht="12.75">
      <c r="A334" s="1" t="s">
        <v>778</v>
      </c>
      <c r="B334" s="1" t="s">
        <v>3098</v>
      </c>
      <c r="C334" s="1"/>
      <c r="D334" s="1" t="s">
        <v>3099</v>
      </c>
      <c r="E334" s="1"/>
      <c r="F334" s="1" t="s">
        <v>3098</v>
      </c>
      <c r="G334" s="1"/>
      <c r="H334" s="1"/>
      <c r="I334" s="1" t="s">
        <v>3100</v>
      </c>
      <c r="J334" s="1" t="s">
        <v>3101</v>
      </c>
      <c r="K334" s="1" t="s">
        <v>3102</v>
      </c>
      <c r="L334" s="1"/>
      <c r="M334" s="1"/>
      <c r="N334" s="1"/>
      <c r="O334" s="1" t="s">
        <v>3103</v>
      </c>
      <c r="P334" s="2" t="s">
        <v>3104</v>
      </c>
      <c r="Q334" s="1" t="s">
        <v>3105</v>
      </c>
      <c r="R334" s="1" t="s">
        <v>3106</v>
      </c>
      <c r="S334" s="1"/>
      <c r="T334" s="1"/>
      <c r="U334" s="1"/>
      <c r="V334" s="1" t="s">
        <v>3107</v>
      </c>
      <c r="W334" s="1"/>
      <c r="X334" s="1"/>
      <c r="Y334" s="1"/>
      <c r="Z334" s="1"/>
      <c r="AA334" s="1"/>
      <c r="AB334" s="1"/>
      <c r="AC334" s="1"/>
      <c r="AD334" s="1"/>
      <c r="AE334" s="1"/>
      <c r="AF334" s="1"/>
      <c r="AG334" s="1"/>
      <c r="AH334" s="1"/>
      <c r="AI334" s="1"/>
      <c r="AJ334" s="1"/>
      <c r="AK334" s="1"/>
      <c r="AL334" s="1"/>
      <c r="AM334" s="1"/>
      <c r="AN334" s="1"/>
      <c r="AO334" s="1" t="s">
        <v>3108</v>
      </c>
      <c r="AP334" s="1"/>
      <c r="AQ334" s="1" t="s">
        <v>3109</v>
      </c>
      <c r="AR334" s="1"/>
      <c r="AS334" s="1"/>
      <c r="AT334" s="1"/>
      <c r="AU334" s="3">
        <v>2004</v>
      </c>
      <c r="AV334" s="3">
        <v>3287</v>
      </c>
      <c r="AW334" s="2"/>
      <c r="AX334" s="2"/>
      <c r="AY334" s="2"/>
      <c r="AZ334" s="1"/>
      <c r="BA334" s="2"/>
      <c r="BB334" s="3">
        <v>645</v>
      </c>
      <c r="BC334" s="3">
        <v>653</v>
      </c>
      <c r="BD334" s="2"/>
      <c r="BE334" s="1"/>
      <c r="BF334" s="1"/>
      <c r="BG334" s="1"/>
      <c r="BH334" s="1"/>
      <c r="BI334" s="1"/>
      <c r="BJ334" s="1"/>
      <c r="BK334" s="1"/>
      <c r="BL334" s="1"/>
      <c r="BM334" s="1"/>
      <c r="BN334" s="2"/>
      <c r="BO334" s="1"/>
      <c r="BP334" s="1"/>
      <c r="BQ334" s="1"/>
      <c r="BR334" s="1"/>
      <c r="BS334" s="1" t="s">
        <v>3110</v>
      </c>
      <c r="BT334" s="5">
        <f>HYPERLINK("https%3A%2F%2Fwww.webofscience.com%2Fwos%2Fwoscc%2Ffull-record%2FWOS:000225085900081","View Full Record in Web of Science")</f>
      </c>
    </row>
    <row x14ac:dyDescent="0.25" r="335" customHeight="1" ht="12.75">
      <c r="A335" s="1" t="s">
        <v>72</v>
      </c>
      <c r="B335" s="1" t="s">
        <v>3111</v>
      </c>
      <c r="C335" s="1"/>
      <c r="D335" s="1"/>
      <c r="E335" s="1"/>
      <c r="F335" s="1" t="s">
        <v>3111</v>
      </c>
      <c r="G335" s="1"/>
      <c r="H335" s="1"/>
      <c r="I335" s="1" t="s">
        <v>3112</v>
      </c>
      <c r="J335" s="1" t="s">
        <v>3113</v>
      </c>
      <c r="K335" s="1"/>
      <c r="L335" s="1"/>
      <c r="M335" s="1"/>
      <c r="N335" s="1"/>
      <c r="O335" s="1"/>
      <c r="P335" s="2"/>
      <c r="Q335" s="1"/>
      <c r="R335" s="1"/>
      <c r="S335" s="1"/>
      <c r="T335" s="1"/>
      <c r="U335" s="1"/>
      <c r="V335" s="1" t="s">
        <v>3114</v>
      </c>
      <c r="W335" s="1"/>
      <c r="X335" s="1"/>
      <c r="Y335" s="1"/>
      <c r="Z335" s="1"/>
      <c r="AA335" s="1" t="s">
        <v>3115</v>
      </c>
      <c r="AB335" s="1" t="s">
        <v>3116</v>
      </c>
      <c r="AC335" s="1"/>
      <c r="AD335" s="1"/>
      <c r="AE335" s="1"/>
      <c r="AF335" s="1"/>
      <c r="AG335" s="1"/>
      <c r="AH335" s="1"/>
      <c r="AI335" s="1"/>
      <c r="AJ335" s="1"/>
      <c r="AK335" s="1"/>
      <c r="AL335" s="1"/>
      <c r="AM335" s="1"/>
      <c r="AN335" s="1"/>
      <c r="AO335" s="1" t="s">
        <v>3117</v>
      </c>
      <c r="AP335" s="1"/>
      <c r="AQ335" s="1"/>
      <c r="AR335" s="1"/>
      <c r="AS335" s="1"/>
      <c r="AT335" s="1" t="s">
        <v>757</v>
      </c>
      <c r="AU335" s="3">
        <v>2003</v>
      </c>
      <c r="AV335" s="3">
        <v>34</v>
      </c>
      <c r="AW335" s="3">
        <v>2</v>
      </c>
      <c r="AX335" s="2"/>
      <c r="AY335" s="2"/>
      <c r="AZ335" s="1"/>
      <c r="BA335" s="2"/>
      <c r="BB335" s="3">
        <v>147</v>
      </c>
      <c r="BC335" s="3">
        <v>157</v>
      </c>
      <c r="BD335" s="2"/>
      <c r="BE335" s="1" t="s">
        <v>3118</v>
      </c>
      <c r="BF335" s="4">
        <f>HYPERLINK("http://dx.doi.org/10.1111/j.1745-4603.2003.tb01372.x","http://dx.doi.org/10.1111/j.1745-4603.2003.tb01372.x")</f>
      </c>
      <c r="BG335" s="1"/>
      <c r="BH335" s="1"/>
      <c r="BI335" s="1"/>
      <c r="BJ335" s="1"/>
      <c r="BK335" s="1"/>
      <c r="BL335" s="1"/>
      <c r="BM335" s="1"/>
      <c r="BN335" s="2"/>
      <c r="BO335" s="1"/>
      <c r="BP335" s="1"/>
      <c r="BQ335" s="1"/>
      <c r="BR335" s="1"/>
      <c r="BS335" s="1" t="s">
        <v>3119</v>
      </c>
      <c r="BT335" s="5">
        <f>HYPERLINK("https%3A%2F%2Fwww.webofscience.com%2Fwos%2Fwoscc%2Ffull-record%2FWOS:000184097000003","View Full Record in Web of Science")</f>
      </c>
    </row>
    <row x14ac:dyDescent="0.25" r="336" customHeight="1" ht="12.75">
      <c r="A336" s="1" t="s">
        <v>303</v>
      </c>
      <c r="B336" s="1" t="s">
        <v>3120</v>
      </c>
      <c r="C336" s="1"/>
      <c r="D336" s="1" t="s">
        <v>3121</v>
      </c>
      <c r="E336" s="1"/>
      <c r="F336" s="1" t="s">
        <v>3120</v>
      </c>
      <c r="G336" s="1"/>
      <c r="H336" s="1"/>
      <c r="I336" s="1" t="s">
        <v>3122</v>
      </c>
      <c r="J336" s="1" t="s">
        <v>3123</v>
      </c>
      <c r="K336" s="1" t="s">
        <v>3124</v>
      </c>
      <c r="L336" s="1"/>
      <c r="M336" s="1"/>
      <c r="N336" s="1"/>
      <c r="O336" s="1" t="s">
        <v>3125</v>
      </c>
      <c r="P336" s="2" t="s">
        <v>3126</v>
      </c>
      <c r="Q336" s="1" t="s">
        <v>3127</v>
      </c>
      <c r="R336" s="1" t="s">
        <v>3128</v>
      </c>
      <c r="S336" s="1"/>
      <c r="T336" s="1"/>
      <c r="U336" s="1"/>
      <c r="V336" s="1" t="s">
        <v>3129</v>
      </c>
      <c r="W336" s="1"/>
      <c r="X336" s="1"/>
      <c r="Y336" s="1"/>
      <c r="Z336" s="1"/>
      <c r="AA336" s="1"/>
      <c r="AB336" s="1" t="s">
        <v>3130</v>
      </c>
      <c r="AC336" s="1"/>
      <c r="AD336" s="1"/>
      <c r="AE336" s="1"/>
      <c r="AF336" s="1"/>
      <c r="AG336" s="1"/>
      <c r="AH336" s="1"/>
      <c r="AI336" s="1"/>
      <c r="AJ336" s="1"/>
      <c r="AK336" s="1"/>
      <c r="AL336" s="1"/>
      <c r="AM336" s="1"/>
      <c r="AN336" s="1"/>
      <c r="AO336" s="1" t="s">
        <v>3131</v>
      </c>
      <c r="AP336" s="1"/>
      <c r="AQ336" s="1" t="s">
        <v>3132</v>
      </c>
      <c r="AR336" s="1"/>
      <c r="AS336" s="1"/>
      <c r="AT336" s="1"/>
      <c r="AU336" s="3">
        <v>2003</v>
      </c>
      <c r="AV336" s="3">
        <v>14</v>
      </c>
      <c r="AW336" s="2"/>
      <c r="AX336" s="2"/>
      <c r="AY336" s="2"/>
      <c r="AZ336" s="1"/>
      <c r="BA336" s="2"/>
      <c r="BB336" s="3">
        <v>395</v>
      </c>
      <c r="BC336" s="3">
        <v>400</v>
      </c>
      <c r="BD336" s="2"/>
      <c r="BE336" s="1"/>
      <c r="BF336" s="1"/>
      <c r="BG336" s="1"/>
      <c r="BH336" s="1"/>
      <c r="BI336" s="1"/>
      <c r="BJ336" s="1"/>
      <c r="BK336" s="1"/>
      <c r="BL336" s="1"/>
      <c r="BM336" s="1"/>
      <c r="BN336" s="2"/>
      <c r="BO336" s="1"/>
      <c r="BP336" s="1"/>
      <c r="BQ336" s="1"/>
      <c r="BR336" s="1"/>
      <c r="BS336" s="1" t="s">
        <v>3133</v>
      </c>
      <c r="BT336" s="5">
        <f>HYPERLINK("https%3A%2F%2Fwww.webofscience.com%2Fwos%2Fwoscc%2Ffull-record%2FWOS:000183369400066","View Full Record in Web of Science")</f>
      </c>
    </row>
    <row x14ac:dyDescent="0.25" r="337" customHeight="1" ht="12.75">
      <c r="A337" s="1" t="s">
        <v>72</v>
      </c>
      <c r="B337" s="1" t="s">
        <v>3134</v>
      </c>
      <c r="C337" s="1"/>
      <c r="D337" s="1"/>
      <c r="E337" s="1"/>
      <c r="F337" s="1" t="s">
        <v>3134</v>
      </c>
      <c r="G337" s="1"/>
      <c r="H337" s="1"/>
      <c r="I337" s="1" t="s">
        <v>3135</v>
      </c>
      <c r="J337" s="1" t="s">
        <v>3136</v>
      </c>
      <c r="K337" s="1"/>
      <c r="L337" s="1"/>
      <c r="M337" s="1"/>
      <c r="N337" s="1"/>
      <c r="O337" s="1" t="s">
        <v>3137</v>
      </c>
      <c r="P337" s="2" t="s">
        <v>3138</v>
      </c>
      <c r="Q337" s="1" t="s">
        <v>3139</v>
      </c>
      <c r="R337" s="1" t="s">
        <v>3140</v>
      </c>
      <c r="S337" s="1" t="s">
        <v>3141</v>
      </c>
      <c r="T337" s="1"/>
      <c r="U337" s="1"/>
      <c r="V337" s="1" t="s">
        <v>3142</v>
      </c>
      <c r="W337" s="1"/>
      <c r="X337" s="1"/>
      <c r="Y337" s="1"/>
      <c r="Z337" s="1"/>
      <c r="AA337" s="1" t="s">
        <v>3143</v>
      </c>
      <c r="AB337" s="1" t="s">
        <v>3144</v>
      </c>
      <c r="AC337" s="1"/>
      <c r="AD337" s="1"/>
      <c r="AE337" s="1"/>
      <c r="AF337" s="1"/>
      <c r="AG337" s="1"/>
      <c r="AH337" s="1"/>
      <c r="AI337" s="1"/>
      <c r="AJ337" s="1"/>
      <c r="AK337" s="1"/>
      <c r="AL337" s="1"/>
      <c r="AM337" s="1"/>
      <c r="AN337" s="1"/>
      <c r="AO337" s="1" t="s">
        <v>3145</v>
      </c>
      <c r="AP337" s="1"/>
      <c r="AQ337" s="1"/>
      <c r="AR337" s="1"/>
      <c r="AS337" s="1"/>
      <c r="AT337" s="1" t="s">
        <v>3146</v>
      </c>
      <c r="AU337" s="3">
        <v>2002</v>
      </c>
      <c r="AV337" s="3">
        <v>40</v>
      </c>
      <c r="AW337" s="3">
        <v>15</v>
      </c>
      <c r="AX337" s="2"/>
      <c r="AY337" s="2"/>
      <c r="AZ337" s="1"/>
      <c r="BA337" s="2"/>
      <c r="BB337" s="3">
        <v>3931</v>
      </c>
      <c r="BC337" s="3">
        <v>3944</v>
      </c>
      <c r="BD337" s="2"/>
      <c r="BE337" s="1" t="s">
        <v>3147</v>
      </c>
      <c r="BF337" s="4">
        <f>HYPERLINK("http://dx.doi.org/10.1080/00207540210163900","http://dx.doi.org/10.1080/00207540210163900")</f>
      </c>
      <c r="BG337" s="1"/>
      <c r="BH337" s="1"/>
      <c r="BI337" s="1"/>
      <c r="BJ337" s="1"/>
      <c r="BK337" s="1"/>
      <c r="BL337" s="1"/>
      <c r="BM337" s="1"/>
      <c r="BN337" s="2"/>
      <c r="BO337" s="1"/>
      <c r="BP337" s="1"/>
      <c r="BQ337" s="1"/>
      <c r="BR337" s="1"/>
      <c r="BS337" s="1" t="s">
        <v>3148</v>
      </c>
      <c r="BT337" s="5">
        <f>HYPERLINK("https%3A%2F%2Fwww.webofscience.com%2Fwos%2Fwoscc%2Ffull-record%2FWOS:000179163300033","View Full Record in Web of Science")</f>
      </c>
    </row>
    <row x14ac:dyDescent="0.25" r="338" customHeight="1" ht="12.75">
      <c r="A338" s="1" t="s">
        <v>72</v>
      </c>
      <c r="B338" s="1" t="s">
        <v>3149</v>
      </c>
      <c r="C338" s="1"/>
      <c r="D338" s="1"/>
      <c r="E338" s="1"/>
      <c r="F338" s="1" t="s">
        <v>3149</v>
      </c>
      <c r="G338" s="1"/>
      <c r="H338" s="1"/>
      <c r="I338" s="1" t="s">
        <v>3150</v>
      </c>
      <c r="J338" s="1" t="s">
        <v>3151</v>
      </c>
      <c r="K338" s="1"/>
      <c r="L338" s="1"/>
      <c r="M338" s="1"/>
      <c r="N338" s="1"/>
      <c r="O338" s="1"/>
      <c r="P338" s="2"/>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t="s">
        <v>3152</v>
      </c>
      <c r="AP338" s="1"/>
      <c r="AQ338" s="1"/>
      <c r="AR338" s="1"/>
      <c r="AS338" s="1"/>
      <c r="AT338" s="1" t="s">
        <v>292</v>
      </c>
      <c r="AU338" s="3">
        <v>2002</v>
      </c>
      <c r="AV338" s="2"/>
      <c r="AW338" s="3">
        <v>627</v>
      </c>
      <c r="AX338" s="2"/>
      <c r="AY338" s="2"/>
      <c r="AZ338" s="1"/>
      <c r="BA338" s="2"/>
      <c r="BB338" s="3">
        <v>15</v>
      </c>
      <c r="BC338" s="3">
        <v>21</v>
      </c>
      <c r="BD338" s="2"/>
      <c r="BE338" s="1"/>
      <c r="BF338" s="1"/>
      <c r="BG338" s="1"/>
      <c r="BH338" s="1"/>
      <c r="BI338" s="1"/>
      <c r="BJ338" s="1"/>
      <c r="BK338" s="1"/>
      <c r="BL338" s="1"/>
      <c r="BM338" s="1"/>
      <c r="BN338" s="2"/>
      <c r="BO338" s="1"/>
      <c r="BP338" s="1"/>
      <c r="BQ338" s="1"/>
      <c r="BR338" s="1"/>
      <c r="BS338" s="1" t="s">
        <v>3153</v>
      </c>
      <c r="BT338" s="5">
        <f>HYPERLINK("https%3A%2F%2Fwww.webofscience.com%2Fwos%2Fwoscc%2Ffull-record%2FWOS:000178392800002","View Full Record in Web of Science")</f>
      </c>
    </row>
    <row x14ac:dyDescent="0.25" r="339" customHeight="1" ht="12.75">
      <c r="A339" s="1" t="s">
        <v>72</v>
      </c>
      <c r="B339" s="1" t="s">
        <v>3154</v>
      </c>
      <c r="C339" s="1"/>
      <c r="D339" s="1"/>
      <c r="E339" s="1"/>
      <c r="F339" s="1" t="s">
        <v>3154</v>
      </c>
      <c r="G339" s="1"/>
      <c r="H339" s="1"/>
      <c r="I339" s="1" t="s">
        <v>3155</v>
      </c>
      <c r="J339" s="1" t="s">
        <v>897</v>
      </c>
      <c r="K339" s="1"/>
      <c r="L339" s="1"/>
      <c r="M339" s="1"/>
      <c r="N339" s="1"/>
      <c r="O339" s="1"/>
      <c r="P339" s="2"/>
      <c r="Q339" s="1"/>
      <c r="R339" s="1"/>
      <c r="S339" s="1"/>
      <c r="T339" s="1"/>
      <c r="U339" s="1"/>
      <c r="V339" s="1" t="s">
        <v>3156</v>
      </c>
      <c r="W339" s="1"/>
      <c r="X339" s="1"/>
      <c r="Y339" s="1"/>
      <c r="Z339" s="1"/>
      <c r="AA339" s="1"/>
      <c r="AB339" s="1"/>
      <c r="AC339" s="1"/>
      <c r="AD339" s="1"/>
      <c r="AE339" s="1"/>
      <c r="AF339" s="1"/>
      <c r="AG339" s="1"/>
      <c r="AH339" s="1"/>
      <c r="AI339" s="1"/>
      <c r="AJ339" s="1"/>
      <c r="AK339" s="1"/>
      <c r="AL339" s="1"/>
      <c r="AM339" s="1"/>
      <c r="AN339" s="1"/>
      <c r="AO339" s="1" t="s">
        <v>900</v>
      </c>
      <c r="AP339" s="1"/>
      <c r="AQ339" s="1"/>
      <c r="AR339" s="1"/>
      <c r="AS339" s="1"/>
      <c r="AT339" s="1" t="s">
        <v>204</v>
      </c>
      <c r="AU339" s="3">
        <v>2001</v>
      </c>
      <c r="AV339" s="3">
        <v>46</v>
      </c>
      <c r="AW339" s="3">
        <v>4</v>
      </c>
      <c r="AX339" s="2"/>
      <c r="AY339" s="2"/>
      <c r="AZ339" s="1"/>
      <c r="BA339" s="2"/>
      <c r="BB339" s="3">
        <v>481</v>
      </c>
      <c r="BC339" s="3">
        <v>486</v>
      </c>
      <c r="BD339" s="2"/>
      <c r="BE339" s="1"/>
      <c r="BF339" s="1"/>
      <c r="BG339" s="1"/>
      <c r="BH339" s="1"/>
      <c r="BI339" s="1"/>
      <c r="BJ339" s="1"/>
      <c r="BK339" s="1"/>
      <c r="BL339" s="1"/>
      <c r="BM339" s="1"/>
      <c r="BN339" s="2"/>
      <c r="BO339" s="1"/>
      <c r="BP339" s="1"/>
      <c r="BQ339" s="1"/>
      <c r="BR339" s="1"/>
      <c r="BS339" s="1" t="s">
        <v>3157</v>
      </c>
      <c r="BT339" s="5">
        <f>HYPERLINK("https%3A%2F%2Fwww.webofscience.com%2Fwos%2Fwoscc%2Ffull-record%2FWOS:000173712000011","View Full Record in Web of Science")</f>
      </c>
    </row>
    <row x14ac:dyDescent="0.25" r="340" customHeight="1" ht="12.75">
      <c r="A340" s="1" t="s">
        <v>72</v>
      </c>
      <c r="B340" s="1" t="s">
        <v>3158</v>
      </c>
      <c r="C340" s="1"/>
      <c r="D340" s="1"/>
      <c r="E340" s="1"/>
      <c r="F340" s="1" t="s">
        <v>3158</v>
      </c>
      <c r="G340" s="1"/>
      <c r="H340" s="1"/>
      <c r="I340" s="1" t="s">
        <v>3159</v>
      </c>
      <c r="J340" s="1" t="s">
        <v>3160</v>
      </c>
      <c r="K340" s="1"/>
      <c r="L340" s="1"/>
      <c r="M340" s="1"/>
      <c r="N340" s="1"/>
      <c r="O340" s="1" t="s">
        <v>3161</v>
      </c>
      <c r="P340" s="2" t="s">
        <v>3162</v>
      </c>
      <c r="Q340" s="1" t="s">
        <v>3163</v>
      </c>
      <c r="R340" s="1"/>
      <c r="S340" s="1"/>
      <c r="T340" s="1"/>
      <c r="U340" s="1"/>
      <c r="V340" s="1" t="s">
        <v>3164</v>
      </c>
      <c r="W340" s="1"/>
      <c r="X340" s="1"/>
      <c r="Y340" s="1"/>
      <c r="Z340" s="1"/>
      <c r="AA340" s="1" t="s">
        <v>2438</v>
      </c>
      <c r="AB340" s="1"/>
      <c r="AC340" s="1"/>
      <c r="AD340" s="1"/>
      <c r="AE340" s="1"/>
      <c r="AF340" s="1"/>
      <c r="AG340" s="1"/>
      <c r="AH340" s="1"/>
      <c r="AI340" s="1"/>
      <c r="AJ340" s="1"/>
      <c r="AK340" s="1"/>
      <c r="AL340" s="1"/>
      <c r="AM340" s="1"/>
      <c r="AN340" s="1"/>
      <c r="AO340" s="1" t="s">
        <v>3165</v>
      </c>
      <c r="AP340" s="1" t="s">
        <v>3166</v>
      </c>
      <c r="AQ340" s="1"/>
      <c r="AR340" s="1"/>
      <c r="AS340" s="1"/>
      <c r="AT340" s="1"/>
      <c r="AU340" s="3">
        <v>2001</v>
      </c>
      <c r="AV340" s="3">
        <v>17</v>
      </c>
      <c r="AW340" s="3">
        <v>12</v>
      </c>
      <c r="AX340" s="2"/>
      <c r="AY340" s="2"/>
      <c r="AZ340" s="1"/>
      <c r="BA340" s="2"/>
      <c r="BB340" s="3">
        <v>1623</v>
      </c>
      <c r="BC340" s="3">
        <v>1658</v>
      </c>
      <c r="BD340" s="2"/>
      <c r="BE340" s="1" t="s">
        <v>3167</v>
      </c>
      <c r="BF340" s="4">
        <f>HYPERLINK("http://dx.doi.org/10.1016/S0749-6419(00)00095-4","http://dx.doi.org/10.1016/S0749-6419(00)00095-4")</f>
      </c>
      <c r="BG340" s="1"/>
      <c r="BH340" s="1"/>
      <c r="BI340" s="1"/>
      <c r="BJ340" s="1"/>
      <c r="BK340" s="1"/>
      <c r="BL340" s="1"/>
      <c r="BM340" s="1"/>
      <c r="BN340" s="2"/>
      <c r="BO340" s="1"/>
      <c r="BP340" s="1"/>
      <c r="BQ340" s="1"/>
      <c r="BR340" s="1"/>
      <c r="BS340" s="1" t="s">
        <v>3168</v>
      </c>
      <c r="BT340" s="5">
        <f>HYPERLINK("https%3A%2F%2Fwww.webofscience.com%2Fwos%2Fwoscc%2Ffull-record%2FWOS:000171891600003","View Full Record in Web of Science")</f>
      </c>
    </row>
    <row x14ac:dyDescent="0.25" r="341" customHeight="1" ht="12.75">
      <c r="A341" s="1" t="s">
        <v>72</v>
      </c>
      <c r="B341" s="1" t="s">
        <v>3169</v>
      </c>
      <c r="C341" s="1"/>
      <c r="D341" s="1"/>
      <c r="E341" s="1"/>
      <c r="F341" s="1" t="s">
        <v>3169</v>
      </c>
      <c r="G341" s="1"/>
      <c r="H341" s="1"/>
      <c r="I341" s="1" t="s">
        <v>3170</v>
      </c>
      <c r="J341" s="1" t="s">
        <v>833</v>
      </c>
      <c r="K341" s="1"/>
      <c r="L341" s="1"/>
      <c r="M341" s="1"/>
      <c r="N341" s="1"/>
      <c r="O341" s="1"/>
      <c r="P341" s="2"/>
      <c r="Q341" s="1"/>
      <c r="R341" s="1"/>
      <c r="S341" s="1"/>
      <c r="T341" s="1"/>
      <c r="U341" s="1"/>
      <c r="V341" s="1" t="s">
        <v>3171</v>
      </c>
      <c r="W341" s="1"/>
      <c r="X341" s="1"/>
      <c r="Y341" s="1"/>
      <c r="Z341" s="1"/>
      <c r="AA341" s="1" t="s">
        <v>3172</v>
      </c>
      <c r="AB341" s="1" t="s">
        <v>3173</v>
      </c>
      <c r="AC341" s="1"/>
      <c r="AD341" s="1"/>
      <c r="AE341" s="1"/>
      <c r="AF341" s="1"/>
      <c r="AG341" s="1"/>
      <c r="AH341" s="1"/>
      <c r="AI341" s="1"/>
      <c r="AJ341" s="1"/>
      <c r="AK341" s="1"/>
      <c r="AL341" s="1"/>
      <c r="AM341" s="1"/>
      <c r="AN341" s="1"/>
      <c r="AO341" s="1" t="s">
        <v>3174</v>
      </c>
      <c r="AP341" s="1" t="s">
        <v>3175</v>
      </c>
      <c r="AQ341" s="1"/>
      <c r="AR341" s="1"/>
      <c r="AS341" s="1"/>
      <c r="AT341" s="1" t="s">
        <v>1334</v>
      </c>
      <c r="AU341" s="3">
        <v>2000</v>
      </c>
      <c r="AV341" s="3">
        <v>61</v>
      </c>
      <c r="AW341" s="3">
        <v>2</v>
      </c>
      <c r="AX341" s="2"/>
      <c r="AY341" s="2"/>
      <c r="AZ341" s="1"/>
      <c r="BA341" s="2"/>
      <c r="BB341" s="2"/>
      <c r="BC341" s="2"/>
      <c r="BD341" s="3">
        <v>27302</v>
      </c>
      <c r="BE341" s="1" t="s">
        <v>3176</v>
      </c>
      <c r="BF341" s="4">
        <f>HYPERLINK("http://dx.doi.org/10.1103/PhysRevD.61.027302","http://dx.doi.org/10.1103/PhysRevD.61.027302")</f>
      </c>
      <c r="BG341" s="1"/>
      <c r="BH341" s="1"/>
      <c r="BI341" s="1"/>
      <c r="BJ341" s="1"/>
      <c r="BK341" s="1"/>
      <c r="BL341" s="1"/>
      <c r="BM341" s="1"/>
      <c r="BN341" s="2"/>
      <c r="BO341" s="1"/>
      <c r="BP341" s="1"/>
      <c r="BQ341" s="1"/>
      <c r="BR341" s="1"/>
      <c r="BS341" s="1" t="s">
        <v>3177</v>
      </c>
      <c r="BT341" s="5">
        <f>HYPERLINK("https%3A%2F%2Fwww.webofscience.com%2Fwos%2Fwoscc%2Ffull-record%2FWOS:000084855600086","View Full Record in Web of Science")</f>
      </c>
    </row>
    <row x14ac:dyDescent="0.25" r="342" customHeight="1" ht="12.75">
      <c r="A342" s="1" t="s">
        <v>72</v>
      </c>
      <c r="B342" s="1" t="s">
        <v>2347</v>
      </c>
      <c r="C342" s="1"/>
      <c r="D342" s="1"/>
      <c r="E342" s="1"/>
      <c r="F342" s="1" t="s">
        <v>2347</v>
      </c>
      <c r="G342" s="1"/>
      <c r="H342" s="1"/>
      <c r="I342" s="1" t="s">
        <v>3178</v>
      </c>
      <c r="J342" s="1" t="s">
        <v>3179</v>
      </c>
      <c r="K342" s="1"/>
      <c r="L342" s="1"/>
      <c r="M342" s="1"/>
      <c r="N342" s="1"/>
      <c r="O342" s="1"/>
      <c r="P342" s="2"/>
      <c r="Q342" s="1"/>
      <c r="R342" s="1"/>
      <c r="S342" s="1"/>
      <c r="T342" s="1"/>
      <c r="U342" s="1"/>
      <c r="V342" s="1" t="s">
        <v>3180</v>
      </c>
      <c r="W342" s="1"/>
      <c r="X342" s="1"/>
      <c r="Y342" s="1"/>
      <c r="Z342" s="1"/>
      <c r="AA342" s="1"/>
      <c r="AB342" s="1"/>
      <c r="AC342" s="1"/>
      <c r="AD342" s="1"/>
      <c r="AE342" s="1"/>
      <c r="AF342" s="1"/>
      <c r="AG342" s="1"/>
      <c r="AH342" s="1"/>
      <c r="AI342" s="1"/>
      <c r="AJ342" s="1"/>
      <c r="AK342" s="1"/>
      <c r="AL342" s="1"/>
      <c r="AM342" s="1"/>
      <c r="AN342" s="1"/>
      <c r="AO342" s="1" t="s">
        <v>3181</v>
      </c>
      <c r="AP342" s="1"/>
      <c r="AQ342" s="1"/>
      <c r="AR342" s="1"/>
      <c r="AS342" s="1"/>
      <c r="AT342" s="1" t="s">
        <v>292</v>
      </c>
      <c r="AU342" s="3">
        <v>1999</v>
      </c>
      <c r="AV342" s="3">
        <v>67</v>
      </c>
      <c r="AW342" s="3">
        <v>9</v>
      </c>
      <c r="AX342" s="2"/>
      <c r="AY342" s="2"/>
      <c r="AZ342" s="1"/>
      <c r="BA342" s="2"/>
      <c r="BB342" s="3">
        <v>786</v>
      </c>
      <c r="BC342" s="3">
        <v>788</v>
      </c>
      <c r="BD342" s="2"/>
      <c r="BE342" s="1" t="s">
        <v>3182</v>
      </c>
      <c r="BF342" s="4">
        <f>HYPERLINK("http://dx.doi.org/10.1119/1.19126","http://dx.doi.org/10.1119/1.19126")</f>
      </c>
      <c r="BG342" s="1"/>
      <c r="BH342" s="1"/>
      <c r="BI342" s="1"/>
      <c r="BJ342" s="1"/>
      <c r="BK342" s="1"/>
      <c r="BL342" s="1"/>
      <c r="BM342" s="1"/>
      <c r="BN342" s="2"/>
      <c r="BO342" s="1"/>
      <c r="BP342" s="1"/>
      <c r="BQ342" s="1"/>
      <c r="BR342" s="1"/>
      <c r="BS342" s="1" t="s">
        <v>3183</v>
      </c>
      <c r="BT342" s="5">
        <f>HYPERLINK("https%3A%2F%2Fwww.webofscience.com%2Fwos%2Fwoscc%2Ffull-record%2FWOS:000082386000007","View Full Record in Web of Science")</f>
      </c>
    </row>
    <row x14ac:dyDescent="0.25" r="343" customHeight="1" ht="12.75">
      <c r="A343" s="1" t="s">
        <v>778</v>
      </c>
      <c r="B343" s="1" t="s">
        <v>3184</v>
      </c>
      <c r="C343" s="1"/>
      <c r="D343" s="1" t="s">
        <v>3185</v>
      </c>
      <c r="E343" s="1"/>
      <c r="F343" s="1" t="s">
        <v>3184</v>
      </c>
      <c r="G343" s="1"/>
      <c r="H343" s="1"/>
      <c r="I343" s="1" t="s">
        <v>3186</v>
      </c>
      <c r="J343" s="1" t="s">
        <v>3187</v>
      </c>
      <c r="K343" s="1" t="s">
        <v>3188</v>
      </c>
      <c r="L343" s="1"/>
      <c r="M343" s="1"/>
      <c r="N343" s="1"/>
      <c r="O343" s="1" t="s">
        <v>3189</v>
      </c>
      <c r="P343" s="2" t="s">
        <v>3190</v>
      </c>
      <c r="Q343" s="1" t="s">
        <v>3191</v>
      </c>
      <c r="R343" s="1" t="s">
        <v>3192</v>
      </c>
      <c r="S343" s="1"/>
      <c r="T343" s="1"/>
      <c r="U343" s="1"/>
      <c r="V343" s="1" t="s">
        <v>3193</v>
      </c>
      <c r="W343" s="1"/>
      <c r="X343" s="1"/>
      <c r="Y343" s="1"/>
      <c r="Z343" s="1"/>
      <c r="AA343" s="1"/>
      <c r="AB343" s="1"/>
      <c r="AC343" s="1"/>
      <c r="AD343" s="1"/>
      <c r="AE343" s="1"/>
      <c r="AF343" s="1"/>
      <c r="AG343" s="1"/>
      <c r="AH343" s="1"/>
      <c r="AI343" s="1"/>
      <c r="AJ343" s="1"/>
      <c r="AK343" s="1"/>
      <c r="AL343" s="1"/>
      <c r="AM343" s="1"/>
      <c r="AN343" s="1"/>
      <c r="AO343" s="1" t="s">
        <v>3194</v>
      </c>
      <c r="AP343" s="1"/>
      <c r="AQ343" s="1" t="s">
        <v>3195</v>
      </c>
      <c r="AR343" s="1"/>
      <c r="AS343" s="1"/>
      <c r="AT343" s="1"/>
      <c r="AU343" s="3">
        <v>1999</v>
      </c>
      <c r="AV343" s="2" t="s">
        <v>3196</v>
      </c>
      <c r="AW343" s="2"/>
      <c r="AX343" s="2"/>
      <c r="AY343" s="2"/>
      <c r="AZ343" s="1"/>
      <c r="BA343" s="2"/>
      <c r="BB343" s="3">
        <v>470</v>
      </c>
      <c r="BC343" s="3">
        <v>477</v>
      </c>
      <c r="BD343" s="2"/>
      <c r="BE343" s="1" t="s">
        <v>3197</v>
      </c>
      <c r="BF343" s="4">
        <f>HYPERLINK("http://dx.doi.org/10.4028/www.scientific.net/MSF.299-300.470","http://dx.doi.org/10.4028/www.scientific.net/MSF.299-300.470")</f>
      </c>
      <c r="BG343" s="1"/>
      <c r="BH343" s="1"/>
      <c r="BI343" s="1"/>
      <c r="BJ343" s="1"/>
      <c r="BK343" s="1"/>
      <c r="BL343" s="1"/>
      <c r="BM343" s="1"/>
      <c r="BN343" s="2"/>
      <c r="BO343" s="1"/>
      <c r="BP343" s="1"/>
      <c r="BQ343" s="1"/>
      <c r="BR343" s="1"/>
      <c r="BS343" s="1" t="s">
        <v>3198</v>
      </c>
      <c r="BT343" s="5">
        <f>HYPERLINK("https%3A%2F%2Fwww.webofscience.com%2Fwos%2Fwoscc%2Ffull-record%2FWOS:000079831600059","View Full Record in Web of Science")</f>
      </c>
    </row>
    <row x14ac:dyDescent="0.25" r="344" customHeight="1" ht="12.75">
      <c r="A344" s="1" t="s">
        <v>72</v>
      </c>
      <c r="B344" s="1" t="s">
        <v>3199</v>
      </c>
      <c r="C344" s="1"/>
      <c r="D344" s="1"/>
      <c r="E344" s="1"/>
      <c r="F344" s="1" t="s">
        <v>3199</v>
      </c>
      <c r="G344" s="1"/>
      <c r="H344" s="1"/>
      <c r="I344" s="1" t="s">
        <v>3200</v>
      </c>
      <c r="J344" s="1" t="s">
        <v>3201</v>
      </c>
      <c r="K344" s="1"/>
      <c r="L344" s="1"/>
      <c r="M344" s="1"/>
      <c r="N344" s="1"/>
      <c r="O344" s="1"/>
      <c r="P344" s="2"/>
      <c r="Q344" s="1"/>
      <c r="R344" s="1"/>
      <c r="S344" s="1"/>
      <c r="T344" s="1"/>
      <c r="U344" s="1"/>
      <c r="V344" s="1" t="s">
        <v>3202</v>
      </c>
      <c r="W344" s="1"/>
      <c r="X344" s="1"/>
      <c r="Y344" s="1"/>
      <c r="Z344" s="1"/>
      <c r="AA344" s="1" t="s">
        <v>1696</v>
      </c>
      <c r="AB344" s="1" t="s">
        <v>1697</v>
      </c>
      <c r="AC344" s="1"/>
      <c r="AD344" s="1"/>
      <c r="AE344" s="1"/>
      <c r="AF344" s="1"/>
      <c r="AG344" s="1"/>
      <c r="AH344" s="1"/>
      <c r="AI344" s="1"/>
      <c r="AJ344" s="1"/>
      <c r="AK344" s="1"/>
      <c r="AL344" s="1"/>
      <c r="AM344" s="1"/>
      <c r="AN344" s="1"/>
      <c r="AO344" s="1" t="s">
        <v>3203</v>
      </c>
      <c r="AP344" s="1"/>
      <c r="AQ344" s="1"/>
      <c r="AR344" s="1"/>
      <c r="AS344" s="1"/>
      <c r="AT344" s="1" t="s">
        <v>126</v>
      </c>
      <c r="AU344" s="3">
        <v>1998</v>
      </c>
      <c r="AV344" s="3">
        <v>45</v>
      </c>
      <c r="AW344" s="3">
        <v>7</v>
      </c>
      <c r="AX344" s="2"/>
      <c r="AY344" s="2"/>
      <c r="AZ344" s="1"/>
      <c r="BA344" s="2"/>
      <c r="BB344" s="3">
        <v>1587</v>
      </c>
      <c r="BC344" s="3">
        <v>1594</v>
      </c>
      <c r="BD344" s="2"/>
      <c r="BE344" s="1" t="s">
        <v>3204</v>
      </c>
      <c r="BF344" s="4">
        <f>HYPERLINK("http://dx.doi.org/10.1109/16.701493","http://dx.doi.org/10.1109/16.701493")</f>
      </c>
      <c r="BG344" s="1"/>
      <c r="BH344" s="1"/>
      <c r="BI344" s="1"/>
      <c r="BJ344" s="1"/>
      <c r="BK344" s="1"/>
      <c r="BL344" s="1"/>
      <c r="BM344" s="1"/>
      <c r="BN344" s="2"/>
      <c r="BO344" s="1"/>
      <c r="BP344" s="1"/>
      <c r="BQ344" s="1"/>
      <c r="BR344" s="1"/>
      <c r="BS344" s="1" t="s">
        <v>3205</v>
      </c>
      <c r="BT344" s="5">
        <f>HYPERLINK("https%3A%2F%2Fwww.webofscience.com%2Fwos%2Fwoscc%2Ffull-record%2FWOS:000074344100028","View Full Record in Web of Science")</f>
      </c>
    </row>
    <row x14ac:dyDescent="0.25" r="345" customHeight="1" ht="12.75">
      <c r="A345" s="1" t="s">
        <v>72</v>
      </c>
      <c r="B345" s="1" t="s">
        <v>3206</v>
      </c>
      <c r="C345" s="1"/>
      <c r="D345" s="1"/>
      <c r="E345" s="1"/>
      <c r="F345" s="1" t="s">
        <v>3206</v>
      </c>
      <c r="G345" s="1"/>
      <c r="H345" s="1"/>
      <c r="I345" s="1" t="s">
        <v>3207</v>
      </c>
      <c r="J345" s="1" t="s">
        <v>866</v>
      </c>
      <c r="K345" s="1"/>
      <c r="L345" s="1"/>
      <c r="M345" s="1"/>
      <c r="N345" s="1"/>
      <c r="O345" s="1" t="s">
        <v>3208</v>
      </c>
      <c r="P345" s="2" t="s">
        <v>3209</v>
      </c>
      <c r="Q345" s="1" t="s">
        <v>3210</v>
      </c>
      <c r="R345" s="1" t="s">
        <v>1444</v>
      </c>
      <c r="S345" s="1"/>
      <c r="T345" s="1"/>
      <c r="U345" s="1"/>
      <c r="V345" s="1" t="s">
        <v>3211</v>
      </c>
      <c r="W345" s="1"/>
      <c r="X345" s="1"/>
      <c r="Y345" s="1"/>
      <c r="Z345" s="1"/>
      <c r="AA345" s="1"/>
      <c r="AB345" s="1" t="s">
        <v>3212</v>
      </c>
      <c r="AC345" s="1"/>
      <c r="AD345" s="1"/>
      <c r="AE345" s="1"/>
      <c r="AF345" s="1"/>
      <c r="AG345" s="1"/>
      <c r="AH345" s="1"/>
      <c r="AI345" s="1"/>
      <c r="AJ345" s="1"/>
      <c r="AK345" s="1"/>
      <c r="AL345" s="1"/>
      <c r="AM345" s="1"/>
      <c r="AN345" s="1"/>
      <c r="AO345" s="1" t="s">
        <v>869</v>
      </c>
      <c r="AP345" s="1"/>
      <c r="AQ345" s="1"/>
      <c r="AR345" s="1"/>
      <c r="AS345" s="1"/>
      <c r="AT345" s="1" t="s">
        <v>204</v>
      </c>
      <c r="AU345" s="3">
        <v>1997</v>
      </c>
      <c r="AV345" s="3">
        <v>39</v>
      </c>
      <c r="AW345" s="3">
        <v>6</v>
      </c>
      <c r="AX345" s="2"/>
      <c r="AY345" s="2"/>
      <c r="AZ345" s="1"/>
      <c r="BA345" s="2"/>
      <c r="BB345" s="3">
        <v>693</v>
      </c>
      <c r="BC345" s="3">
        <v>699</v>
      </c>
      <c r="BD345" s="2"/>
      <c r="BE345" s="1" t="s">
        <v>3213</v>
      </c>
      <c r="BF345" s="4">
        <f>HYPERLINK("http://dx.doi.org/10.1007/s002890050204","http://dx.doi.org/10.1007/s002890050204")</f>
      </c>
      <c r="BG345" s="1"/>
      <c r="BH345" s="1"/>
      <c r="BI345" s="1"/>
      <c r="BJ345" s="1"/>
      <c r="BK345" s="1"/>
      <c r="BL345" s="1"/>
      <c r="BM345" s="1"/>
      <c r="BN345" s="2"/>
      <c r="BO345" s="1"/>
      <c r="BP345" s="1"/>
      <c r="BQ345" s="1"/>
      <c r="BR345" s="1"/>
      <c r="BS345" s="1" t="s">
        <v>3214</v>
      </c>
      <c r="BT345" s="5">
        <f>HYPERLINK("https%3A%2F%2Fwww.webofscience.com%2Fwos%2Fwoscc%2Ffull-record%2FWOS:000071086600005","View Full Record in Web of Science")</f>
      </c>
    </row>
    <row x14ac:dyDescent="0.25" r="346" customHeight="1" ht="12.75">
      <c r="A346" s="1" t="s">
        <v>72</v>
      </c>
      <c r="B346" s="1" t="s">
        <v>3215</v>
      </c>
      <c r="C346" s="1"/>
      <c r="D346" s="1"/>
      <c r="E346" s="1"/>
      <c r="F346" s="1" t="s">
        <v>3215</v>
      </c>
      <c r="G346" s="1"/>
      <c r="H346" s="1"/>
      <c r="I346" s="1" t="s">
        <v>3216</v>
      </c>
      <c r="J346" s="1" t="s">
        <v>897</v>
      </c>
      <c r="K346" s="1"/>
      <c r="L346" s="1"/>
      <c r="M346" s="1"/>
      <c r="N346" s="1"/>
      <c r="O346" s="1"/>
      <c r="P346" s="2"/>
      <c r="Q346" s="1"/>
      <c r="R346" s="1"/>
      <c r="S346" s="1"/>
      <c r="T346" s="1"/>
      <c r="U346" s="1"/>
      <c r="V346" s="1" t="s">
        <v>3217</v>
      </c>
      <c r="W346" s="1"/>
      <c r="X346" s="1"/>
      <c r="Y346" s="1"/>
      <c r="Z346" s="1"/>
      <c r="AA346" s="1"/>
      <c r="AB346" s="1"/>
      <c r="AC346" s="1"/>
      <c r="AD346" s="1"/>
      <c r="AE346" s="1"/>
      <c r="AF346" s="1"/>
      <c r="AG346" s="1"/>
      <c r="AH346" s="1"/>
      <c r="AI346" s="1"/>
      <c r="AJ346" s="1"/>
      <c r="AK346" s="1"/>
      <c r="AL346" s="1"/>
      <c r="AM346" s="1"/>
      <c r="AN346" s="1"/>
      <c r="AO346" s="1" t="s">
        <v>900</v>
      </c>
      <c r="AP346" s="1"/>
      <c r="AQ346" s="1"/>
      <c r="AR346" s="1"/>
      <c r="AS346" s="1"/>
      <c r="AT346" s="1" t="s">
        <v>204</v>
      </c>
      <c r="AU346" s="3">
        <v>1995</v>
      </c>
      <c r="AV346" s="3">
        <v>40</v>
      </c>
      <c r="AW346" s="3">
        <v>4</v>
      </c>
      <c r="AX346" s="2"/>
      <c r="AY346" s="2"/>
      <c r="AZ346" s="1"/>
      <c r="BA346" s="2"/>
      <c r="BB346" s="3">
        <v>383</v>
      </c>
      <c r="BC346" s="3">
        <v>392</v>
      </c>
      <c r="BD346" s="2"/>
      <c r="BE346" s="1"/>
      <c r="BF346" s="1"/>
      <c r="BG346" s="1"/>
      <c r="BH346" s="1"/>
      <c r="BI346" s="1"/>
      <c r="BJ346" s="1"/>
      <c r="BK346" s="1"/>
      <c r="BL346" s="1"/>
      <c r="BM346" s="1"/>
      <c r="BN346" s="2"/>
      <c r="BO346" s="1"/>
      <c r="BP346" s="1"/>
      <c r="BQ346" s="1"/>
      <c r="BR346" s="1"/>
      <c r="BS346" s="1" t="s">
        <v>3218</v>
      </c>
      <c r="BT346" s="5">
        <f>HYPERLINK("https%3A%2F%2Fwww.webofscience.com%2Fwos%2Fwoscc%2Ffull-record%2FWOS:A1995TN57900006","View Full Record in Web of Science")</f>
      </c>
    </row>
    <row x14ac:dyDescent="0.25" r="347" customHeight="1" ht="12.75">
      <c r="A347" s="1" t="s">
        <v>72</v>
      </c>
      <c r="B347" s="1" t="s">
        <v>3219</v>
      </c>
      <c r="C347" s="1"/>
      <c r="D347" s="1"/>
      <c r="E347" s="1"/>
      <c r="F347" s="1" t="s">
        <v>3219</v>
      </c>
      <c r="G347" s="1"/>
      <c r="H347" s="1"/>
      <c r="I347" s="1" t="s">
        <v>3220</v>
      </c>
      <c r="J347" s="1" t="s">
        <v>866</v>
      </c>
      <c r="K347" s="1"/>
      <c r="L347" s="1"/>
      <c r="M347" s="1"/>
      <c r="N347" s="1"/>
      <c r="O347" s="1"/>
      <c r="P347" s="2"/>
      <c r="Q347" s="1"/>
      <c r="R347" s="1"/>
      <c r="S347" s="1"/>
      <c r="T347" s="1"/>
      <c r="U347" s="1"/>
      <c r="V347" s="1" t="s">
        <v>3221</v>
      </c>
      <c r="W347" s="1"/>
      <c r="X347" s="1"/>
      <c r="Y347" s="1"/>
      <c r="Z347" s="1"/>
      <c r="AA347" s="1"/>
      <c r="AB347" s="1" t="s">
        <v>868</v>
      </c>
      <c r="AC347" s="1"/>
      <c r="AD347" s="1"/>
      <c r="AE347" s="1"/>
      <c r="AF347" s="1"/>
      <c r="AG347" s="1"/>
      <c r="AH347" s="1"/>
      <c r="AI347" s="1"/>
      <c r="AJ347" s="1"/>
      <c r="AK347" s="1"/>
      <c r="AL347" s="1"/>
      <c r="AM347" s="1"/>
      <c r="AN347" s="1"/>
      <c r="AO347" s="1" t="s">
        <v>869</v>
      </c>
      <c r="AP347" s="1"/>
      <c r="AQ347" s="1"/>
      <c r="AR347" s="1"/>
      <c r="AS347" s="1"/>
      <c r="AT347" s="1" t="s">
        <v>292</v>
      </c>
      <c r="AU347" s="3">
        <v>1995</v>
      </c>
      <c r="AV347" s="3">
        <v>35</v>
      </c>
      <c r="AW347" s="3">
        <v>3</v>
      </c>
      <c r="AX347" s="2"/>
      <c r="AY347" s="2"/>
      <c r="AZ347" s="1"/>
      <c r="BA347" s="2"/>
      <c r="BB347" s="3">
        <v>323</v>
      </c>
      <c r="BC347" s="3">
        <v>328</v>
      </c>
      <c r="BD347" s="2"/>
      <c r="BE347" s="1" t="s">
        <v>3222</v>
      </c>
      <c r="BF347" s="4">
        <f>HYPERLINK("http://dx.doi.org/10.1007/BF00963130","http://dx.doi.org/10.1007/BF00963130")</f>
      </c>
      <c r="BG347" s="1"/>
      <c r="BH347" s="1"/>
      <c r="BI347" s="1"/>
      <c r="BJ347" s="1"/>
      <c r="BK347" s="1"/>
      <c r="BL347" s="1"/>
      <c r="BM347" s="1"/>
      <c r="BN347" s="2"/>
      <c r="BO347" s="1"/>
      <c r="BP347" s="1"/>
      <c r="BQ347" s="1"/>
      <c r="BR347" s="1"/>
      <c r="BS347" s="1" t="s">
        <v>3223</v>
      </c>
      <c r="BT347" s="5">
        <f>HYPERLINK("https%3A%2F%2Fwww.webofscience.com%2Fwos%2Fwoscc%2Ffull-record%2FWOS:A1995TD28000012","View Full Record in Web of Science")</f>
      </c>
    </row>
    <row x14ac:dyDescent="0.25" r="348" customHeight="1" ht="12.75">
      <c r="A348" s="1" t="s">
        <v>303</v>
      </c>
      <c r="B348" s="1" t="s">
        <v>3224</v>
      </c>
      <c r="C348" s="1"/>
      <c r="D348" s="1"/>
      <c r="E348" s="1" t="s">
        <v>3225</v>
      </c>
      <c r="F348" s="1" t="s">
        <v>3224</v>
      </c>
      <c r="G348" s="1"/>
      <c r="H348" s="1"/>
      <c r="I348" s="1" t="s">
        <v>3226</v>
      </c>
      <c r="J348" s="1" t="s">
        <v>3227</v>
      </c>
      <c r="K348" s="1"/>
      <c r="L348" s="1"/>
      <c r="M348" s="1"/>
      <c r="N348" s="1"/>
      <c r="O348" s="1" t="s">
        <v>3228</v>
      </c>
      <c r="P348" s="2" t="s">
        <v>3229</v>
      </c>
      <c r="Q348" s="1" t="s">
        <v>3230</v>
      </c>
      <c r="R348" s="1" t="s">
        <v>3231</v>
      </c>
      <c r="S348" s="1"/>
      <c r="T348" s="1"/>
      <c r="U348" s="1"/>
      <c r="V348" s="1"/>
      <c r="W348" s="1"/>
      <c r="X348" s="1"/>
      <c r="Y348" s="1"/>
      <c r="Z348" s="1"/>
      <c r="AA348" s="1" t="s">
        <v>3232</v>
      </c>
      <c r="AB348" s="1" t="s">
        <v>3233</v>
      </c>
      <c r="AC348" s="1"/>
      <c r="AD348" s="1"/>
      <c r="AE348" s="1"/>
      <c r="AF348" s="1"/>
      <c r="AG348" s="1"/>
      <c r="AH348" s="1"/>
      <c r="AI348" s="1"/>
      <c r="AJ348" s="1"/>
      <c r="AK348" s="1"/>
      <c r="AL348" s="1"/>
      <c r="AM348" s="1"/>
      <c r="AN348" s="1"/>
      <c r="AO348" s="1"/>
      <c r="AP348" s="1"/>
      <c r="AQ348" s="1" t="s">
        <v>3234</v>
      </c>
      <c r="AR348" s="1"/>
      <c r="AS348" s="1"/>
      <c r="AT348" s="1"/>
      <c r="AU348" s="3">
        <v>1993</v>
      </c>
      <c r="AV348" s="2"/>
      <c r="AW348" s="2"/>
      <c r="AX348" s="2"/>
      <c r="AY348" s="2"/>
      <c r="AZ348" s="1"/>
      <c r="BA348" s="2"/>
      <c r="BB348" s="3">
        <v>491</v>
      </c>
      <c r="BC348" s="3">
        <v>494</v>
      </c>
      <c r="BD348" s="2"/>
      <c r="BE348" s="1"/>
      <c r="BF348" s="1"/>
      <c r="BG348" s="1"/>
      <c r="BH348" s="1"/>
      <c r="BI348" s="1"/>
      <c r="BJ348" s="1"/>
      <c r="BK348" s="1"/>
      <c r="BL348" s="1"/>
      <c r="BM348" s="1"/>
      <c r="BN348" s="2"/>
      <c r="BO348" s="1"/>
      <c r="BP348" s="1"/>
      <c r="BQ348" s="1"/>
      <c r="BR348" s="1"/>
      <c r="BS348" s="1" t="s">
        <v>3235</v>
      </c>
      <c r="BT348" s="5">
        <f>HYPERLINK("https%3A%2F%2Fwww.webofscience.com%2Fwos%2Fwoscc%2Ffull-record%2FWOS:A1993BA27D00116","View Full Record in Web of Science")</f>
      </c>
    </row>
    <row x14ac:dyDescent="0.25" r="349" customHeight="1" ht="12.75">
      <c r="A349" s="1" t="s">
        <v>72</v>
      </c>
      <c r="B349" s="1" t="s">
        <v>3236</v>
      </c>
      <c r="C349" s="1"/>
      <c r="D349" s="1"/>
      <c r="E349" s="1"/>
      <c r="F349" s="1" t="s">
        <v>3236</v>
      </c>
      <c r="G349" s="1"/>
      <c r="H349" s="1"/>
      <c r="I349" s="1" t="s">
        <v>3237</v>
      </c>
      <c r="J349" s="1" t="s">
        <v>3238</v>
      </c>
      <c r="K349" s="1"/>
      <c r="L349" s="1"/>
      <c r="M349" s="1"/>
      <c r="N349" s="1"/>
      <c r="O349" s="1"/>
      <c r="P349" s="2"/>
      <c r="Q349" s="1"/>
      <c r="R349" s="1"/>
      <c r="S349" s="1"/>
      <c r="T349" s="1"/>
      <c r="U349" s="1"/>
      <c r="V349" s="1"/>
      <c r="W349" s="1"/>
      <c r="X349" s="1"/>
      <c r="Y349" s="1"/>
      <c r="Z349" s="1"/>
      <c r="AA349" s="1" t="s">
        <v>1626</v>
      </c>
      <c r="AB349" s="1" t="s">
        <v>1627</v>
      </c>
      <c r="AC349" s="1"/>
      <c r="AD349" s="1"/>
      <c r="AE349" s="1"/>
      <c r="AF349" s="1"/>
      <c r="AG349" s="1"/>
      <c r="AH349" s="1"/>
      <c r="AI349" s="1"/>
      <c r="AJ349" s="1"/>
      <c r="AK349" s="1"/>
      <c r="AL349" s="1"/>
      <c r="AM349" s="1"/>
      <c r="AN349" s="1"/>
      <c r="AO349" s="1" t="s">
        <v>3239</v>
      </c>
      <c r="AP349" s="1"/>
      <c r="AQ349" s="1"/>
      <c r="AR349" s="1"/>
      <c r="AS349" s="1"/>
      <c r="AT349" s="1" t="s">
        <v>192</v>
      </c>
      <c r="AU349" s="3">
        <v>1989</v>
      </c>
      <c r="AV349" s="3">
        <v>39</v>
      </c>
      <c r="AW349" s="3">
        <v>8</v>
      </c>
      <c r="AX349" s="2"/>
      <c r="AY349" s="2"/>
      <c r="AZ349" s="1"/>
      <c r="BA349" s="2"/>
      <c r="BB349" s="3">
        <v>4303</v>
      </c>
      <c r="BC349" s="3">
        <v>4305</v>
      </c>
      <c r="BD349" s="2"/>
      <c r="BE349" s="1" t="s">
        <v>3240</v>
      </c>
      <c r="BF349" s="4">
        <f>HYPERLINK("http://dx.doi.org/10.1103/PhysRevA.39.4303","http://dx.doi.org/10.1103/PhysRevA.39.4303")</f>
      </c>
      <c r="BG349" s="1"/>
      <c r="BH349" s="1"/>
      <c r="BI349" s="1"/>
      <c r="BJ349" s="1"/>
      <c r="BK349" s="1"/>
      <c r="BL349" s="1"/>
      <c r="BM349" s="1"/>
      <c r="BN349" s="3">
        <v>9901769</v>
      </c>
      <c r="BO349" s="1"/>
      <c r="BP349" s="1"/>
      <c r="BQ349" s="1"/>
      <c r="BR349" s="1"/>
      <c r="BS349" s="1" t="s">
        <v>3241</v>
      </c>
      <c r="BT349" s="5">
        <f>HYPERLINK("https%3A%2F%2Fwww.webofscience.com%2Fwos%2Fwoscc%2Ffull-record%2FWOS:A1989U317500074","View Full Record in Web of Science")</f>
      </c>
    </row>
    <row x14ac:dyDescent="0.25" r="350" customHeight="1" ht="12.75">
      <c r="A350" s="1" t="s">
        <v>72</v>
      </c>
      <c r="B350" s="1" t="s">
        <v>3242</v>
      </c>
      <c r="C350" s="1"/>
      <c r="D350" s="1"/>
      <c r="E350" s="1"/>
      <c r="F350" s="1" t="s">
        <v>3242</v>
      </c>
      <c r="G350" s="1"/>
      <c r="H350" s="1"/>
      <c r="I350" s="1" t="s">
        <v>3243</v>
      </c>
      <c r="J350" s="1" t="s">
        <v>565</v>
      </c>
      <c r="K350" s="1"/>
      <c r="L350" s="1"/>
      <c r="M350" s="1"/>
      <c r="N350" s="1"/>
      <c r="O350" s="1"/>
      <c r="P350" s="2"/>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t="s">
        <v>594</v>
      </c>
      <c r="AP350" s="1"/>
      <c r="AQ350" s="1"/>
      <c r="AR350" s="1"/>
      <c r="AS350" s="1"/>
      <c r="AT350" s="1" t="s">
        <v>169</v>
      </c>
      <c r="AU350" s="3">
        <v>1988</v>
      </c>
      <c r="AV350" s="2"/>
      <c r="AW350" s="3">
        <v>32</v>
      </c>
      <c r="AX350" s="2"/>
      <c r="AY350" s="2"/>
      <c r="AZ350" s="1"/>
      <c r="BA350" s="2"/>
      <c r="BB350" s="3">
        <v>141</v>
      </c>
      <c r="BC350" s="3">
        <v>147</v>
      </c>
      <c r="BD350" s="2"/>
      <c r="BE350" s="1"/>
      <c r="BF350" s="1"/>
      <c r="BG350" s="1"/>
      <c r="BH350" s="1"/>
      <c r="BI350" s="1"/>
      <c r="BJ350" s="1"/>
      <c r="BK350" s="1"/>
      <c r="BL350" s="1"/>
      <c r="BM350" s="1"/>
      <c r="BN350" s="2"/>
      <c r="BO350" s="1"/>
      <c r="BP350" s="1"/>
      <c r="BQ350" s="1"/>
      <c r="BR350" s="1"/>
      <c r="BS350" s="1" t="s">
        <v>3244</v>
      </c>
      <c r="BT350" s="5">
        <f>HYPERLINK("https%3A%2F%2Fwww.webofscience.com%2Fwos%2Fwoscc%2Ffull-record%2FWOS:A1988U593600011","View Full Record in Web of Science")</f>
      </c>
    </row>
    <row x14ac:dyDescent="0.25" r="351" customHeight="1" ht="12.75">
      <c r="A351" s="1" t="s">
        <v>72</v>
      </c>
      <c r="B351" s="1" t="s">
        <v>3245</v>
      </c>
      <c r="C351" s="1"/>
      <c r="D351" s="1"/>
      <c r="E351" s="1"/>
      <c r="F351" s="1" t="s">
        <v>3245</v>
      </c>
      <c r="G351" s="1"/>
      <c r="H351" s="1"/>
      <c r="I351" s="1" t="s">
        <v>3246</v>
      </c>
      <c r="J351" s="1" t="s">
        <v>3247</v>
      </c>
      <c r="K351" s="1"/>
      <c r="L351" s="1"/>
      <c r="M351" s="1"/>
      <c r="N351" s="1"/>
      <c r="O351" s="1"/>
      <c r="P351" s="2"/>
      <c r="Q351" s="1"/>
      <c r="R351" s="1"/>
      <c r="S351" s="1"/>
      <c r="T351" s="1"/>
      <c r="U351" s="1"/>
      <c r="V351" s="1"/>
      <c r="W351" s="1"/>
      <c r="X351" s="1"/>
      <c r="Y351" s="1"/>
      <c r="Z351" s="1"/>
      <c r="AA351" s="1" t="s">
        <v>3248</v>
      </c>
      <c r="AB351" s="1"/>
      <c r="AC351" s="1"/>
      <c r="AD351" s="1"/>
      <c r="AE351" s="1"/>
      <c r="AF351" s="1"/>
      <c r="AG351" s="1"/>
      <c r="AH351" s="1"/>
      <c r="AI351" s="1"/>
      <c r="AJ351" s="1"/>
      <c r="AK351" s="1"/>
      <c r="AL351" s="1"/>
      <c r="AM351" s="1"/>
      <c r="AN351" s="1"/>
      <c r="AO351" s="1" t="s">
        <v>3249</v>
      </c>
      <c r="AP351" s="1"/>
      <c r="AQ351" s="1"/>
      <c r="AR351" s="1"/>
      <c r="AS351" s="1"/>
      <c r="AT351" s="1" t="s">
        <v>265</v>
      </c>
      <c r="AU351" s="3">
        <v>1986</v>
      </c>
      <c r="AV351" s="3">
        <v>133</v>
      </c>
      <c r="AW351" s="3">
        <v>8</v>
      </c>
      <c r="AX351" s="2"/>
      <c r="AY351" s="2"/>
      <c r="AZ351" s="1"/>
      <c r="BA351" s="2"/>
      <c r="BB351" s="2" t="s">
        <v>3250</v>
      </c>
      <c r="BC351" s="2" t="s">
        <v>3250</v>
      </c>
      <c r="BD351" s="2"/>
      <c r="BE351" s="1"/>
      <c r="BF351" s="1"/>
      <c r="BG351" s="1"/>
      <c r="BH351" s="1"/>
      <c r="BI351" s="1"/>
      <c r="BJ351" s="1"/>
      <c r="BK351" s="1"/>
      <c r="BL351" s="1"/>
      <c r="BM351" s="1"/>
      <c r="BN351" s="2"/>
      <c r="BO351" s="1"/>
      <c r="BP351" s="1"/>
      <c r="BQ351" s="1"/>
      <c r="BR351" s="1"/>
      <c r="BS351" s="1" t="s">
        <v>3251</v>
      </c>
      <c r="BT351" s="5">
        <f>HYPERLINK("https%3A%2F%2Fwww.webofscience.com%2Fwos%2Fwoscc%2Ffull-record%2FWOS:A1986D603100788","View Full Record in Web of Science")</f>
      </c>
    </row>
    <row x14ac:dyDescent="0.25" r="352" customHeight="1" ht="12.75">
      <c r="A352" s="1" t="s">
        <v>72</v>
      </c>
      <c r="B352" s="1" t="s">
        <v>3252</v>
      </c>
      <c r="C352" s="1"/>
      <c r="D352" s="1"/>
      <c r="E352" s="1"/>
      <c r="F352" s="1" t="s">
        <v>3252</v>
      </c>
      <c r="G352" s="1"/>
      <c r="H352" s="1"/>
      <c r="I352" s="1" t="s">
        <v>3253</v>
      </c>
      <c r="J352" s="1" t="s">
        <v>1774</v>
      </c>
      <c r="K352" s="1"/>
      <c r="L352" s="1"/>
      <c r="M352" s="1"/>
      <c r="N352" s="1"/>
      <c r="O352" s="1"/>
      <c r="P352" s="2"/>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t="s">
        <v>1775</v>
      </c>
      <c r="AP352" s="1"/>
      <c r="AQ352" s="1"/>
      <c r="AR352" s="1"/>
      <c r="AS352" s="1"/>
      <c r="AT352" s="1"/>
      <c r="AU352" s="3">
        <v>1985</v>
      </c>
      <c r="AV352" s="3">
        <v>17</v>
      </c>
      <c r="AW352" s="3">
        <v>1</v>
      </c>
      <c r="AX352" s="2"/>
      <c r="AY352" s="2"/>
      <c r="AZ352" s="1"/>
      <c r="BA352" s="2"/>
      <c r="BB352" s="3">
        <v>109</v>
      </c>
      <c r="BC352" s="3">
        <v>116</v>
      </c>
      <c r="BD352" s="2"/>
      <c r="BE352" s="1" t="s">
        <v>3254</v>
      </c>
      <c r="BF352" s="4">
        <f>HYPERLINK("http://dx.doi.org/10.1002/kin.550170110","http://dx.doi.org/10.1002/kin.550170110")</f>
      </c>
      <c r="BG352" s="1"/>
      <c r="BH352" s="1"/>
      <c r="BI352" s="1"/>
      <c r="BJ352" s="1"/>
      <c r="BK352" s="1"/>
      <c r="BL352" s="1"/>
      <c r="BM352" s="1"/>
      <c r="BN352" s="2"/>
      <c r="BO352" s="1"/>
      <c r="BP352" s="1"/>
      <c r="BQ352" s="1"/>
      <c r="BR352" s="1"/>
      <c r="BS352" s="1" t="s">
        <v>3255</v>
      </c>
      <c r="BT352" s="5">
        <f>HYPERLINK("https%3A%2F%2Fwww.webofscience.com%2Fwos%2Fwoscc%2Ffull-record%2FWOS:A1985ADX8200009","View Full Record in Web of Science")</f>
      </c>
    </row>
    <row x14ac:dyDescent="0.25" r="353" customHeight="1" ht="12.75">
      <c r="A353" s="1" t="s">
        <v>72</v>
      </c>
      <c r="B353" s="1" t="s">
        <v>3256</v>
      </c>
      <c r="C353" s="1"/>
      <c r="D353" s="1"/>
      <c r="E353" s="1"/>
      <c r="F353" s="1" t="s">
        <v>3256</v>
      </c>
      <c r="G353" s="1"/>
      <c r="H353" s="1"/>
      <c r="I353" s="1" t="s">
        <v>3257</v>
      </c>
      <c r="J353" s="1" t="s">
        <v>3258</v>
      </c>
      <c r="K353" s="1"/>
      <c r="L353" s="1"/>
      <c r="M353" s="1"/>
      <c r="N353" s="1"/>
      <c r="O353" s="1"/>
      <c r="P353" s="2"/>
      <c r="Q353" s="1"/>
      <c r="R353" s="1"/>
      <c r="S353" s="1"/>
      <c r="T353" s="1"/>
      <c r="U353" s="1"/>
      <c r="V353" s="1" t="s">
        <v>3259</v>
      </c>
      <c r="W353" s="1"/>
      <c r="X353" s="1"/>
      <c r="Y353" s="1"/>
      <c r="Z353" s="1"/>
      <c r="AA353" s="1"/>
      <c r="AB353" s="1"/>
      <c r="AC353" s="1"/>
      <c r="AD353" s="1"/>
      <c r="AE353" s="1"/>
      <c r="AF353" s="1"/>
      <c r="AG353" s="1"/>
      <c r="AH353" s="1"/>
      <c r="AI353" s="1"/>
      <c r="AJ353" s="1"/>
      <c r="AK353" s="1"/>
      <c r="AL353" s="1"/>
      <c r="AM353" s="1"/>
      <c r="AN353" s="1"/>
      <c r="AO353" s="1" t="s">
        <v>3260</v>
      </c>
      <c r="AP353" s="1"/>
      <c r="AQ353" s="1"/>
      <c r="AR353" s="1"/>
      <c r="AS353" s="1"/>
      <c r="AT353" s="1"/>
      <c r="AU353" s="3">
        <v>1985</v>
      </c>
      <c r="AV353" s="3">
        <v>10</v>
      </c>
      <c r="AW353" s="3">
        <v>4</v>
      </c>
      <c r="AX353" s="2"/>
      <c r="AY353" s="2"/>
      <c r="AZ353" s="1"/>
      <c r="BA353" s="2"/>
      <c r="BB353" s="3">
        <v>655</v>
      </c>
      <c r="BC353" s="3">
        <v>662</v>
      </c>
      <c r="BD353" s="2"/>
      <c r="BE353" s="1"/>
      <c r="BF353" s="1"/>
      <c r="BG353" s="1"/>
      <c r="BH353" s="1"/>
      <c r="BI353" s="1"/>
      <c r="BJ353" s="1"/>
      <c r="BK353" s="1"/>
      <c r="BL353" s="1"/>
      <c r="BM353" s="1"/>
      <c r="BN353" s="3">
        <v>2992515</v>
      </c>
      <c r="BO353" s="1"/>
      <c r="BP353" s="1"/>
      <c r="BQ353" s="1"/>
      <c r="BR353" s="1"/>
      <c r="BS353" s="1" t="s">
        <v>3261</v>
      </c>
      <c r="BT353" s="5">
        <f>HYPERLINK("https%3A%2F%2Fwww.webofscience.com%2Fwos%2Fwoscc%2Ffull-record%2FWOS:A1985AGW6100018","View Full Record in Web of Science")</f>
      </c>
    </row>
    <row x14ac:dyDescent="0.25" r="354" customHeight="1" ht="12.75">
      <c r="A354" s="1" t="s">
        <v>72</v>
      </c>
      <c r="B354" s="1" t="s">
        <v>3262</v>
      </c>
      <c r="C354" s="1"/>
      <c r="D354" s="1"/>
      <c r="E354" s="1"/>
      <c r="F354" s="1" t="s">
        <v>3262</v>
      </c>
      <c r="G354" s="1"/>
      <c r="H354" s="1"/>
      <c r="I354" s="1" t="s">
        <v>3263</v>
      </c>
      <c r="J354" s="1" t="s">
        <v>3264</v>
      </c>
      <c r="K354" s="1"/>
      <c r="L354" s="1"/>
      <c r="M354" s="1"/>
      <c r="N354" s="1"/>
      <c r="O354" s="1"/>
      <c r="P354" s="2"/>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t="s">
        <v>3265</v>
      </c>
      <c r="AP354" s="1"/>
      <c r="AQ354" s="1"/>
      <c r="AR354" s="1"/>
      <c r="AS354" s="1"/>
      <c r="AT354" s="1"/>
      <c r="AU354" s="3">
        <v>1984</v>
      </c>
      <c r="AV354" s="3">
        <v>51</v>
      </c>
      <c r="AW354" s="3">
        <v>1</v>
      </c>
      <c r="AX354" s="2"/>
      <c r="AY354" s="2"/>
      <c r="AZ354" s="1"/>
      <c r="BA354" s="2"/>
      <c r="BB354" s="3">
        <v>131</v>
      </c>
      <c r="BC354" s="3">
        <v>147</v>
      </c>
      <c r="BD354" s="2"/>
      <c r="BE354" s="1"/>
      <c r="BF354" s="1"/>
      <c r="BG354" s="1"/>
      <c r="BH354" s="1"/>
      <c r="BI354" s="1"/>
      <c r="BJ354" s="1"/>
      <c r="BK354" s="1"/>
      <c r="BL354" s="1"/>
      <c r="BM354" s="1"/>
      <c r="BN354" s="2"/>
      <c r="BO354" s="1"/>
      <c r="BP354" s="1"/>
      <c r="BQ354" s="1"/>
      <c r="BR354" s="1"/>
      <c r="BS354" s="1" t="s">
        <v>3266</v>
      </c>
      <c r="BT354" s="5">
        <f>HYPERLINK("https%3A%2F%2Fwww.webofscience.com%2Fwos%2Fwoscc%2Ffull-record%2FWOS:A1984SF08200009","View Full Record in Web of Science")</f>
      </c>
    </row>
    <row x14ac:dyDescent="0.25" r="355" customHeight="1" ht="12.75">
      <c r="A355" s="1" t="s">
        <v>72</v>
      </c>
      <c r="B355" s="1" t="s">
        <v>3267</v>
      </c>
      <c r="C355" s="1"/>
      <c r="D355" s="1"/>
      <c r="E355" s="1"/>
      <c r="F355" s="1" t="s">
        <v>3267</v>
      </c>
      <c r="G355" s="1"/>
      <c r="H355" s="1"/>
      <c r="I355" s="1" t="s">
        <v>3268</v>
      </c>
      <c r="J355" s="1" t="s">
        <v>3247</v>
      </c>
      <c r="K355" s="1"/>
      <c r="L355" s="1"/>
      <c r="M355" s="1"/>
      <c r="N355" s="1"/>
      <c r="O355" s="1"/>
      <c r="P355" s="2"/>
      <c r="Q355" s="1"/>
      <c r="R355" s="1"/>
      <c r="S355" s="1"/>
      <c r="T355" s="1"/>
      <c r="U355" s="1"/>
      <c r="V355" s="1"/>
      <c r="W355" s="1"/>
      <c r="X355" s="1"/>
      <c r="Y355" s="1"/>
      <c r="Z355" s="1"/>
      <c r="AA355" s="1" t="s">
        <v>3269</v>
      </c>
      <c r="AB355" s="1"/>
      <c r="AC355" s="1"/>
      <c r="AD355" s="1"/>
      <c r="AE355" s="1"/>
      <c r="AF355" s="1"/>
      <c r="AG355" s="1"/>
      <c r="AH355" s="1"/>
      <c r="AI355" s="1"/>
      <c r="AJ355" s="1"/>
      <c r="AK355" s="1"/>
      <c r="AL355" s="1"/>
      <c r="AM355" s="1"/>
      <c r="AN355" s="1"/>
      <c r="AO355" s="1" t="s">
        <v>3249</v>
      </c>
      <c r="AP355" s="1" t="s">
        <v>3270</v>
      </c>
      <c r="AQ355" s="1"/>
      <c r="AR355" s="1"/>
      <c r="AS355" s="1"/>
      <c r="AT355" s="1"/>
      <c r="AU355" s="3">
        <v>1982</v>
      </c>
      <c r="AV355" s="3">
        <v>129</v>
      </c>
      <c r="AW355" s="3">
        <v>10</v>
      </c>
      <c r="AX355" s="2"/>
      <c r="AY355" s="2"/>
      <c r="AZ355" s="1"/>
      <c r="BA355" s="2"/>
      <c r="BB355" s="3">
        <v>2242</v>
      </c>
      <c r="BC355" s="3">
        <v>2247</v>
      </c>
      <c r="BD355" s="2"/>
      <c r="BE355" s="1" t="s">
        <v>3271</v>
      </c>
      <c r="BF355" s="4">
        <f>HYPERLINK("http://dx.doi.org/10.1149/1.2123483","http://dx.doi.org/10.1149/1.2123483")</f>
      </c>
      <c r="BG355" s="1"/>
      <c r="BH355" s="1"/>
      <c r="BI355" s="1"/>
      <c r="BJ355" s="1"/>
      <c r="BK355" s="1"/>
      <c r="BL355" s="1"/>
      <c r="BM355" s="1"/>
      <c r="BN355" s="2"/>
      <c r="BO355" s="1"/>
      <c r="BP355" s="1"/>
      <c r="BQ355" s="1"/>
      <c r="BR355" s="1"/>
      <c r="BS355" s="1" t="s">
        <v>3272</v>
      </c>
      <c r="BT355" s="5">
        <f>HYPERLINK("https%3A%2F%2Fwww.webofscience.com%2Fwos%2Fwoscc%2Ffull-record%2FWOS:A1982PJ51800017","View Full Record in Web of Science")</f>
      </c>
    </row>
    <row x14ac:dyDescent="0.25" r="356" customHeight="1" ht="12.75">
      <c r="A356" s="1" t="s">
        <v>72</v>
      </c>
      <c r="B356" s="1" t="s">
        <v>3273</v>
      </c>
      <c r="C356" s="1"/>
      <c r="D356" s="1"/>
      <c r="E356" s="1"/>
      <c r="F356" s="1" t="s">
        <v>3273</v>
      </c>
      <c r="G356" s="1"/>
      <c r="H356" s="1"/>
      <c r="I356" s="1" t="s">
        <v>3274</v>
      </c>
      <c r="J356" s="1" t="s">
        <v>1774</v>
      </c>
      <c r="K356" s="1"/>
      <c r="L356" s="1"/>
      <c r="M356" s="1"/>
      <c r="N356" s="1"/>
      <c r="O356" s="1"/>
      <c r="P356" s="2"/>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t="s">
        <v>1775</v>
      </c>
      <c r="AP356" s="1"/>
      <c r="AQ356" s="1"/>
      <c r="AR356" s="1"/>
      <c r="AS356" s="1"/>
      <c r="AT356" s="1"/>
      <c r="AU356" s="3">
        <v>1981</v>
      </c>
      <c r="AV356" s="3">
        <v>13</v>
      </c>
      <c r="AW356" s="3">
        <v>2</v>
      </c>
      <c r="AX356" s="2"/>
      <c r="AY356" s="2"/>
      <c r="AZ356" s="1"/>
      <c r="BA356" s="2"/>
      <c r="BB356" s="3">
        <v>119</v>
      </c>
      <c r="BC356" s="3">
        <v>123</v>
      </c>
      <c r="BD356" s="2"/>
      <c r="BE356" s="1" t="s">
        <v>3275</v>
      </c>
      <c r="BF356" s="4">
        <f>HYPERLINK("http://dx.doi.org/10.1002/kin.550130203","http://dx.doi.org/10.1002/kin.550130203")</f>
      </c>
      <c r="BG356" s="1"/>
      <c r="BH356" s="1"/>
      <c r="BI356" s="1"/>
      <c r="BJ356" s="1"/>
      <c r="BK356" s="1"/>
      <c r="BL356" s="1"/>
      <c r="BM356" s="1"/>
      <c r="BN356" s="2"/>
      <c r="BO356" s="1"/>
      <c r="BP356" s="1"/>
      <c r="BQ356" s="1"/>
      <c r="BR356" s="1"/>
      <c r="BS356" s="1" t="s">
        <v>3276</v>
      </c>
      <c r="BT356" s="5">
        <f>HYPERLINK("https%3A%2F%2Fwww.webofscience.com%2Fwos%2Fwoscc%2Ffull-record%2FWOS:A1981LA60200002","View Full Record in Web of Science")</f>
      </c>
    </row>
    <row x14ac:dyDescent="0.25" r="357" customHeight="1" ht="12.75">
      <c r="A357" s="1" t="s">
        <v>72</v>
      </c>
      <c r="B357" s="1" t="s">
        <v>816</v>
      </c>
      <c r="C357" s="1"/>
      <c r="D357" s="1"/>
      <c r="E357" s="1"/>
      <c r="F357" s="1" t="s">
        <v>3277</v>
      </c>
      <c r="G357" s="1"/>
      <c r="H357" s="1"/>
      <c r="I357" s="1" t="s">
        <v>3278</v>
      </c>
      <c r="J357" s="1" t="s">
        <v>3279</v>
      </c>
      <c r="K357" s="1"/>
      <c r="L357" s="1"/>
      <c r="M357" s="1"/>
      <c r="N357" s="1"/>
      <c r="O357" s="1"/>
      <c r="P357" s="2"/>
      <c r="Q357" s="1"/>
      <c r="R357" s="1"/>
      <c r="S357" s="1"/>
      <c r="T357" s="1"/>
      <c r="U357" s="1"/>
      <c r="V357" s="1" t="s">
        <v>3280</v>
      </c>
      <c r="W357" s="1"/>
      <c r="X357" s="1"/>
      <c r="Y357" s="1"/>
      <c r="Z357" s="1"/>
      <c r="AA357" s="1" t="s">
        <v>820</v>
      </c>
      <c r="AB357" s="1" t="s">
        <v>821</v>
      </c>
      <c r="AC357" s="1"/>
      <c r="AD357" s="1"/>
      <c r="AE357" s="1"/>
      <c r="AF357" s="1"/>
      <c r="AG357" s="1"/>
      <c r="AH357" s="1"/>
      <c r="AI357" s="1"/>
      <c r="AJ357" s="1"/>
      <c r="AK357" s="1"/>
      <c r="AL357" s="1"/>
      <c r="AM357" s="1"/>
      <c r="AN357" s="1"/>
      <c r="AO357" s="1"/>
      <c r="AP357" s="1" t="s">
        <v>3281</v>
      </c>
      <c r="AQ357" s="1"/>
      <c r="AR357" s="1"/>
      <c r="AS357" s="1"/>
      <c r="AT357" s="1" t="s">
        <v>757</v>
      </c>
      <c r="AU357" s="3">
        <v>2024</v>
      </c>
      <c r="AV357" s="3">
        <v>15</v>
      </c>
      <c r="AW357" s="3">
        <v>6</v>
      </c>
      <c r="AX357" s="2"/>
      <c r="AY357" s="2"/>
      <c r="AZ357" s="1"/>
      <c r="BA357" s="2"/>
      <c r="BB357" s="2"/>
      <c r="BC357" s="2"/>
      <c r="BD357" s="3">
        <v>726</v>
      </c>
      <c r="BE357" s="1" t="s">
        <v>3282</v>
      </c>
      <c r="BF357" s="4">
        <f>HYPERLINK("http://dx.doi.org/10.3390/rel15060726","http://dx.doi.org/10.3390/rel15060726")</f>
      </c>
      <c r="BG357" s="1"/>
      <c r="BH357" s="1"/>
      <c r="BI357" s="1"/>
      <c r="BJ357" s="1"/>
      <c r="BK357" s="1"/>
      <c r="BL357" s="1"/>
      <c r="BM357" s="1"/>
      <c r="BN357" s="2"/>
      <c r="BO357" s="1"/>
      <c r="BP357" s="1"/>
      <c r="BQ357" s="1"/>
      <c r="BR357" s="1"/>
      <c r="BS357" s="1" t="s">
        <v>3283</v>
      </c>
      <c r="BT357" s="5">
        <f>HYPERLINK("https%3A%2F%2Fwww.webofscience.com%2Fwos%2Fwoscc%2Ffull-record%2FWOS:001256492100001","View Full Record in Web of Science")</f>
      </c>
    </row>
    <row x14ac:dyDescent="0.25" r="358" customHeight="1" ht="12.75">
      <c r="A358" s="1" t="s">
        <v>72</v>
      </c>
      <c r="B358" s="1" t="s">
        <v>3284</v>
      </c>
      <c r="C358" s="1"/>
      <c r="D358" s="1"/>
      <c r="E358" s="1"/>
      <c r="F358" s="1" t="s">
        <v>3285</v>
      </c>
      <c r="G358" s="1"/>
      <c r="H358" s="1"/>
      <c r="I358" s="1" t="s">
        <v>3286</v>
      </c>
      <c r="J358" s="1" t="s">
        <v>3287</v>
      </c>
      <c r="K358" s="1"/>
      <c r="L358" s="1"/>
      <c r="M358" s="1"/>
      <c r="N358" s="1"/>
      <c r="O358" s="1"/>
      <c r="P358" s="2"/>
      <c r="Q358" s="1"/>
      <c r="R358" s="1"/>
      <c r="S358" s="1"/>
      <c r="T358" s="1"/>
      <c r="U358" s="1"/>
      <c r="V358" s="1" t="s">
        <v>3288</v>
      </c>
      <c r="W358" s="1"/>
      <c r="X358" s="1"/>
      <c r="Y358" s="1"/>
      <c r="Z358" s="1"/>
      <c r="AA358" s="1" t="s">
        <v>3289</v>
      </c>
      <c r="AB358" s="1" t="s">
        <v>3290</v>
      </c>
      <c r="AC358" s="1"/>
      <c r="AD358" s="1"/>
      <c r="AE358" s="1"/>
      <c r="AF358" s="1"/>
      <c r="AG358" s="1"/>
      <c r="AH358" s="1"/>
      <c r="AI358" s="1"/>
      <c r="AJ358" s="1"/>
      <c r="AK358" s="1"/>
      <c r="AL358" s="1"/>
      <c r="AM358" s="1"/>
      <c r="AN358" s="1"/>
      <c r="AO358" s="1" t="s">
        <v>3291</v>
      </c>
      <c r="AP358" s="1"/>
      <c r="AQ358" s="1"/>
      <c r="AR358" s="1"/>
      <c r="AS358" s="1"/>
      <c r="AT358" s="1" t="s">
        <v>757</v>
      </c>
      <c r="AU358" s="3">
        <v>2023</v>
      </c>
      <c r="AV358" s="3">
        <v>38</v>
      </c>
      <c r="AW358" s="2"/>
      <c r="AX358" s="2"/>
      <c r="AY358" s="2"/>
      <c r="AZ358" s="1"/>
      <c r="BA358" s="2"/>
      <c r="BB358" s="2"/>
      <c r="BC358" s="2"/>
      <c r="BD358" s="3">
        <v>102856</v>
      </c>
      <c r="BE358" s="1" t="s">
        <v>3292</v>
      </c>
      <c r="BF358" s="4">
        <f>HYPERLINK("http://dx.doi.org/10.1016/j.surfin.2023.102856","http://dx.doi.org/10.1016/j.surfin.2023.102856")</f>
      </c>
      <c r="BG358" s="1"/>
      <c r="BH358" s="1" t="s">
        <v>3293</v>
      </c>
      <c r="BI358" s="1"/>
      <c r="BJ358" s="1"/>
      <c r="BK358" s="1"/>
      <c r="BL358" s="1"/>
      <c r="BM358" s="1"/>
      <c r="BN358" s="2"/>
      <c r="BO358" s="1"/>
      <c r="BP358" s="1"/>
      <c r="BQ358" s="1"/>
      <c r="BR358" s="1"/>
      <c r="BS358" s="1" t="s">
        <v>3294</v>
      </c>
      <c r="BT358" s="5">
        <f>HYPERLINK("https%3A%2F%2Fwww.webofscience.com%2Fwos%2Fwoscc%2Ffull-record%2FWOS:000981903100001","View Full Record in Web of Science")</f>
      </c>
    </row>
    <row x14ac:dyDescent="0.25" r="359" customHeight="1" ht="12.75">
      <c r="A359" s="1" t="s">
        <v>72</v>
      </c>
      <c r="B359" s="1" t="s">
        <v>3295</v>
      </c>
      <c r="C359" s="1"/>
      <c r="D359" s="1"/>
      <c r="E359" s="1"/>
      <c r="F359" s="1" t="s">
        <v>3296</v>
      </c>
      <c r="G359" s="1"/>
      <c r="H359" s="1"/>
      <c r="I359" s="1" t="s">
        <v>3297</v>
      </c>
      <c r="J359" s="1" t="s">
        <v>1200</v>
      </c>
      <c r="K359" s="1"/>
      <c r="L359" s="1"/>
      <c r="M359" s="1"/>
      <c r="N359" s="1"/>
      <c r="O359" s="1"/>
      <c r="P359" s="2"/>
      <c r="Q359" s="1"/>
      <c r="R359" s="1"/>
      <c r="S359" s="1"/>
      <c r="T359" s="1"/>
      <c r="U359" s="1"/>
      <c r="V359" s="1" t="s">
        <v>3298</v>
      </c>
      <c r="W359" s="1"/>
      <c r="X359" s="1"/>
      <c r="Y359" s="1"/>
      <c r="Z359" s="1"/>
      <c r="AA359" s="1"/>
      <c r="AB359" s="1"/>
      <c r="AC359" s="1"/>
      <c r="AD359" s="1"/>
      <c r="AE359" s="1"/>
      <c r="AF359" s="1"/>
      <c r="AG359" s="1"/>
      <c r="AH359" s="1"/>
      <c r="AI359" s="1"/>
      <c r="AJ359" s="1"/>
      <c r="AK359" s="1"/>
      <c r="AL359" s="1"/>
      <c r="AM359" s="1"/>
      <c r="AN359" s="1"/>
      <c r="AO359" s="1" t="s">
        <v>1202</v>
      </c>
      <c r="AP359" s="1" t="s">
        <v>1203</v>
      </c>
      <c r="AQ359" s="1"/>
      <c r="AR359" s="1"/>
      <c r="AS359" s="1"/>
      <c r="AT359" s="1"/>
      <c r="AU359" s="3">
        <v>2023</v>
      </c>
      <c r="AV359" s="3">
        <v>33</v>
      </c>
      <c r="AW359" s="3">
        <v>1</v>
      </c>
      <c r="AX359" s="2"/>
      <c r="AY359" s="2"/>
      <c r="AZ359" s="1"/>
      <c r="BA359" s="2"/>
      <c r="BB359" s="3">
        <v>192</v>
      </c>
      <c r="BC359" s="3">
        <v>211</v>
      </c>
      <c r="BD359" s="2"/>
      <c r="BE359" s="1" t="s">
        <v>3299</v>
      </c>
      <c r="BF359" s="4">
        <f>HYPERLINK("http://dx.doi.org/10.15443/RL3311","http://dx.doi.org/10.15443/RL3311")</f>
      </c>
      <c r="BG359" s="1"/>
      <c r="BH359" s="1"/>
      <c r="BI359" s="1"/>
      <c r="BJ359" s="1"/>
      <c r="BK359" s="1"/>
      <c r="BL359" s="1"/>
      <c r="BM359" s="1"/>
      <c r="BN359" s="2"/>
      <c r="BO359" s="1"/>
      <c r="BP359" s="1"/>
      <c r="BQ359" s="1"/>
      <c r="BR359" s="1"/>
      <c r="BS359" s="1" t="s">
        <v>3300</v>
      </c>
      <c r="BT359" s="5">
        <f>HYPERLINK("https%3A%2F%2Fwww.webofscience.com%2Fwos%2Fwoscc%2Ffull-record%2FWOS:001024284800010","View Full Record in Web of Science")</f>
      </c>
    </row>
    <row x14ac:dyDescent="0.25" r="360" customHeight="1" ht="12.75">
      <c r="A360" s="1" t="s">
        <v>72</v>
      </c>
      <c r="B360" s="1" t="s">
        <v>3301</v>
      </c>
      <c r="C360" s="1"/>
      <c r="D360" s="1"/>
      <c r="E360" s="1"/>
      <c r="F360" s="1" t="s">
        <v>3302</v>
      </c>
      <c r="G360" s="1"/>
      <c r="H360" s="1"/>
      <c r="I360" s="1" t="s">
        <v>3303</v>
      </c>
      <c r="J360" s="1" t="s">
        <v>3304</v>
      </c>
      <c r="K360" s="1"/>
      <c r="L360" s="1"/>
      <c r="M360" s="1"/>
      <c r="N360" s="1"/>
      <c r="O360" s="1"/>
      <c r="P360" s="2"/>
      <c r="Q360" s="1"/>
      <c r="R360" s="1"/>
      <c r="S360" s="1"/>
      <c r="T360" s="1"/>
      <c r="U360" s="1"/>
      <c r="V360" s="1" t="s">
        <v>3305</v>
      </c>
      <c r="W360" s="1"/>
      <c r="X360" s="1"/>
      <c r="Y360" s="1"/>
      <c r="Z360" s="1"/>
      <c r="AA360" s="1" t="s">
        <v>3306</v>
      </c>
      <c r="AB360" s="1" t="s">
        <v>3307</v>
      </c>
      <c r="AC360" s="1"/>
      <c r="AD360" s="1"/>
      <c r="AE360" s="1"/>
      <c r="AF360" s="1"/>
      <c r="AG360" s="1"/>
      <c r="AH360" s="1"/>
      <c r="AI360" s="1"/>
      <c r="AJ360" s="1"/>
      <c r="AK360" s="1"/>
      <c r="AL360" s="1"/>
      <c r="AM360" s="1"/>
      <c r="AN360" s="1"/>
      <c r="AO360" s="1" t="s">
        <v>3308</v>
      </c>
      <c r="AP360" s="1" t="s">
        <v>3309</v>
      </c>
      <c r="AQ360" s="1"/>
      <c r="AR360" s="1"/>
      <c r="AS360" s="1"/>
      <c r="AT360" s="1" t="s">
        <v>3310</v>
      </c>
      <c r="AU360" s="3">
        <v>2022</v>
      </c>
      <c r="AV360" s="2"/>
      <c r="AW360" s="2"/>
      <c r="AX360" s="2"/>
      <c r="AY360" s="2"/>
      <c r="AZ360" s="1"/>
      <c r="BA360" s="2"/>
      <c r="BB360" s="2"/>
      <c r="BC360" s="2"/>
      <c r="BD360" s="2"/>
      <c r="BE360" s="1" t="s">
        <v>3311</v>
      </c>
      <c r="BF360" s="4">
        <f>HYPERLINK("http://dx.doi.org/10.3934/dcds.2022185","http://dx.doi.org/10.3934/dcds.2022185")</f>
      </c>
      <c r="BG360" s="1"/>
      <c r="BH360" s="1" t="s">
        <v>194</v>
      </c>
      <c r="BI360" s="1"/>
      <c r="BJ360" s="1"/>
      <c r="BK360" s="1"/>
      <c r="BL360" s="1"/>
      <c r="BM360" s="1"/>
      <c r="BN360" s="2"/>
      <c r="BO360" s="1"/>
      <c r="BP360" s="1"/>
      <c r="BQ360" s="1"/>
      <c r="BR360" s="1"/>
      <c r="BS360" s="1" t="s">
        <v>3312</v>
      </c>
      <c r="BT360" s="5">
        <f>HYPERLINK("https%3A%2F%2Fwww.webofscience.com%2Fwos%2Fwoscc%2Ffull-record%2FWOS:000919592500001","View Full Record in Web of Science")</f>
      </c>
    </row>
    <row x14ac:dyDescent="0.25" r="361" customHeight="1" ht="12.75">
      <c r="A361" s="1" t="s">
        <v>72</v>
      </c>
      <c r="B361" s="1" t="s">
        <v>2347</v>
      </c>
      <c r="C361" s="1"/>
      <c r="D361" s="1"/>
      <c r="E361" s="1"/>
      <c r="F361" s="1" t="s">
        <v>2348</v>
      </c>
      <c r="G361" s="1"/>
      <c r="H361" s="1"/>
      <c r="I361" s="1" t="s">
        <v>3313</v>
      </c>
      <c r="J361" s="1" t="s">
        <v>1496</v>
      </c>
      <c r="K361" s="1"/>
      <c r="L361" s="1"/>
      <c r="M361" s="1"/>
      <c r="N361" s="1"/>
      <c r="O361" s="1"/>
      <c r="P361" s="2"/>
      <c r="Q361" s="1"/>
      <c r="R361" s="1"/>
      <c r="S361" s="1"/>
      <c r="T361" s="1"/>
      <c r="U361" s="1"/>
      <c r="V361" s="1" t="s">
        <v>3314</v>
      </c>
      <c r="W361" s="1"/>
      <c r="X361" s="1"/>
      <c r="Y361" s="1"/>
      <c r="Z361" s="1"/>
      <c r="AA361" s="1"/>
      <c r="AB361" s="1" t="s">
        <v>3315</v>
      </c>
      <c r="AC361" s="1"/>
      <c r="AD361" s="1"/>
      <c r="AE361" s="1"/>
      <c r="AF361" s="1"/>
      <c r="AG361" s="1"/>
      <c r="AH361" s="1"/>
      <c r="AI361" s="1"/>
      <c r="AJ361" s="1"/>
      <c r="AK361" s="1"/>
      <c r="AL361" s="1"/>
      <c r="AM361" s="1"/>
      <c r="AN361" s="1"/>
      <c r="AO361" s="1" t="s">
        <v>1500</v>
      </c>
      <c r="AP361" s="1" t="s">
        <v>2351</v>
      </c>
      <c r="AQ361" s="1"/>
      <c r="AR361" s="1"/>
      <c r="AS361" s="1"/>
      <c r="AT361" s="1" t="s">
        <v>3316</v>
      </c>
      <c r="AU361" s="3">
        <v>2022</v>
      </c>
      <c r="AV361" s="3">
        <v>37</v>
      </c>
      <c r="AW361" s="3">
        <v>29</v>
      </c>
      <c r="AX361" s="2"/>
      <c r="AY361" s="2"/>
      <c r="AZ361" s="1"/>
      <c r="BA361" s="2"/>
      <c r="BB361" s="2"/>
      <c r="BC361" s="2"/>
      <c r="BD361" s="3">
        <v>2250196</v>
      </c>
      <c r="BE361" s="1" t="s">
        <v>3317</v>
      </c>
      <c r="BF361" s="4">
        <f>HYPERLINK("http://dx.doi.org/10.1142/S0217732322501966","http://dx.doi.org/10.1142/S0217732322501966")</f>
      </c>
      <c r="BG361" s="1"/>
      <c r="BH361" s="1"/>
      <c r="BI361" s="1"/>
      <c r="BJ361" s="1"/>
      <c r="BK361" s="1"/>
      <c r="BL361" s="1"/>
      <c r="BM361" s="1"/>
      <c r="BN361" s="2"/>
      <c r="BO361" s="1"/>
      <c r="BP361" s="1"/>
      <c r="BQ361" s="1"/>
      <c r="BR361" s="1"/>
      <c r="BS361" s="1" t="s">
        <v>3318</v>
      </c>
      <c r="BT361" s="5">
        <f>HYPERLINK("https%3A%2F%2Fwww.webofscience.com%2Fwos%2Fwoscc%2Ffull-record%2FWOS:000904027100002","View Full Record in Web of Science")</f>
      </c>
    </row>
    <row x14ac:dyDescent="0.25" r="362" customHeight="1" ht="12.75">
      <c r="A362" s="1" t="s">
        <v>72</v>
      </c>
      <c r="B362" s="1" t="s">
        <v>3319</v>
      </c>
      <c r="C362" s="1"/>
      <c r="D362" s="1"/>
      <c r="E362" s="1"/>
      <c r="F362" s="1" t="s">
        <v>3320</v>
      </c>
      <c r="G362" s="1"/>
      <c r="H362" s="1"/>
      <c r="I362" s="1" t="s">
        <v>3321</v>
      </c>
      <c r="J362" s="1" t="s">
        <v>3322</v>
      </c>
      <c r="K362" s="1"/>
      <c r="L362" s="1"/>
      <c r="M362" s="1"/>
      <c r="N362" s="1"/>
      <c r="O362" s="1"/>
      <c r="P362" s="2"/>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t="s">
        <v>3323</v>
      </c>
      <c r="AP362" s="1" t="s">
        <v>3324</v>
      </c>
      <c r="AQ362" s="1"/>
      <c r="AR362" s="1"/>
      <c r="AS362" s="1"/>
      <c r="AT362" s="1" t="s">
        <v>757</v>
      </c>
      <c r="AU362" s="3">
        <v>2022</v>
      </c>
      <c r="AV362" s="3">
        <v>23</v>
      </c>
      <c r="AW362" s="3">
        <v>37</v>
      </c>
      <c r="AX362" s="2"/>
      <c r="AY362" s="2"/>
      <c r="AZ362" s="1"/>
      <c r="BA362" s="2"/>
      <c r="BB362" s="3">
        <v>125</v>
      </c>
      <c r="BC362" s="3">
        <v>148</v>
      </c>
      <c r="BD362" s="2"/>
      <c r="BE362" s="1"/>
      <c r="BF362" s="1"/>
      <c r="BG362" s="1"/>
      <c r="BH362" s="1"/>
      <c r="BI362" s="1"/>
      <c r="BJ362" s="1"/>
      <c r="BK362" s="1"/>
      <c r="BL362" s="1"/>
      <c r="BM362" s="1"/>
      <c r="BN362" s="2"/>
      <c r="BO362" s="1"/>
      <c r="BP362" s="1"/>
      <c r="BQ362" s="1"/>
      <c r="BR362" s="1"/>
      <c r="BS362" s="1" t="s">
        <v>3325</v>
      </c>
      <c r="BT362" s="5">
        <f>HYPERLINK("https%3A%2F%2Fwww.webofscience.com%2Fwos%2Fwoscc%2Ffull-record%2FWOS:000817165400009","View Full Record in Web of Science")</f>
      </c>
    </row>
    <row x14ac:dyDescent="0.25" r="363" customHeight="1" ht="12.75">
      <c r="A363" s="1" t="s">
        <v>72</v>
      </c>
      <c r="B363" s="1" t="s">
        <v>3326</v>
      </c>
      <c r="C363" s="1"/>
      <c r="D363" s="1"/>
      <c r="E363" s="1"/>
      <c r="F363" s="1" t="s">
        <v>3327</v>
      </c>
      <c r="G363" s="1"/>
      <c r="H363" s="1"/>
      <c r="I363" s="1" t="s">
        <v>3328</v>
      </c>
      <c r="J363" s="1" t="s">
        <v>3329</v>
      </c>
      <c r="K363" s="1"/>
      <c r="L363" s="1"/>
      <c r="M363" s="1"/>
      <c r="N363" s="1"/>
      <c r="O363" s="1"/>
      <c r="P363" s="2"/>
      <c r="Q363" s="1"/>
      <c r="R363" s="1"/>
      <c r="S363" s="1"/>
      <c r="T363" s="1"/>
      <c r="U363" s="1"/>
      <c r="V363" s="1" t="s">
        <v>3330</v>
      </c>
      <c r="W363" s="1"/>
      <c r="X363" s="1"/>
      <c r="Y363" s="1"/>
      <c r="Z363" s="1"/>
      <c r="AA363" s="1"/>
      <c r="AB363" s="1" t="s">
        <v>3331</v>
      </c>
      <c r="AC363" s="1"/>
      <c r="AD363" s="1"/>
      <c r="AE363" s="1"/>
      <c r="AF363" s="1"/>
      <c r="AG363" s="1"/>
      <c r="AH363" s="1"/>
      <c r="AI363" s="1"/>
      <c r="AJ363" s="1"/>
      <c r="AK363" s="1"/>
      <c r="AL363" s="1"/>
      <c r="AM363" s="1"/>
      <c r="AN363" s="1"/>
      <c r="AO363" s="1"/>
      <c r="AP363" s="1" t="s">
        <v>3332</v>
      </c>
      <c r="AQ363" s="1"/>
      <c r="AR363" s="1"/>
      <c r="AS363" s="1"/>
      <c r="AT363" s="1" t="s">
        <v>605</v>
      </c>
      <c r="AU363" s="3">
        <v>2022</v>
      </c>
      <c r="AV363" s="3">
        <v>24</v>
      </c>
      <c r="AW363" s="3">
        <v>3</v>
      </c>
      <c r="AX363" s="2"/>
      <c r="AY363" s="2"/>
      <c r="AZ363" s="1"/>
      <c r="BA363" s="2"/>
      <c r="BB363" s="2"/>
      <c r="BC363" s="2"/>
      <c r="BD363" s="3">
        <v>428</v>
      </c>
      <c r="BE363" s="1" t="s">
        <v>3333</v>
      </c>
      <c r="BF363" s="4">
        <f>HYPERLINK("http://dx.doi.org/10.3390/e24030428","http://dx.doi.org/10.3390/e24030428")</f>
      </c>
      <c r="BG363" s="1"/>
      <c r="BH363" s="1"/>
      <c r="BI363" s="1"/>
      <c r="BJ363" s="1"/>
      <c r="BK363" s="1"/>
      <c r="BL363" s="1"/>
      <c r="BM363" s="1"/>
      <c r="BN363" s="3">
        <v>35327938</v>
      </c>
      <c r="BO363" s="1"/>
      <c r="BP363" s="1"/>
      <c r="BQ363" s="1"/>
      <c r="BR363" s="1"/>
      <c r="BS363" s="1" t="s">
        <v>3334</v>
      </c>
      <c r="BT363" s="5">
        <f>HYPERLINK("https%3A%2F%2Fwww.webofscience.com%2Fwos%2Fwoscc%2Ffull-record%2FWOS:000776846300001","View Full Record in Web of Science")</f>
      </c>
    </row>
    <row x14ac:dyDescent="0.25" r="364" customHeight="1" ht="12.75">
      <c r="A364" s="1" t="s">
        <v>72</v>
      </c>
      <c r="B364" s="1" t="s">
        <v>140</v>
      </c>
      <c r="C364" s="1"/>
      <c r="D364" s="1"/>
      <c r="E364" s="1"/>
      <c r="F364" s="1" t="s">
        <v>141</v>
      </c>
      <c r="G364" s="1"/>
      <c r="H364" s="1"/>
      <c r="I364" s="1" t="s">
        <v>3335</v>
      </c>
      <c r="J364" s="1" t="s">
        <v>3336</v>
      </c>
      <c r="K364" s="1"/>
      <c r="L364" s="1"/>
      <c r="M364" s="1"/>
      <c r="N364" s="1"/>
      <c r="O364" s="1"/>
      <c r="P364" s="2"/>
      <c r="Q364" s="1"/>
      <c r="R364" s="1"/>
      <c r="S364" s="1"/>
      <c r="T364" s="1"/>
      <c r="U364" s="1"/>
      <c r="V364" s="1" t="s">
        <v>3337</v>
      </c>
      <c r="W364" s="1"/>
      <c r="X364" s="1"/>
      <c r="Y364" s="1"/>
      <c r="Z364" s="1"/>
      <c r="AA364" s="1" t="s">
        <v>145</v>
      </c>
      <c r="AB364" s="1" t="s">
        <v>146</v>
      </c>
      <c r="AC364" s="1"/>
      <c r="AD364" s="1"/>
      <c r="AE364" s="1"/>
      <c r="AF364" s="1"/>
      <c r="AG364" s="1"/>
      <c r="AH364" s="1"/>
      <c r="AI364" s="1"/>
      <c r="AJ364" s="1"/>
      <c r="AK364" s="1"/>
      <c r="AL364" s="1"/>
      <c r="AM364" s="1"/>
      <c r="AN364" s="1"/>
      <c r="AO364" s="1"/>
      <c r="AP364" s="1" t="s">
        <v>3338</v>
      </c>
      <c r="AQ364" s="1"/>
      <c r="AR364" s="1"/>
      <c r="AS364" s="1"/>
      <c r="AT364" s="1" t="s">
        <v>3339</v>
      </c>
      <c r="AU364" s="3">
        <v>2021</v>
      </c>
      <c r="AV364" s="3">
        <v>12</v>
      </c>
      <c r="AW364" s="2"/>
      <c r="AX364" s="2"/>
      <c r="AY364" s="2"/>
      <c r="AZ364" s="1"/>
      <c r="BA364" s="2"/>
      <c r="BB364" s="2"/>
      <c r="BC364" s="2"/>
      <c r="BD364" s="3">
        <v>761997</v>
      </c>
      <c r="BE364" s="1" t="s">
        <v>3340</v>
      </c>
      <c r="BF364" s="4">
        <f>HYPERLINK("http://dx.doi.org/10.3389/fmicb.2021.761997","http://dx.doi.org/10.3389/fmicb.2021.761997")</f>
      </c>
      <c r="BG364" s="1"/>
      <c r="BH364" s="1"/>
      <c r="BI364" s="1"/>
      <c r="BJ364" s="1"/>
      <c r="BK364" s="1"/>
      <c r="BL364" s="1"/>
      <c r="BM364" s="1"/>
      <c r="BN364" s="3">
        <v>34745072</v>
      </c>
      <c r="BO364" s="1"/>
      <c r="BP364" s="1"/>
      <c r="BQ364" s="1"/>
      <c r="BR364" s="1"/>
      <c r="BS364" s="1" t="s">
        <v>3341</v>
      </c>
      <c r="BT364" s="5">
        <f>HYPERLINK("https%3A%2F%2Fwww.webofscience.com%2Fwos%2Fwoscc%2Ffull-record%2FWOS:000716490200001","View Full Record in Web of Science")</f>
      </c>
    </row>
    <row x14ac:dyDescent="0.25" r="365" customHeight="1" ht="12.75">
      <c r="A365" s="1" t="s">
        <v>72</v>
      </c>
      <c r="B365" s="1" t="s">
        <v>3342</v>
      </c>
      <c r="C365" s="1"/>
      <c r="D365" s="1"/>
      <c r="E365" s="1"/>
      <c r="F365" s="1" t="s">
        <v>3343</v>
      </c>
      <c r="G365" s="1"/>
      <c r="H365" s="1"/>
      <c r="I365" s="1" t="s">
        <v>3344</v>
      </c>
      <c r="J365" s="1" t="s">
        <v>3345</v>
      </c>
      <c r="K365" s="1"/>
      <c r="L365" s="1"/>
      <c r="M365" s="1"/>
      <c r="N365" s="1"/>
      <c r="O365" s="1"/>
      <c r="P365" s="2"/>
      <c r="Q365" s="1"/>
      <c r="R365" s="1"/>
      <c r="S365" s="1"/>
      <c r="T365" s="1"/>
      <c r="U365" s="1"/>
      <c r="V365" s="1" t="s">
        <v>3346</v>
      </c>
      <c r="W365" s="1"/>
      <c r="X365" s="1"/>
      <c r="Y365" s="1"/>
      <c r="Z365" s="1"/>
      <c r="AA365" s="1" t="s">
        <v>2788</v>
      </c>
      <c r="AB365" s="1" t="s">
        <v>3347</v>
      </c>
      <c r="AC365" s="1"/>
      <c r="AD365" s="1"/>
      <c r="AE365" s="1"/>
      <c r="AF365" s="1"/>
      <c r="AG365" s="1"/>
      <c r="AH365" s="1"/>
      <c r="AI365" s="1"/>
      <c r="AJ365" s="1"/>
      <c r="AK365" s="1"/>
      <c r="AL365" s="1"/>
      <c r="AM365" s="1"/>
      <c r="AN365" s="1"/>
      <c r="AO365" s="1" t="s">
        <v>3348</v>
      </c>
      <c r="AP365" s="1"/>
      <c r="AQ365" s="1"/>
      <c r="AR365" s="1"/>
      <c r="AS365" s="1"/>
      <c r="AT365" s="1" t="s">
        <v>204</v>
      </c>
      <c r="AU365" s="3">
        <v>2021</v>
      </c>
      <c r="AV365" s="3">
        <v>9</v>
      </c>
      <c r="AW365" s="2"/>
      <c r="AX365" s="2"/>
      <c r="AY365" s="2"/>
      <c r="AZ365" s="1"/>
      <c r="BA365" s="2"/>
      <c r="BB365" s="2"/>
      <c r="BC365" s="2"/>
      <c r="BD365" s="3">
        <v>100114</v>
      </c>
      <c r="BE365" s="1" t="s">
        <v>3349</v>
      </c>
      <c r="BF365" s="4">
        <f>HYPERLINK("http://dx.doi.org/10.1016/j.jvacx.2021.100114","http://dx.doi.org/10.1016/j.jvacx.2021.100114")</f>
      </c>
      <c r="BG365" s="1"/>
      <c r="BH365" s="1" t="s">
        <v>2733</v>
      </c>
      <c r="BI365" s="1"/>
      <c r="BJ365" s="1"/>
      <c r="BK365" s="1"/>
      <c r="BL365" s="1"/>
      <c r="BM365" s="1"/>
      <c r="BN365" s="3">
        <v>34518818</v>
      </c>
      <c r="BO365" s="1"/>
      <c r="BP365" s="1"/>
      <c r="BQ365" s="1"/>
      <c r="BR365" s="1"/>
      <c r="BS365" s="1" t="s">
        <v>3350</v>
      </c>
      <c r="BT365" s="5">
        <f>HYPERLINK("https%3A%2F%2Fwww.webofscience.com%2Fwos%2Fwoscc%2Ffull-record%2FWOS:000697046800002","View Full Record in Web of Science")</f>
      </c>
    </row>
    <row x14ac:dyDescent="0.25" r="366" customHeight="1" ht="12.75">
      <c r="A366" s="1" t="s">
        <v>72</v>
      </c>
      <c r="B366" s="1" t="s">
        <v>2657</v>
      </c>
      <c r="C366" s="1"/>
      <c r="D366" s="1"/>
      <c r="E366" s="1"/>
      <c r="F366" s="1" t="s">
        <v>2658</v>
      </c>
      <c r="G366" s="1"/>
      <c r="H366" s="1"/>
      <c r="I366" s="1" t="s">
        <v>3351</v>
      </c>
      <c r="J366" s="1" t="s">
        <v>3352</v>
      </c>
      <c r="K366" s="1"/>
      <c r="L366" s="1"/>
      <c r="M366" s="1"/>
      <c r="N366" s="1"/>
      <c r="O366" s="1"/>
      <c r="P366" s="2"/>
      <c r="Q366" s="1"/>
      <c r="R366" s="1"/>
      <c r="S366" s="1"/>
      <c r="T366" s="1"/>
      <c r="U366" s="1"/>
      <c r="V366" s="1" t="s">
        <v>3353</v>
      </c>
      <c r="W366" s="1"/>
      <c r="X366" s="1"/>
      <c r="Y366" s="1"/>
      <c r="Z366" s="1"/>
      <c r="AA366" s="1"/>
      <c r="AB366" s="1"/>
      <c r="AC366" s="1"/>
      <c r="AD366" s="1"/>
      <c r="AE366" s="1"/>
      <c r="AF366" s="1"/>
      <c r="AG366" s="1"/>
      <c r="AH366" s="1"/>
      <c r="AI366" s="1"/>
      <c r="AJ366" s="1"/>
      <c r="AK366" s="1"/>
      <c r="AL366" s="1"/>
      <c r="AM366" s="1"/>
      <c r="AN366" s="1"/>
      <c r="AO366" s="1" t="s">
        <v>3354</v>
      </c>
      <c r="AP366" s="1" t="s">
        <v>3355</v>
      </c>
      <c r="AQ366" s="1"/>
      <c r="AR366" s="1"/>
      <c r="AS366" s="1"/>
      <c r="AT366" s="1" t="s">
        <v>2219</v>
      </c>
      <c r="AU366" s="3">
        <v>2021</v>
      </c>
      <c r="AV366" s="2"/>
      <c r="AW366" s="3">
        <v>39</v>
      </c>
      <c r="AX366" s="2"/>
      <c r="AY366" s="2"/>
      <c r="AZ366" s="1"/>
      <c r="BA366" s="2"/>
      <c r="BB366" s="3">
        <v>92</v>
      </c>
      <c r="BC366" s="3">
        <v>108</v>
      </c>
      <c r="BD366" s="3">
        <v>846079</v>
      </c>
      <c r="BE366" s="1" t="s">
        <v>3356</v>
      </c>
      <c r="BF366" s="4">
        <f>HYPERLINK("http://dx.doi.org/10.2979/nashim.39.1.09","http://dx.doi.org/10.2979/nashim.39.1.09")</f>
      </c>
      <c r="BG366" s="1"/>
      <c r="BH366" s="1"/>
      <c r="BI366" s="1"/>
      <c r="BJ366" s="1"/>
      <c r="BK366" s="1"/>
      <c r="BL366" s="1"/>
      <c r="BM366" s="1"/>
      <c r="BN366" s="2"/>
      <c r="BO366" s="1"/>
      <c r="BP366" s="1"/>
      <c r="BQ366" s="1"/>
      <c r="BR366" s="1"/>
      <c r="BS366" s="1" t="s">
        <v>3357</v>
      </c>
      <c r="BT366" s="5">
        <f>HYPERLINK("https%3A%2F%2Fwww.webofscience.com%2Fwos%2Fwoscc%2Ffull-record%2FWOS:000761549800010","View Full Record in Web of Science")</f>
      </c>
    </row>
    <row x14ac:dyDescent="0.25" r="367" customHeight="1" ht="12.75">
      <c r="A367" s="1" t="s">
        <v>72</v>
      </c>
      <c r="B367" s="1" t="s">
        <v>3358</v>
      </c>
      <c r="C367" s="1"/>
      <c r="D367" s="1"/>
      <c r="E367" s="1"/>
      <c r="F367" s="1" t="s">
        <v>3359</v>
      </c>
      <c r="G367" s="1"/>
      <c r="H367" s="1"/>
      <c r="I367" s="1" t="s">
        <v>3360</v>
      </c>
      <c r="J367" s="1" t="s">
        <v>239</v>
      </c>
      <c r="K367" s="1"/>
      <c r="L367" s="1"/>
      <c r="M367" s="1"/>
      <c r="N367" s="1"/>
      <c r="O367" s="1"/>
      <c r="P367" s="2"/>
      <c r="Q367" s="1"/>
      <c r="R367" s="1"/>
      <c r="S367" s="1"/>
      <c r="T367" s="1"/>
      <c r="U367" s="1"/>
      <c r="V367" s="1"/>
      <c r="W367" s="1"/>
      <c r="X367" s="1"/>
      <c r="Y367" s="1"/>
      <c r="Z367" s="1"/>
      <c r="AA367" s="1" t="s">
        <v>3361</v>
      </c>
      <c r="AB367" s="1" t="s">
        <v>3362</v>
      </c>
      <c r="AC367" s="1"/>
      <c r="AD367" s="1"/>
      <c r="AE367" s="1"/>
      <c r="AF367" s="1"/>
      <c r="AG367" s="1"/>
      <c r="AH367" s="1"/>
      <c r="AI367" s="1"/>
      <c r="AJ367" s="1"/>
      <c r="AK367" s="1"/>
      <c r="AL367" s="1"/>
      <c r="AM367" s="1"/>
      <c r="AN367" s="1"/>
      <c r="AO367" s="1" t="s">
        <v>243</v>
      </c>
      <c r="AP367" s="1"/>
      <c r="AQ367" s="1"/>
      <c r="AR367" s="1"/>
      <c r="AS367" s="1"/>
      <c r="AT367" s="1" t="s">
        <v>757</v>
      </c>
      <c r="AU367" s="3">
        <v>2021</v>
      </c>
      <c r="AV367" s="3">
        <v>21</v>
      </c>
      <c r="AW367" s="3">
        <v>5</v>
      </c>
      <c r="AX367" s="2"/>
      <c r="AY367" s="2"/>
      <c r="AZ367" s="1"/>
      <c r="BA367" s="2"/>
      <c r="BB367" s="2"/>
      <c r="BC367" s="2"/>
      <c r="BD367" s="2" t="s">
        <v>3363</v>
      </c>
      <c r="BE367" s="1" t="s">
        <v>3364</v>
      </c>
      <c r="BF367" s="4">
        <f>HYPERLINK("http://dx.doi.org/10.5867/medwave.2021.05.8247","http://dx.doi.org/10.5867/medwave.2021.05.8247")</f>
      </c>
      <c r="BG367" s="1"/>
      <c r="BH367" s="1"/>
      <c r="BI367" s="1"/>
      <c r="BJ367" s="1"/>
      <c r="BK367" s="1"/>
      <c r="BL367" s="1"/>
      <c r="BM367" s="1"/>
      <c r="BN367" s="3">
        <v>34214070</v>
      </c>
      <c r="BO367" s="1"/>
      <c r="BP367" s="1"/>
      <c r="BQ367" s="1"/>
      <c r="BR367" s="1"/>
      <c r="BS367" s="1" t="s">
        <v>3365</v>
      </c>
      <c r="BT367" s="5">
        <f>HYPERLINK("https%3A%2F%2Fwww.webofscience.com%2Fwos%2Fwoscc%2Ffull-record%2FWOS:000681764400001","View Full Record in Web of Science")</f>
      </c>
    </row>
    <row x14ac:dyDescent="0.25" r="368" customHeight="1" ht="12.75">
      <c r="A368" s="1" t="s">
        <v>267</v>
      </c>
      <c r="B368" s="1" t="s">
        <v>3366</v>
      </c>
      <c r="C368" s="1"/>
      <c r="D368" s="1" t="s">
        <v>3367</v>
      </c>
      <c r="E368" s="1"/>
      <c r="F368" s="1" t="s">
        <v>3368</v>
      </c>
      <c r="G368" s="1"/>
      <c r="H368" s="1"/>
      <c r="I368" s="1" t="s">
        <v>3369</v>
      </c>
      <c r="J368" s="1" t="s">
        <v>3370</v>
      </c>
      <c r="K368" s="1"/>
      <c r="L368" s="1"/>
      <c r="M368" s="1"/>
      <c r="N368" s="1"/>
      <c r="O368" s="1"/>
      <c r="P368" s="2"/>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t="s">
        <v>3371</v>
      </c>
      <c r="AR368" s="1"/>
      <c r="AS368" s="1"/>
      <c r="AT368" s="1"/>
      <c r="AU368" s="3">
        <v>2021</v>
      </c>
      <c r="AV368" s="2"/>
      <c r="AW368" s="2"/>
      <c r="AX368" s="2"/>
      <c r="AY368" s="2"/>
      <c r="AZ368" s="1"/>
      <c r="BA368" s="2"/>
      <c r="BB368" s="3">
        <v>161</v>
      </c>
      <c r="BC368" s="3">
        <v>185</v>
      </c>
      <c r="BD368" s="2"/>
      <c r="BE368" s="1"/>
      <c r="BF368" s="1"/>
      <c r="BG368" s="1"/>
      <c r="BH368" s="1"/>
      <c r="BI368" s="1"/>
      <c r="BJ368" s="1"/>
      <c r="BK368" s="1"/>
      <c r="BL368" s="1"/>
      <c r="BM368" s="1"/>
      <c r="BN368" s="2"/>
      <c r="BO368" s="1"/>
      <c r="BP368" s="1"/>
      <c r="BQ368" s="1"/>
      <c r="BR368" s="1"/>
      <c r="BS368" s="1" t="s">
        <v>3372</v>
      </c>
      <c r="BT368" s="5">
        <f>HYPERLINK("https%3A%2F%2Fwww.webofscience.com%2Fwos%2Fwoscc%2Ffull-record%2FWOS:000651158400009","View Full Record in Web of Science")</f>
      </c>
    </row>
    <row x14ac:dyDescent="0.25" r="369" customHeight="1" ht="12.75">
      <c r="A369" s="1" t="s">
        <v>267</v>
      </c>
      <c r="B369" s="1" t="s">
        <v>3373</v>
      </c>
      <c r="C369" s="1"/>
      <c r="D369" s="1" t="s">
        <v>3367</v>
      </c>
      <c r="E369" s="1"/>
      <c r="F369" s="1" t="s">
        <v>3374</v>
      </c>
      <c r="G369" s="1"/>
      <c r="H369" s="1"/>
      <c r="I369" s="1" t="s">
        <v>3375</v>
      </c>
      <c r="J369" s="1" t="s">
        <v>3370</v>
      </c>
      <c r="K369" s="1"/>
      <c r="L369" s="1"/>
      <c r="M369" s="1"/>
      <c r="N369" s="1"/>
      <c r="O369" s="1"/>
      <c r="P369" s="2"/>
      <c r="Q369" s="1"/>
      <c r="R369" s="1"/>
      <c r="S369" s="1"/>
      <c r="T369" s="1"/>
      <c r="U369" s="1"/>
      <c r="V369" s="1"/>
      <c r="W369" s="1"/>
      <c r="X369" s="1"/>
      <c r="Y369" s="1"/>
      <c r="Z369" s="1"/>
      <c r="AA369" s="1" t="s">
        <v>1051</v>
      </c>
      <c r="AB369" s="1" t="s">
        <v>3376</v>
      </c>
      <c r="AC369" s="1"/>
      <c r="AD369" s="1"/>
      <c r="AE369" s="1"/>
      <c r="AF369" s="1"/>
      <c r="AG369" s="1"/>
      <c r="AH369" s="1"/>
      <c r="AI369" s="1"/>
      <c r="AJ369" s="1"/>
      <c r="AK369" s="1"/>
      <c r="AL369" s="1"/>
      <c r="AM369" s="1"/>
      <c r="AN369" s="1"/>
      <c r="AO369" s="1"/>
      <c r="AP369" s="1"/>
      <c r="AQ369" s="1" t="s">
        <v>3371</v>
      </c>
      <c r="AR369" s="1"/>
      <c r="AS369" s="1"/>
      <c r="AT369" s="1"/>
      <c r="AU369" s="3">
        <v>2021</v>
      </c>
      <c r="AV369" s="2"/>
      <c r="AW369" s="2"/>
      <c r="AX369" s="2"/>
      <c r="AY369" s="2"/>
      <c r="AZ369" s="1"/>
      <c r="BA369" s="2"/>
      <c r="BB369" s="3">
        <v>235</v>
      </c>
      <c r="BC369" s="3">
        <v>253</v>
      </c>
      <c r="BD369" s="2"/>
      <c r="BE369" s="1"/>
      <c r="BF369" s="1"/>
      <c r="BG369" s="1"/>
      <c r="BH369" s="1"/>
      <c r="BI369" s="1"/>
      <c r="BJ369" s="1"/>
      <c r="BK369" s="1"/>
      <c r="BL369" s="1"/>
      <c r="BM369" s="1"/>
      <c r="BN369" s="2"/>
      <c r="BO369" s="1"/>
      <c r="BP369" s="1"/>
      <c r="BQ369" s="1"/>
      <c r="BR369" s="1"/>
      <c r="BS369" s="1" t="s">
        <v>3377</v>
      </c>
      <c r="BT369" s="5">
        <f>HYPERLINK("https%3A%2F%2Fwww.webofscience.com%2Fwos%2Fwoscc%2Ffull-record%2FWOS:000651158400012","View Full Record in Web of Science")</f>
      </c>
    </row>
    <row x14ac:dyDescent="0.25" r="370" customHeight="1" ht="12.75">
      <c r="A370" s="1" t="s">
        <v>72</v>
      </c>
      <c r="B370" s="1" t="s">
        <v>3378</v>
      </c>
      <c r="C370" s="1"/>
      <c r="D370" s="1"/>
      <c r="E370" s="1"/>
      <c r="F370" s="1" t="s">
        <v>3379</v>
      </c>
      <c r="G370" s="1"/>
      <c r="H370" s="1"/>
      <c r="I370" s="1" t="s">
        <v>3380</v>
      </c>
      <c r="J370" s="1" t="s">
        <v>3381</v>
      </c>
      <c r="K370" s="1"/>
      <c r="L370" s="1"/>
      <c r="M370" s="1"/>
      <c r="N370" s="1"/>
      <c r="O370" s="1"/>
      <c r="P370" s="2"/>
      <c r="Q370" s="1"/>
      <c r="R370" s="1"/>
      <c r="S370" s="1"/>
      <c r="T370" s="1"/>
      <c r="U370" s="1"/>
      <c r="V370" s="1" t="s">
        <v>3382</v>
      </c>
      <c r="W370" s="1"/>
      <c r="X370" s="1"/>
      <c r="Y370" s="1"/>
      <c r="Z370" s="1"/>
      <c r="AA370" s="1" t="s">
        <v>3383</v>
      </c>
      <c r="AB370" s="1"/>
      <c r="AC370" s="1"/>
      <c r="AD370" s="1"/>
      <c r="AE370" s="1"/>
      <c r="AF370" s="1"/>
      <c r="AG370" s="1"/>
      <c r="AH370" s="1"/>
      <c r="AI370" s="1"/>
      <c r="AJ370" s="1"/>
      <c r="AK370" s="1"/>
      <c r="AL370" s="1"/>
      <c r="AM370" s="1"/>
      <c r="AN370" s="1"/>
      <c r="AO370" s="1" t="s">
        <v>3384</v>
      </c>
      <c r="AP370" s="1" t="s">
        <v>3385</v>
      </c>
      <c r="AQ370" s="1"/>
      <c r="AR370" s="1"/>
      <c r="AS370" s="1"/>
      <c r="AT370" s="1" t="s">
        <v>181</v>
      </c>
      <c r="AU370" s="3">
        <v>2021</v>
      </c>
      <c r="AV370" s="3">
        <v>75</v>
      </c>
      <c r="AW370" s="3">
        <v>235</v>
      </c>
      <c r="AX370" s="2"/>
      <c r="AY370" s="2"/>
      <c r="AZ370" s="1"/>
      <c r="BA370" s="2"/>
      <c r="BB370" s="3">
        <v>152</v>
      </c>
      <c r="BC370" s="3">
        <v>176</v>
      </c>
      <c r="BD370" s="2"/>
      <c r="BE370" s="1"/>
      <c r="BF370" s="1"/>
      <c r="BG370" s="1"/>
      <c r="BH370" s="1"/>
      <c r="BI370" s="1"/>
      <c r="BJ370" s="1"/>
      <c r="BK370" s="1"/>
      <c r="BL370" s="1"/>
      <c r="BM370" s="1"/>
      <c r="BN370" s="2"/>
      <c r="BO370" s="1"/>
      <c r="BP370" s="1"/>
      <c r="BQ370" s="1"/>
      <c r="BR370" s="1"/>
      <c r="BS370" s="1" t="s">
        <v>3386</v>
      </c>
      <c r="BT370" s="5">
        <f>HYPERLINK("https%3A%2F%2Fwww.webofscience.com%2Fwos%2Fwoscc%2Ffull-record%2FWOS:000729401500002","View Full Record in Web of Science")</f>
      </c>
    </row>
    <row x14ac:dyDescent="0.25" r="371" customHeight="1" ht="12.75">
      <c r="A371" s="1" t="s">
        <v>303</v>
      </c>
      <c r="B371" s="1" t="s">
        <v>3387</v>
      </c>
      <c r="C371" s="1"/>
      <c r="D371" s="1"/>
      <c r="E371" s="1" t="s">
        <v>305</v>
      </c>
      <c r="F371" s="1" t="s">
        <v>3388</v>
      </c>
      <c r="G371" s="1"/>
      <c r="H371" s="1"/>
      <c r="I371" s="1" t="s">
        <v>3389</v>
      </c>
      <c r="J371" s="1" t="s">
        <v>2747</v>
      </c>
      <c r="K371" s="1"/>
      <c r="L371" s="1"/>
      <c r="M371" s="1"/>
      <c r="N371" s="1"/>
      <c r="O371" s="1" t="s">
        <v>2748</v>
      </c>
      <c r="P371" s="2" t="s">
        <v>2749</v>
      </c>
      <c r="Q371" s="1" t="s">
        <v>1218</v>
      </c>
      <c r="R371" s="1" t="s">
        <v>2750</v>
      </c>
      <c r="S371" s="1"/>
      <c r="T371" s="1"/>
      <c r="U371" s="1"/>
      <c r="V371" s="1" t="s">
        <v>3390</v>
      </c>
      <c r="W371" s="1"/>
      <c r="X371" s="1"/>
      <c r="Y371" s="1"/>
      <c r="Z371" s="1"/>
      <c r="AA371" s="1" t="s">
        <v>3391</v>
      </c>
      <c r="AB371" s="1" t="s">
        <v>3392</v>
      </c>
      <c r="AC371" s="1"/>
      <c r="AD371" s="1"/>
      <c r="AE371" s="1"/>
      <c r="AF371" s="1"/>
      <c r="AG371" s="1"/>
      <c r="AH371" s="1"/>
      <c r="AI371" s="1"/>
      <c r="AJ371" s="1"/>
      <c r="AK371" s="1"/>
      <c r="AL371" s="1"/>
      <c r="AM371" s="1"/>
      <c r="AN371" s="1"/>
      <c r="AO371" s="1"/>
      <c r="AP371" s="1"/>
      <c r="AQ371" s="1" t="s">
        <v>2753</v>
      </c>
      <c r="AR371" s="1"/>
      <c r="AS371" s="1"/>
      <c r="AT371" s="1"/>
      <c r="AU371" s="3">
        <v>2021</v>
      </c>
      <c r="AV371" s="2"/>
      <c r="AW371" s="2"/>
      <c r="AX371" s="2"/>
      <c r="AY371" s="2"/>
      <c r="AZ371" s="1"/>
      <c r="BA371" s="2"/>
      <c r="BB371" s="2"/>
      <c r="BC371" s="2"/>
      <c r="BD371" s="2"/>
      <c r="BE371" s="1" t="s">
        <v>3393</v>
      </c>
      <c r="BF371" s="4">
        <f>HYPERLINK("http://dx.doi.org/10.1109/ICAACCA51523.2021.9465285","http://dx.doi.org/10.1109/ICAACCA51523.2021.9465285")</f>
      </c>
      <c r="BG371" s="1"/>
      <c r="BH371" s="1"/>
      <c r="BI371" s="1"/>
      <c r="BJ371" s="1"/>
      <c r="BK371" s="1"/>
      <c r="BL371" s="1"/>
      <c r="BM371" s="1"/>
      <c r="BN371" s="2"/>
      <c r="BO371" s="1"/>
      <c r="BP371" s="1"/>
      <c r="BQ371" s="1"/>
      <c r="BR371" s="1"/>
      <c r="BS371" s="1" t="s">
        <v>3394</v>
      </c>
      <c r="BT371" s="5">
        <f>HYPERLINK("https%3A%2F%2Fwww.webofscience.com%2Fwos%2Fwoscc%2Ffull-record%2FWOS:000855764500112","View Full Record in Web of Science")</f>
      </c>
    </row>
    <row x14ac:dyDescent="0.25" r="372" customHeight="1" ht="12.75">
      <c r="A372" s="1" t="s">
        <v>303</v>
      </c>
      <c r="B372" s="1" t="s">
        <v>3395</v>
      </c>
      <c r="C372" s="1"/>
      <c r="D372" s="1"/>
      <c r="E372" s="1" t="s">
        <v>305</v>
      </c>
      <c r="F372" s="1" t="s">
        <v>3396</v>
      </c>
      <c r="G372" s="1"/>
      <c r="H372" s="1"/>
      <c r="I372" s="1" t="s">
        <v>3397</v>
      </c>
      <c r="J372" s="1" t="s">
        <v>2747</v>
      </c>
      <c r="K372" s="1"/>
      <c r="L372" s="1"/>
      <c r="M372" s="1"/>
      <c r="N372" s="1"/>
      <c r="O372" s="1" t="s">
        <v>2748</v>
      </c>
      <c r="P372" s="2" t="s">
        <v>2749</v>
      </c>
      <c r="Q372" s="1" t="s">
        <v>1218</v>
      </c>
      <c r="R372" s="1" t="s">
        <v>2750</v>
      </c>
      <c r="S372" s="1"/>
      <c r="T372" s="1"/>
      <c r="U372" s="1"/>
      <c r="V372" s="1" t="s">
        <v>3398</v>
      </c>
      <c r="W372" s="1"/>
      <c r="X372" s="1"/>
      <c r="Y372" s="1"/>
      <c r="Z372" s="1"/>
      <c r="AA372" s="1"/>
      <c r="AB372" s="1" t="s">
        <v>2752</v>
      </c>
      <c r="AC372" s="1"/>
      <c r="AD372" s="1"/>
      <c r="AE372" s="1"/>
      <c r="AF372" s="1"/>
      <c r="AG372" s="1"/>
      <c r="AH372" s="1"/>
      <c r="AI372" s="1"/>
      <c r="AJ372" s="1"/>
      <c r="AK372" s="1"/>
      <c r="AL372" s="1"/>
      <c r="AM372" s="1"/>
      <c r="AN372" s="1"/>
      <c r="AO372" s="1"/>
      <c r="AP372" s="1"/>
      <c r="AQ372" s="1" t="s">
        <v>2753</v>
      </c>
      <c r="AR372" s="1"/>
      <c r="AS372" s="1"/>
      <c r="AT372" s="1"/>
      <c r="AU372" s="3">
        <v>2021</v>
      </c>
      <c r="AV372" s="2"/>
      <c r="AW372" s="2"/>
      <c r="AX372" s="2"/>
      <c r="AY372" s="2"/>
      <c r="AZ372" s="1"/>
      <c r="BA372" s="2"/>
      <c r="BB372" s="2"/>
      <c r="BC372" s="2"/>
      <c r="BD372" s="2"/>
      <c r="BE372" s="1" t="s">
        <v>3399</v>
      </c>
      <c r="BF372" s="4">
        <f>HYPERLINK("http://dx.doi.org/10.1109/ICAACCA51523.2021.9465340","http://dx.doi.org/10.1109/ICAACCA51523.2021.9465340")</f>
      </c>
      <c r="BG372" s="1"/>
      <c r="BH372" s="1"/>
      <c r="BI372" s="1"/>
      <c r="BJ372" s="1"/>
      <c r="BK372" s="1"/>
      <c r="BL372" s="1"/>
      <c r="BM372" s="1"/>
      <c r="BN372" s="2"/>
      <c r="BO372" s="1"/>
      <c r="BP372" s="1"/>
      <c r="BQ372" s="1"/>
      <c r="BR372" s="1"/>
      <c r="BS372" s="1" t="s">
        <v>3400</v>
      </c>
      <c r="BT372" s="5">
        <f>HYPERLINK("https%3A%2F%2Fwww.webofscience.com%2Fwos%2Fwoscc%2Ffull-record%2FWOS:000855764500031","View Full Record in Web of Science")</f>
      </c>
    </row>
    <row x14ac:dyDescent="0.25" r="373" customHeight="1" ht="12.75">
      <c r="A373" s="1" t="s">
        <v>303</v>
      </c>
      <c r="B373" s="1" t="s">
        <v>3401</v>
      </c>
      <c r="C373" s="1"/>
      <c r="D373" s="1"/>
      <c r="E373" s="1" t="s">
        <v>305</v>
      </c>
      <c r="F373" s="1" t="s">
        <v>3402</v>
      </c>
      <c r="G373" s="1"/>
      <c r="H373" s="1"/>
      <c r="I373" s="1" t="s">
        <v>3403</v>
      </c>
      <c r="J373" s="1" t="s">
        <v>2019</v>
      </c>
      <c r="K373" s="1" t="s">
        <v>2020</v>
      </c>
      <c r="L373" s="1"/>
      <c r="M373" s="1"/>
      <c r="N373" s="1"/>
      <c r="O373" s="1" t="s">
        <v>2021</v>
      </c>
      <c r="P373" s="2" t="s">
        <v>2022</v>
      </c>
      <c r="Q373" s="1" t="s">
        <v>2023</v>
      </c>
      <c r="R373" s="1" t="s">
        <v>2024</v>
      </c>
      <c r="S373" s="1" t="s">
        <v>2025</v>
      </c>
      <c r="T373" s="1"/>
      <c r="U373" s="1"/>
      <c r="V373" s="1"/>
      <c r="W373" s="1"/>
      <c r="X373" s="1"/>
      <c r="Y373" s="1"/>
      <c r="Z373" s="1"/>
      <c r="AA373" s="1" t="s">
        <v>3404</v>
      </c>
      <c r="AB373" s="1" t="s">
        <v>3405</v>
      </c>
      <c r="AC373" s="1"/>
      <c r="AD373" s="1"/>
      <c r="AE373" s="1"/>
      <c r="AF373" s="1"/>
      <c r="AG373" s="1"/>
      <c r="AH373" s="1"/>
      <c r="AI373" s="1"/>
      <c r="AJ373" s="1"/>
      <c r="AK373" s="1"/>
      <c r="AL373" s="1"/>
      <c r="AM373" s="1"/>
      <c r="AN373" s="1"/>
      <c r="AO373" s="1" t="s">
        <v>2028</v>
      </c>
      <c r="AP373" s="1"/>
      <c r="AQ373" s="1" t="s">
        <v>2029</v>
      </c>
      <c r="AR373" s="1"/>
      <c r="AS373" s="1"/>
      <c r="AT373" s="1"/>
      <c r="AU373" s="3">
        <v>2020</v>
      </c>
      <c r="AV373" s="2"/>
      <c r="AW373" s="2"/>
      <c r="AX373" s="2"/>
      <c r="AY373" s="2"/>
      <c r="AZ373" s="1"/>
      <c r="BA373" s="2"/>
      <c r="BB373" s="2"/>
      <c r="BC373" s="2"/>
      <c r="BD373" s="2"/>
      <c r="BE373" s="1" t="s">
        <v>3406</v>
      </c>
      <c r="BF373" s="4">
        <f>HYPERLINK("http://dx.doi.org/10.1109/sccc51225.2020.9281280","http://dx.doi.org/10.1109/sccc51225.2020.9281280")</f>
      </c>
      <c r="BG373" s="1"/>
      <c r="BH373" s="1"/>
      <c r="BI373" s="1"/>
      <c r="BJ373" s="1"/>
      <c r="BK373" s="1"/>
      <c r="BL373" s="1"/>
      <c r="BM373" s="1"/>
      <c r="BN373" s="2"/>
      <c r="BO373" s="1"/>
      <c r="BP373" s="1"/>
      <c r="BQ373" s="1"/>
      <c r="BR373" s="1"/>
      <c r="BS373" s="1" t="s">
        <v>3407</v>
      </c>
      <c r="BT373" s="5">
        <f>HYPERLINK("https%3A%2F%2Fwww.webofscience.com%2Fwos%2Fwoscc%2Ffull-record%2FWOS:000848755600080","View Full Record in Web of Science")</f>
      </c>
    </row>
    <row x14ac:dyDescent="0.25" r="374" customHeight="1" ht="12.75">
      <c r="A374" s="1" t="s">
        <v>72</v>
      </c>
      <c r="B374" s="1" t="s">
        <v>3408</v>
      </c>
      <c r="C374" s="1"/>
      <c r="D374" s="1"/>
      <c r="E374" s="1"/>
      <c r="F374" s="1" t="s">
        <v>3409</v>
      </c>
      <c r="G374" s="1"/>
      <c r="H374" s="1"/>
      <c r="I374" s="1" t="s">
        <v>3410</v>
      </c>
      <c r="J374" s="1" t="s">
        <v>1597</v>
      </c>
      <c r="K374" s="1"/>
      <c r="L374" s="1"/>
      <c r="M374" s="1"/>
      <c r="N374" s="1"/>
      <c r="O374" s="1"/>
      <c r="P374" s="2"/>
      <c r="Q374" s="1"/>
      <c r="R374" s="1"/>
      <c r="S374" s="1"/>
      <c r="T374" s="1"/>
      <c r="U374" s="1"/>
      <c r="V374" s="1" t="s">
        <v>3411</v>
      </c>
      <c r="W374" s="1"/>
      <c r="X374" s="1"/>
      <c r="Y374" s="1"/>
      <c r="Z374" s="1"/>
      <c r="AA374" s="1" t="s">
        <v>3412</v>
      </c>
      <c r="AB374" s="1" t="s">
        <v>3413</v>
      </c>
      <c r="AC374" s="1"/>
      <c r="AD374" s="1"/>
      <c r="AE374" s="1"/>
      <c r="AF374" s="1"/>
      <c r="AG374" s="1"/>
      <c r="AH374" s="1"/>
      <c r="AI374" s="1"/>
      <c r="AJ374" s="1"/>
      <c r="AK374" s="1"/>
      <c r="AL374" s="1"/>
      <c r="AM374" s="1"/>
      <c r="AN374" s="1"/>
      <c r="AO374" s="1" t="s">
        <v>1604</v>
      </c>
      <c r="AP374" s="1" t="s">
        <v>3414</v>
      </c>
      <c r="AQ374" s="1"/>
      <c r="AR374" s="1"/>
      <c r="AS374" s="1"/>
      <c r="AT374" s="1" t="s">
        <v>103</v>
      </c>
      <c r="AU374" s="3">
        <v>2020</v>
      </c>
      <c r="AV374" s="3">
        <v>219</v>
      </c>
      <c r="AW374" s="2"/>
      <c r="AX374" s="2"/>
      <c r="AY374" s="2"/>
      <c r="AZ374" s="1"/>
      <c r="BA374" s="2"/>
      <c r="BB374" s="3">
        <v>43</v>
      </c>
      <c r="BC374" s="3">
        <v>53</v>
      </c>
      <c r="BD374" s="2"/>
      <c r="BE374" s="1" t="s">
        <v>3415</v>
      </c>
      <c r="BF374" s="4">
        <f>HYPERLINK("http://dx.doi.org/10.1016/j.ijpe.2019.05.020","http://dx.doi.org/10.1016/j.ijpe.2019.05.020")</f>
      </c>
      <c r="BG374" s="1"/>
      <c r="BH374" s="1"/>
      <c r="BI374" s="1"/>
      <c r="BJ374" s="1"/>
      <c r="BK374" s="1"/>
      <c r="BL374" s="1"/>
      <c r="BM374" s="1"/>
      <c r="BN374" s="2"/>
      <c r="BO374" s="1"/>
      <c r="BP374" s="1"/>
      <c r="BQ374" s="1"/>
      <c r="BR374" s="1"/>
      <c r="BS374" s="1" t="s">
        <v>3416</v>
      </c>
      <c r="BT374" s="5">
        <f>HYPERLINK("https%3A%2F%2Fwww.webofscience.com%2Fwos%2Fwoscc%2Ffull-record%2FWOS:000504505100004","View Full Record in Web of Science")</f>
      </c>
    </row>
    <row x14ac:dyDescent="0.25" r="375" customHeight="1" ht="12.75">
      <c r="A375" s="1" t="s">
        <v>72</v>
      </c>
      <c r="B375" s="1" t="s">
        <v>3417</v>
      </c>
      <c r="C375" s="1"/>
      <c r="D375" s="1"/>
      <c r="E375" s="1"/>
      <c r="F375" s="1" t="s">
        <v>3418</v>
      </c>
      <c r="G375" s="1"/>
      <c r="H375" s="1"/>
      <c r="I375" s="1" t="s">
        <v>3419</v>
      </c>
      <c r="J375" s="1" t="s">
        <v>3420</v>
      </c>
      <c r="K375" s="1"/>
      <c r="L375" s="1"/>
      <c r="M375" s="1"/>
      <c r="N375" s="1"/>
      <c r="O375" s="1"/>
      <c r="P375" s="2"/>
      <c r="Q375" s="1"/>
      <c r="R375" s="1"/>
      <c r="S375" s="1"/>
      <c r="T375" s="1"/>
      <c r="U375" s="1"/>
      <c r="V375" s="1" t="s">
        <v>3421</v>
      </c>
      <c r="W375" s="1"/>
      <c r="X375" s="1"/>
      <c r="Y375" s="1"/>
      <c r="Z375" s="1"/>
      <c r="AA375" s="1" t="s">
        <v>3422</v>
      </c>
      <c r="AB375" s="1" t="s">
        <v>3423</v>
      </c>
      <c r="AC375" s="1"/>
      <c r="AD375" s="1"/>
      <c r="AE375" s="1"/>
      <c r="AF375" s="1"/>
      <c r="AG375" s="1"/>
      <c r="AH375" s="1"/>
      <c r="AI375" s="1"/>
      <c r="AJ375" s="1"/>
      <c r="AK375" s="1"/>
      <c r="AL375" s="1"/>
      <c r="AM375" s="1"/>
      <c r="AN375" s="1"/>
      <c r="AO375" s="1" t="s">
        <v>3424</v>
      </c>
      <c r="AP375" s="1" t="s">
        <v>3425</v>
      </c>
      <c r="AQ375" s="1"/>
      <c r="AR375" s="1"/>
      <c r="AS375" s="1"/>
      <c r="AT375" s="1" t="s">
        <v>1849</v>
      </c>
      <c r="AU375" s="3">
        <v>2020</v>
      </c>
      <c r="AV375" s="3">
        <v>32</v>
      </c>
      <c r="AW375" s="3">
        <v>1</v>
      </c>
      <c r="AX375" s="2"/>
      <c r="AY375" s="2"/>
      <c r="AZ375" s="1"/>
      <c r="BA375" s="2"/>
      <c r="BB375" s="2"/>
      <c r="BC375" s="2"/>
      <c r="BD375" s="2"/>
      <c r="BE375" s="1" t="s">
        <v>3426</v>
      </c>
      <c r="BF375" s="4">
        <f>HYPERLINK("http://dx.doi.org/10.1063/1.5133420","http://dx.doi.org/10.1063/1.5133420")</f>
      </c>
      <c r="BG375" s="1"/>
      <c r="BH375" s="1"/>
      <c r="BI375" s="1"/>
      <c r="BJ375" s="1"/>
      <c r="BK375" s="1"/>
      <c r="BL375" s="1"/>
      <c r="BM375" s="1"/>
      <c r="BN375" s="2"/>
      <c r="BO375" s="1"/>
      <c r="BP375" s="1"/>
      <c r="BQ375" s="1"/>
      <c r="BR375" s="1"/>
      <c r="BS375" s="1" t="s">
        <v>3427</v>
      </c>
      <c r="BT375" s="5">
        <f>HYPERLINK("https%3A%2F%2Fwww.webofscience.com%2Fwos%2Fwoscc%2Ffull-record%2FWOS:000505571100001","View Full Record in Web of Science")</f>
      </c>
    </row>
    <row x14ac:dyDescent="0.25" r="376" customHeight="1" ht="12.75">
      <c r="A376" s="1" t="s">
        <v>267</v>
      </c>
      <c r="B376" s="1" t="s">
        <v>3428</v>
      </c>
      <c r="C376" s="1"/>
      <c r="D376" s="1" t="s">
        <v>3429</v>
      </c>
      <c r="E376" s="1"/>
      <c r="F376" s="1" t="s">
        <v>3430</v>
      </c>
      <c r="G376" s="1"/>
      <c r="H376" s="1"/>
      <c r="I376" s="1" t="s">
        <v>3431</v>
      </c>
      <c r="J376" s="1" t="s">
        <v>3432</v>
      </c>
      <c r="K376" s="1"/>
      <c r="L376" s="1"/>
      <c r="M376" s="1"/>
      <c r="N376" s="1"/>
      <c r="O376" s="1"/>
      <c r="P376" s="2"/>
      <c r="Q376" s="1"/>
      <c r="R376" s="1"/>
      <c r="S376" s="1"/>
      <c r="T376" s="1"/>
      <c r="U376" s="1"/>
      <c r="V376" s="1" t="s">
        <v>3433</v>
      </c>
      <c r="W376" s="1"/>
      <c r="X376" s="1"/>
      <c r="Y376" s="1"/>
      <c r="Z376" s="1"/>
      <c r="AA376" s="1"/>
      <c r="AB376" s="1"/>
      <c r="AC376" s="1"/>
      <c r="AD376" s="1"/>
      <c r="AE376" s="1"/>
      <c r="AF376" s="1"/>
      <c r="AG376" s="1"/>
      <c r="AH376" s="1"/>
      <c r="AI376" s="1"/>
      <c r="AJ376" s="1"/>
      <c r="AK376" s="1"/>
      <c r="AL376" s="1"/>
      <c r="AM376" s="1"/>
      <c r="AN376" s="1"/>
      <c r="AO376" s="1"/>
      <c r="AP376" s="1"/>
      <c r="AQ376" s="1" t="s">
        <v>3434</v>
      </c>
      <c r="AR376" s="1"/>
      <c r="AS376" s="1"/>
      <c r="AT376" s="1"/>
      <c r="AU376" s="3">
        <v>2020</v>
      </c>
      <c r="AV376" s="2"/>
      <c r="AW376" s="2"/>
      <c r="AX376" s="2"/>
      <c r="AY376" s="2"/>
      <c r="AZ376" s="1"/>
      <c r="BA376" s="2"/>
      <c r="BB376" s="3">
        <v>120</v>
      </c>
      <c r="BC376" s="3">
        <v>146</v>
      </c>
      <c r="BD376" s="2"/>
      <c r="BE376" s="1"/>
      <c r="BF376" s="1"/>
      <c r="BG376" s="1"/>
      <c r="BH376" s="1"/>
      <c r="BI376" s="1"/>
      <c r="BJ376" s="1"/>
      <c r="BK376" s="1"/>
      <c r="BL376" s="1"/>
      <c r="BM376" s="1"/>
      <c r="BN376" s="2"/>
      <c r="BO376" s="1"/>
      <c r="BP376" s="1"/>
      <c r="BQ376" s="1"/>
      <c r="BR376" s="1"/>
      <c r="BS376" s="1" t="s">
        <v>3435</v>
      </c>
      <c r="BT376" s="5">
        <f>HYPERLINK("https%3A%2F%2Fwww.webofscience.com%2Fwos%2Fwoscc%2Ffull-record%2FWOS:000608842500007","View Full Record in Web of Science")</f>
      </c>
    </row>
    <row x14ac:dyDescent="0.25" r="377" customHeight="1" ht="12.75">
      <c r="A377" s="1" t="s">
        <v>267</v>
      </c>
      <c r="B377" s="1" t="s">
        <v>3436</v>
      </c>
      <c r="C377" s="1"/>
      <c r="D377" s="1"/>
      <c r="E377" s="1" t="s">
        <v>370</v>
      </c>
      <c r="F377" s="1" t="s">
        <v>3437</v>
      </c>
      <c r="G377" s="1"/>
      <c r="H377" s="1"/>
      <c r="I377" s="1" t="s">
        <v>3438</v>
      </c>
      <c r="J377" s="1" t="s">
        <v>3439</v>
      </c>
      <c r="K377" s="1"/>
      <c r="L377" s="1"/>
      <c r="M377" s="1"/>
      <c r="N377" s="1"/>
      <c r="O377" s="1"/>
      <c r="P377" s="2"/>
      <c r="Q377" s="1"/>
      <c r="R377" s="1"/>
      <c r="S377" s="1"/>
      <c r="T377" s="1"/>
      <c r="U377" s="1"/>
      <c r="V377" s="1" t="s">
        <v>3440</v>
      </c>
      <c r="W377" s="1"/>
      <c r="X377" s="1"/>
      <c r="Y377" s="1"/>
      <c r="Z377" s="1"/>
      <c r="AA377" s="1"/>
      <c r="AB377" s="1"/>
      <c r="AC377" s="1"/>
      <c r="AD377" s="1"/>
      <c r="AE377" s="1"/>
      <c r="AF377" s="1"/>
      <c r="AG377" s="1"/>
      <c r="AH377" s="1"/>
      <c r="AI377" s="1"/>
      <c r="AJ377" s="1"/>
      <c r="AK377" s="1"/>
      <c r="AL377" s="1"/>
      <c r="AM377" s="1"/>
      <c r="AN377" s="1"/>
      <c r="AO377" s="1"/>
      <c r="AP377" s="1"/>
      <c r="AQ377" s="1" t="s">
        <v>3441</v>
      </c>
      <c r="AR377" s="1"/>
      <c r="AS377" s="1"/>
      <c r="AT377" s="1"/>
      <c r="AU377" s="3">
        <v>2020</v>
      </c>
      <c r="AV377" s="2"/>
      <c r="AW377" s="2"/>
      <c r="AX377" s="2"/>
      <c r="AY377" s="2"/>
      <c r="AZ377" s="1"/>
      <c r="BA377" s="2"/>
      <c r="BB377" s="3">
        <v>45</v>
      </c>
      <c r="BC377" s="3">
        <v>76</v>
      </c>
      <c r="BD377" s="2"/>
      <c r="BE377" s="1"/>
      <c r="BF377" s="1"/>
      <c r="BG377" s="1"/>
      <c r="BH377" s="1"/>
      <c r="BI377" s="1"/>
      <c r="BJ377" s="1"/>
      <c r="BK377" s="1"/>
      <c r="BL377" s="1"/>
      <c r="BM377" s="1"/>
      <c r="BN377" s="2"/>
      <c r="BO377" s="1"/>
      <c r="BP377" s="1"/>
      <c r="BQ377" s="1"/>
      <c r="BR377" s="1"/>
      <c r="BS377" s="1" t="s">
        <v>3442</v>
      </c>
      <c r="BT377" s="5">
        <f>HYPERLINK("https%3A%2F%2Fwww.webofscience.com%2Fwos%2Fwoscc%2Ffull-record%2FWOS:000608874800004","View Full Record in Web of Science")</f>
      </c>
    </row>
    <row x14ac:dyDescent="0.25" r="378" customHeight="1" ht="12.75">
      <c r="A378" s="1" t="s">
        <v>267</v>
      </c>
      <c r="B378" s="1" t="s">
        <v>2322</v>
      </c>
      <c r="C378" s="1" t="s">
        <v>3443</v>
      </c>
      <c r="D378" s="1"/>
      <c r="E378" s="1"/>
      <c r="F378" s="1" t="s">
        <v>2323</v>
      </c>
      <c r="G378" s="1" t="s">
        <v>3443</v>
      </c>
      <c r="H378" s="1"/>
      <c r="I378" s="1" t="s">
        <v>3444</v>
      </c>
      <c r="J378" s="1" t="s">
        <v>3445</v>
      </c>
      <c r="K378" s="1"/>
      <c r="L378" s="1"/>
      <c r="M378" s="1"/>
      <c r="N378" s="1"/>
      <c r="O378" s="1"/>
      <c r="P378" s="2"/>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t="s">
        <v>3446</v>
      </c>
      <c r="AR378" s="1"/>
      <c r="AS378" s="1"/>
      <c r="AT378" s="1"/>
      <c r="AU378" s="3">
        <v>2020</v>
      </c>
      <c r="AV378" s="2"/>
      <c r="AW378" s="2"/>
      <c r="AX378" s="2"/>
      <c r="AY378" s="2"/>
      <c r="AZ378" s="1"/>
      <c r="BA378" s="2"/>
      <c r="BB378" s="3">
        <v>11</v>
      </c>
      <c r="BC378" s="2" t="s">
        <v>1630</v>
      </c>
      <c r="BD378" s="2"/>
      <c r="BE378" s="1"/>
      <c r="BF378" s="1"/>
      <c r="BG378" s="1"/>
      <c r="BH378" s="1"/>
      <c r="BI378" s="1"/>
      <c r="BJ378" s="1"/>
      <c r="BK378" s="1"/>
      <c r="BL378" s="1"/>
      <c r="BM378" s="1"/>
      <c r="BN378" s="2"/>
      <c r="BO378" s="1"/>
      <c r="BP378" s="1"/>
      <c r="BQ378" s="1"/>
      <c r="BR378" s="1"/>
      <c r="BS378" s="1" t="s">
        <v>3447</v>
      </c>
      <c r="BT378" s="5">
        <f>HYPERLINK("https%3A%2F%2Fwww.webofscience.com%2Fwos%2Fwoscc%2Ffull-record%2FWOS:000608871900001","View Full Record in Web of Science")</f>
      </c>
    </row>
    <row x14ac:dyDescent="0.25" r="379" customHeight="1" ht="12.75">
      <c r="A379" s="1" t="s">
        <v>72</v>
      </c>
      <c r="B379" s="1" t="s">
        <v>3448</v>
      </c>
      <c r="C379" s="1"/>
      <c r="D379" s="1"/>
      <c r="E379" s="1"/>
      <c r="F379" s="1" t="s">
        <v>3449</v>
      </c>
      <c r="G379" s="1"/>
      <c r="H379" s="1"/>
      <c r="I379" s="1" t="s">
        <v>3450</v>
      </c>
      <c r="J379" s="1" t="s">
        <v>2277</v>
      </c>
      <c r="K379" s="1"/>
      <c r="L379" s="1"/>
      <c r="M379" s="1"/>
      <c r="N379" s="1"/>
      <c r="O379" s="1"/>
      <c r="P379" s="2"/>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t="s">
        <v>2280</v>
      </c>
      <c r="AP379" s="1" t="s">
        <v>3451</v>
      </c>
      <c r="AQ379" s="1"/>
      <c r="AR379" s="1"/>
      <c r="AS379" s="1"/>
      <c r="AT379" s="1" t="s">
        <v>265</v>
      </c>
      <c r="AU379" s="3">
        <v>2019</v>
      </c>
      <c r="AV379" s="3">
        <v>91</v>
      </c>
      <c r="AW379" s="2"/>
      <c r="AX379" s="2"/>
      <c r="AY379" s="2"/>
      <c r="AZ379" s="1"/>
      <c r="BA379" s="2" t="s">
        <v>3452</v>
      </c>
      <c r="BB379" s="3">
        <v>416</v>
      </c>
      <c r="BC379" s="3">
        <v>416</v>
      </c>
      <c r="BD379" s="2"/>
      <c r="BE379" s="1" t="s">
        <v>3453</v>
      </c>
      <c r="BF379" s="4">
        <f>HYPERLINK("http://dx.doi.org/10.1016/j.fsi.2019.04.143","http://dx.doi.org/10.1016/j.fsi.2019.04.143")</f>
      </c>
      <c r="BG379" s="1"/>
      <c r="BH379" s="1"/>
      <c r="BI379" s="1"/>
      <c r="BJ379" s="1"/>
      <c r="BK379" s="1"/>
      <c r="BL379" s="1"/>
      <c r="BM379" s="1"/>
      <c r="BN379" s="2"/>
      <c r="BO379" s="1"/>
      <c r="BP379" s="1"/>
      <c r="BQ379" s="1"/>
      <c r="BR379" s="1"/>
      <c r="BS379" s="1" t="s">
        <v>3454</v>
      </c>
      <c r="BT379" s="5">
        <f>HYPERLINK("https%3A%2F%2Fwww.webofscience.com%2Fwos%2Fwoscc%2Ffull-record%2FWOS:000474676700116","View Full Record in Web of Science")</f>
      </c>
    </row>
    <row x14ac:dyDescent="0.25" r="380" customHeight="1" ht="12.75">
      <c r="A380" s="1" t="s">
        <v>72</v>
      </c>
      <c r="B380" s="1" t="s">
        <v>3455</v>
      </c>
      <c r="C380" s="1"/>
      <c r="D380" s="1"/>
      <c r="E380" s="1"/>
      <c r="F380" s="1" t="s">
        <v>3456</v>
      </c>
      <c r="G380" s="1"/>
      <c r="H380" s="1"/>
      <c r="I380" s="1" t="s">
        <v>3457</v>
      </c>
      <c r="J380" s="1" t="s">
        <v>3458</v>
      </c>
      <c r="K380" s="1"/>
      <c r="L380" s="1"/>
      <c r="M380" s="1"/>
      <c r="N380" s="1"/>
      <c r="O380" s="1"/>
      <c r="P380" s="2"/>
      <c r="Q380" s="1"/>
      <c r="R380" s="1"/>
      <c r="S380" s="1"/>
      <c r="T380" s="1"/>
      <c r="U380" s="1"/>
      <c r="V380" s="1" t="s">
        <v>3459</v>
      </c>
      <c r="W380" s="1"/>
      <c r="X380" s="1"/>
      <c r="Y380" s="1"/>
      <c r="Z380" s="1"/>
      <c r="AA380" s="1" t="s">
        <v>3460</v>
      </c>
      <c r="AB380" s="1" t="s">
        <v>3461</v>
      </c>
      <c r="AC380" s="1"/>
      <c r="AD380" s="1"/>
      <c r="AE380" s="1"/>
      <c r="AF380" s="1"/>
      <c r="AG380" s="1"/>
      <c r="AH380" s="1"/>
      <c r="AI380" s="1"/>
      <c r="AJ380" s="1"/>
      <c r="AK380" s="1"/>
      <c r="AL380" s="1"/>
      <c r="AM380" s="1"/>
      <c r="AN380" s="1"/>
      <c r="AO380" s="1" t="s">
        <v>3462</v>
      </c>
      <c r="AP380" s="1" t="s">
        <v>3463</v>
      </c>
      <c r="AQ380" s="1"/>
      <c r="AR380" s="1"/>
      <c r="AS380" s="1"/>
      <c r="AT380" s="1" t="s">
        <v>137</v>
      </c>
      <c r="AU380" s="3">
        <v>2019</v>
      </c>
      <c r="AV380" s="3">
        <v>112</v>
      </c>
      <c r="AW380" s="3">
        <v>2</v>
      </c>
      <c r="AX380" s="2"/>
      <c r="AY380" s="2"/>
      <c r="AZ380" s="1"/>
      <c r="BA380" s="2"/>
      <c r="BB380" s="3">
        <v>297</v>
      </c>
      <c r="BC380" s="3">
        <v>304</v>
      </c>
      <c r="BD380" s="2"/>
      <c r="BE380" s="1" t="s">
        <v>3464</v>
      </c>
      <c r="BF380" s="4">
        <f>HYPERLINK("http://dx.doi.org/10.1007/s10482-018-1159-9","http://dx.doi.org/10.1007/s10482-018-1159-9")</f>
      </c>
      <c r="BG380" s="1"/>
      <c r="BH380" s="1"/>
      <c r="BI380" s="1"/>
      <c r="BJ380" s="1"/>
      <c r="BK380" s="1"/>
      <c r="BL380" s="1"/>
      <c r="BM380" s="1"/>
      <c r="BN380" s="3">
        <v>30187229</v>
      </c>
      <c r="BO380" s="1"/>
      <c r="BP380" s="1"/>
      <c r="BQ380" s="1"/>
      <c r="BR380" s="1"/>
      <c r="BS380" s="1" t="s">
        <v>3465</v>
      </c>
      <c r="BT380" s="5">
        <f>HYPERLINK("https%3A%2F%2Fwww.webofscience.com%2Fwos%2Fwoscc%2Ffull-record%2FWOS:000458283300015","View Full Record in Web of Science")</f>
      </c>
    </row>
    <row x14ac:dyDescent="0.25" r="381" customHeight="1" ht="12.75">
      <c r="A381" s="1" t="s">
        <v>72</v>
      </c>
      <c r="B381" s="1" t="s">
        <v>3466</v>
      </c>
      <c r="C381" s="1"/>
      <c r="D381" s="1"/>
      <c r="E381" s="1"/>
      <c r="F381" s="1" t="s">
        <v>3467</v>
      </c>
      <c r="G381" s="1"/>
      <c r="H381" s="1"/>
      <c r="I381" s="1" t="s">
        <v>3468</v>
      </c>
      <c r="J381" s="1" t="s">
        <v>470</v>
      </c>
      <c r="K381" s="1"/>
      <c r="L381" s="1"/>
      <c r="M381" s="1"/>
      <c r="N381" s="1"/>
      <c r="O381" s="1"/>
      <c r="P381" s="2"/>
      <c r="Q381" s="1"/>
      <c r="R381" s="1"/>
      <c r="S381" s="1"/>
      <c r="T381" s="1"/>
      <c r="U381" s="1"/>
      <c r="V381" s="1" t="s">
        <v>3469</v>
      </c>
      <c r="W381" s="1"/>
      <c r="X381" s="1"/>
      <c r="Y381" s="1"/>
      <c r="Z381" s="1"/>
      <c r="AA381" s="1" t="s">
        <v>3470</v>
      </c>
      <c r="AB381" s="1" t="s">
        <v>1936</v>
      </c>
      <c r="AC381" s="1"/>
      <c r="AD381" s="1"/>
      <c r="AE381" s="1"/>
      <c r="AF381" s="1"/>
      <c r="AG381" s="1"/>
      <c r="AH381" s="1"/>
      <c r="AI381" s="1"/>
      <c r="AJ381" s="1"/>
      <c r="AK381" s="1"/>
      <c r="AL381" s="1"/>
      <c r="AM381" s="1"/>
      <c r="AN381" s="1"/>
      <c r="AO381" s="1" t="s">
        <v>474</v>
      </c>
      <c r="AP381" s="1" t="s">
        <v>475</v>
      </c>
      <c r="AQ381" s="1"/>
      <c r="AR381" s="1"/>
      <c r="AS381" s="1"/>
      <c r="AT381" s="1" t="s">
        <v>3471</v>
      </c>
      <c r="AU381" s="3">
        <v>2019</v>
      </c>
      <c r="AV381" s="3">
        <v>37</v>
      </c>
      <c r="AW381" s="3">
        <v>2</v>
      </c>
      <c r="AX381" s="2"/>
      <c r="AY381" s="2"/>
      <c r="AZ381" s="1"/>
      <c r="BA381" s="2"/>
      <c r="BB381" s="3">
        <v>232</v>
      </c>
      <c r="BC381" s="3">
        <v>244</v>
      </c>
      <c r="BD381" s="2"/>
      <c r="BE381" s="1" t="s">
        <v>3472</v>
      </c>
      <c r="BF381" s="4">
        <f>HYPERLINK("http://dx.doi.org/10.1080/07373937.2018.1450268","http://dx.doi.org/10.1080/07373937.2018.1450268")</f>
      </c>
      <c r="BG381" s="1"/>
      <c r="BH381" s="1"/>
      <c r="BI381" s="1"/>
      <c r="BJ381" s="1"/>
      <c r="BK381" s="1"/>
      <c r="BL381" s="1"/>
      <c r="BM381" s="1"/>
      <c r="BN381" s="2"/>
      <c r="BO381" s="1"/>
      <c r="BP381" s="1"/>
      <c r="BQ381" s="1"/>
      <c r="BR381" s="1"/>
      <c r="BS381" s="1" t="s">
        <v>3473</v>
      </c>
      <c r="BT381" s="5">
        <f>HYPERLINK("https%3A%2F%2Fwww.webofscience.com%2Fwos%2Fwoscc%2Ffull-record%2FWOS:000464533200010","View Full Record in Web of Science")</f>
      </c>
    </row>
    <row x14ac:dyDescent="0.25" r="382" customHeight="1" ht="12.75">
      <c r="A382" s="1" t="s">
        <v>303</v>
      </c>
      <c r="B382" s="1" t="s">
        <v>3474</v>
      </c>
      <c r="C382" s="1"/>
      <c r="D382" s="1"/>
      <c r="E382" s="1" t="s">
        <v>305</v>
      </c>
      <c r="F382" s="1" t="s">
        <v>3475</v>
      </c>
      <c r="G382" s="1"/>
      <c r="H382" s="1"/>
      <c r="I382" s="1" t="s">
        <v>3476</v>
      </c>
      <c r="J382" s="1" t="s">
        <v>2070</v>
      </c>
      <c r="K382" s="1"/>
      <c r="L382" s="1"/>
      <c r="M382" s="1"/>
      <c r="N382" s="1"/>
      <c r="O382" s="1" t="s">
        <v>2071</v>
      </c>
      <c r="P382" s="2" t="s">
        <v>2072</v>
      </c>
      <c r="Q382" s="1" t="s">
        <v>2073</v>
      </c>
      <c r="R382" s="1" t="s">
        <v>2074</v>
      </c>
      <c r="S382" s="1"/>
      <c r="T382" s="1"/>
      <c r="U382" s="1"/>
      <c r="V382" s="1" t="s">
        <v>3477</v>
      </c>
      <c r="W382" s="1"/>
      <c r="X382" s="1"/>
      <c r="Y382" s="1"/>
      <c r="Z382" s="1"/>
      <c r="AA382" s="1" t="s">
        <v>3478</v>
      </c>
      <c r="AB382" s="1"/>
      <c r="AC382" s="1"/>
      <c r="AD382" s="1"/>
      <c r="AE382" s="1"/>
      <c r="AF382" s="1"/>
      <c r="AG382" s="1"/>
      <c r="AH382" s="1"/>
      <c r="AI382" s="1"/>
      <c r="AJ382" s="1"/>
      <c r="AK382" s="1"/>
      <c r="AL382" s="1"/>
      <c r="AM382" s="1"/>
      <c r="AN382" s="1"/>
      <c r="AO382" s="1"/>
      <c r="AP382" s="1"/>
      <c r="AQ382" s="1" t="s">
        <v>2076</v>
      </c>
      <c r="AR382" s="1"/>
      <c r="AS382" s="1"/>
      <c r="AT382" s="1"/>
      <c r="AU382" s="3">
        <v>2019</v>
      </c>
      <c r="AV382" s="2"/>
      <c r="AW382" s="2"/>
      <c r="AX382" s="2"/>
      <c r="AY382" s="2"/>
      <c r="AZ382" s="1"/>
      <c r="BA382" s="2"/>
      <c r="BB382" s="2"/>
      <c r="BC382" s="2"/>
      <c r="BD382" s="2"/>
      <c r="BE382" s="1" t="s">
        <v>3479</v>
      </c>
      <c r="BF382" s="4">
        <f>HYPERLINK("http://dx.doi.org/10.1109/chilecon47746.2019.8988070","http://dx.doi.org/10.1109/chilecon47746.2019.8988070")</f>
      </c>
      <c r="BG382" s="1"/>
      <c r="BH382" s="1"/>
      <c r="BI382" s="1"/>
      <c r="BJ382" s="1"/>
      <c r="BK382" s="1"/>
      <c r="BL382" s="1"/>
      <c r="BM382" s="1"/>
      <c r="BN382" s="2"/>
      <c r="BO382" s="1"/>
      <c r="BP382" s="1"/>
      <c r="BQ382" s="1"/>
      <c r="BR382" s="1"/>
      <c r="BS382" s="1" t="s">
        <v>3480</v>
      </c>
      <c r="BT382" s="5">
        <f>HYPERLINK("https%3A%2F%2Fwww.webofscience.com%2Fwos%2Fwoscc%2Ffull-record%2FWOS:000542919100173","View Full Record in Web of Science")</f>
      </c>
    </row>
    <row x14ac:dyDescent="0.25" r="383" customHeight="1" ht="12.75">
      <c r="A383" s="1" t="s">
        <v>72</v>
      </c>
      <c r="B383" s="1" t="s">
        <v>555</v>
      </c>
      <c r="C383" s="1"/>
      <c r="D383" s="1"/>
      <c r="E383" s="1"/>
      <c r="F383" s="1" t="s">
        <v>556</v>
      </c>
      <c r="G383" s="1"/>
      <c r="H383" s="1"/>
      <c r="I383" s="1" t="s">
        <v>3481</v>
      </c>
      <c r="J383" s="1" t="s">
        <v>358</v>
      </c>
      <c r="K383" s="1"/>
      <c r="L383" s="1"/>
      <c r="M383" s="1"/>
      <c r="N383" s="1"/>
      <c r="O383" s="1"/>
      <c r="P383" s="2"/>
      <c r="Q383" s="1"/>
      <c r="R383" s="1"/>
      <c r="S383" s="1"/>
      <c r="T383" s="1"/>
      <c r="U383" s="1"/>
      <c r="V383" s="1" t="s">
        <v>3482</v>
      </c>
      <c r="W383" s="1"/>
      <c r="X383" s="1"/>
      <c r="Y383" s="1"/>
      <c r="Z383" s="1"/>
      <c r="AA383" s="1"/>
      <c r="AB383" s="1"/>
      <c r="AC383" s="1"/>
      <c r="AD383" s="1"/>
      <c r="AE383" s="1"/>
      <c r="AF383" s="1"/>
      <c r="AG383" s="1"/>
      <c r="AH383" s="1"/>
      <c r="AI383" s="1"/>
      <c r="AJ383" s="1"/>
      <c r="AK383" s="1"/>
      <c r="AL383" s="1"/>
      <c r="AM383" s="1"/>
      <c r="AN383" s="1"/>
      <c r="AO383" s="1" t="s">
        <v>359</v>
      </c>
      <c r="AP383" s="1"/>
      <c r="AQ383" s="1"/>
      <c r="AR383" s="1"/>
      <c r="AS383" s="1"/>
      <c r="AT383" s="1" t="s">
        <v>204</v>
      </c>
      <c r="AU383" s="3">
        <v>2018</v>
      </c>
      <c r="AV383" s="3">
        <v>51</v>
      </c>
      <c r="AW383" s="3">
        <v>2</v>
      </c>
      <c r="AX383" s="2"/>
      <c r="AY383" s="2"/>
      <c r="AZ383" s="1"/>
      <c r="BA383" s="2"/>
      <c r="BB383" s="3">
        <v>317</v>
      </c>
      <c r="BC383" s="3">
        <v>338</v>
      </c>
      <c r="BD383" s="2"/>
      <c r="BE383" s="1"/>
      <c r="BF383" s="1"/>
      <c r="BG383" s="1"/>
      <c r="BH383" s="1"/>
      <c r="BI383" s="1"/>
      <c r="BJ383" s="1"/>
      <c r="BK383" s="1"/>
      <c r="BL383" s="1"/>
      <c r="BM383" s="1"/>
      <c r="BN383" s="2"/>
      <c r="BO383" s="1"/>
      <c r="BP383" s="1"/>
      <c r="BQ383" s="1"/>
      <c r="BR383" s="1"/>
      <c r="BS383" s="1" t="s">
        <v>3483</v>
      </c>
      <c r="BT383" s="5">
        <f>HYPERLINK("https%3A%2F%2Fwww.webofscience.com%2Fwos%2Fwoscc%2Ffull-record%2FWOS:000457774000001","View Full Record in Web of Science")</f>
      </c>
    </row>
    <row x14ac:dyDescent="0.25" r="384" customHeight="1" ht="12.75">
      <c r="A384" s="1" t="s">
        <v>72</v>
      </c>
      <c r="B384" s="1" t="s">
        <v>3484</v>
      </c>
      <c r="C384" s="1"/>
      <c r="D384" s="1"/>
      <c r="E384" s="1"/>
      <c r="F384" s="1" t="s">
        <v>3485</v>
      </c>
      <c r="G384" s="1"/>
      <c r="H384" s="1"/>
      <c r="I384" s="1" t="s">
        <v>3486</v>
      </c>
      <c r="J384" s="1" t="s">
        <v>358</v>
      </c>
      <c r="K384" s="1"/>
      <c r="L384" s="1"/>
      <c r="M384" s="1"/>
      <c r="N384" s="1"/>
      <c r="O384" s="1"/>
      <c r="P384" s="2"/>
      <c r="Q384" s="1"/>
      <c r="R384" s="1"/>
      <c r="S384" s="1"/>
      <c r="T384" s="1"/>
      <c r="U384" s="1"/>
      <c r="V384" s="1" t="s">
        <v>3487</v>
      </c>
      <c r="W384" s="1"/>
      <c r="X384" s="1"/>
      <c r="Y384" s="1"/>
      <c r="Z384" s="1"/>
      <c r="AA384" s="1"/>
      <c r="AB384" s="1"/>
      <c r="AC384" s="1"/>
      <c r="AD384" s="1"/>
      <c r="AE384" s="1"/>
      <c r="AF384" s="1"/>
      <c r="AG384" s="1"/>
      <c r="AH384" s="1"/>
      <c r="AI384" s="1"/>
      <c r="AJ384" s="1"/>
      <c r="AK384" s="1"/>
      <c r="AL384" s="1"/>
      <c r="AM384" s="1"/>
      <c r="AN384" s="1"/>
      <c r="AO384" s="1" t="s">
        <v>359</v>
      </c>
      <c r="AP384" s="1"/>
      <c r="AQ384" s="1"/>
      <c r="AR384" s="1"/>
      <c r="AS384" s="1"/>
      <c r="AT384" s="1" t="s">
        <v>204</v>
      </c>
      <c r="AU384" s="3">
        <v>2018</v>
      </c>
      <c r="AV384" s="3">
        <v>51</v>
      </c>
      <c r="AW384" s="3">
        <v>2</v>
      </c>
      <c r="AX384" s="2"/>
      <c r="AY384" s="2"/>
      <c r="AZ384" s="1"/>
      <c r="BA384" s="2"/>
      <c r="BB384" s="3">
        <v>339</v>
      </c>
      <c r="BC384" s="3">
        <v>364</v>
      </c>
      <c r="BD384" s="2"/>
      <c r="BE384" s="1"/>
      <c r="BF384" s="1"/>
      <c r="BG384" s="1"/>
      <c r="BH384" s="1"/>
      <c r="BI384" s="1"/>
      <c r="BJ384" s="1"/>
      <c r="BK384" s="1"/>
      <c r="BL384" s="1"/>
      <c r="BM384" s="1"/>
      <c r="BN384" s="2"/>
      <c r="BO384" s="1"/>
      <c r="BP384" s="1"/>
      <c r="BQ384" s="1"/>
      <c r="BR384" s="1"/>
      <c r="BS384" s="1" t="s">
        <v>3488</v>
      </c>
      <c r="BT384" s="5">
        <f>HYPERLINK("https%3A%2F%2Fwww.webofscience.com%2Fwos%2Fwoscc%2Ffull-record%2FWOS:000457774000002","View Full Record in Web of Science")</f>
      </c>
    </row>
    <row x14ac:dyDescent="0.25" r="385" customHeight="1" ht="12.75">
      <c r="A385" s="1" t="s">
        <v>72</v>
      </c>
      <c r="B385" s="1" t="s">
        <v>2579</v>
      </c>
      <c r="C385" s="1"/>
      <c r="D385" s="1"/>
      <c r="E385" s="1"/>
      <c r="F385" s="1" t="s">
        <v>2580</v>
      </c>
      <c r="G385" s="1"/>
      <c r="H385" s="1"/>
      <c r="I385" s="1" t="s">
        <v>3489</v>
      </c>
      <c r="J385" s="1" t="s">
        <v>3490</v>
      </c>
      <c r="K385" s="1"/>
      <c r="L385" s="1"/>
      <c r="M385" s="1"/>
      <c r="N385" s="1"/>
      <c r="O385" s="1"/>
      <c r="P385" s="2"/>
      <c r="Q385" s="1"/>
      <c r="R385" s="1"/>
      <c r="S385" s="1"/>
      <c r="T385" s="1"/>
      <c r="U385" s="1"/>
      <c r="V385" s="1" t="s">
        <v>3491</v>
      </c>
      <c r="W385" s="1"/>
      <c r="X385" s="1"/>
      <c r="Y385" s="1"/>
      <c r="Z385" s="1"/>
      <c r="AA385" s="1" t="s">
        <v>2583</v>
      </c>
      <c r="AB385" s="1" t="s">
        <v>2584</v>
      </c>
      <c r="AC385" s="1"/>
      <c r="AD385" s="1"/>
      <c r="AE385" s="1"/>
      <c r="AF385" s="1"/>
      <c r="AG385" s="1"/>
      <c r="AH385" s="1"/>
      <c r="AI385" s="1"/>
      <c r="AJ385" s="1"/>
      <c r="AK385" s="1"/>
      <c r="AL385" s="1"/>
      <c r="AM385" s="1"/>
      <c r="AN385" s="1"/>
      <c r="AO385" s="1" t="s">
        <v>3492</v>
      </c>
      <c r="AP385" s="1" t="s">
        <v>3493</v>
      </c>
      <c r="AQ385" s="1"/>
      <c r="AR385" s="1"/>
      <c r="AS385" s="1"/>
      <c r="AT385" s="1" t="s">
        <v>464</v>
      </c>
      <c r="AU385" s="3">
        <v>2018</v>
      </c>
      <c r="AV385" s="3">
        <v>61</v>
      </c>
      <c r="AW385" s="3">
        <v>2</v>
      </c>
      <c r="AX385" s="2"/>
      <c r="AY385" s="2"/>
      <c r="AZ385" s="1"/>
      <c r="BA385" s="2"/>
      <c r="BB385" s="3">
        <v>341</v>
      </c>
      <c r="BC385" s="3">
        <v>371</v>
      </c>
      <c r="BD385" s="2"/>
      <c r="BE385" s="1" t="s">
        <v>3494</v>
      </c>
      <c r="BF385" s="4">
        <f>HYPERLINK("http://dx.doi.org/10.1590/001152582018155","http://dx.doi.org/10.1590/001152582018155")</f>
      </c>
      <c r="BG385" s="1"/>
      <c r="BH385" s="1"/>
      <c r="BI385" s="1"/>
      <c r="BJ385" s="1"/>
      <c r="BK385" s="1"/>
      <c r="BL385" s="1"/>
      <c r="BM385" s="1"/>
      <c r="BN385" s="2"/>
      <c r="BO385" s="1"/>
      <c r="BP385" s="1"/>
      <c r="BQ385" s="1"/>
      <c r="BR385" s="1"/>
      <c r="BS385" s="1" t="s">
        <v>3495</v>
      </c>
      <c r="BT385" s="5">
        <f>HYPERLINK("https%3A%2F%2Fwww.webofscience.com%2Fwos%2Fwoscc%2Ffull-record%2FWOS:000452596300003","View Full Record in Web of Science")</f>
      </c>
    </row>
    <row x14ac:dyDescent="0.25" r="386" customHeight="1" ht="12.75">
      <c r="A386" s="1" t="s">
        <v>267</v>
      </c>
      <c r="B386" s="1" t="s">
        <v>3496</v>
      </c>
      <c r="C386" s="1"/>
      <c r="D386" s="1" t="s">
        <v>3497</v>
      </c>
      <c r="E386" s="1"/>
      <c r="F386" s="1" t="s">
        <v>3498</v>
      </c>
      <c r="G386" s="1"/>
      <c r="H386" s="1"/>
      <c r="I386" s="1" t="s">
        <v>3499</v>
      </c>
      <c r="J386" s="1" t="s">
        <v>3500</v>
      </c>
      <c r="K386" s="1" t="s">
        <v>3501</v>
      </c>
      <c r="L386" s="1"/>
      <c r="M386" s="1"/>
      <c r="N386" s="1"/>
      <c r="O386" s="1"/>
      <c r="P386" s="2"/>
      <c r="Q386" s="1"/>
      <c r="R386" s="1"/>
      <c r="S386" s="1"/>
      <c r="T386" s="1"/>
      <c r="U386" s="1"/>
      <c r="V386" s="1" t="s">
        <v>3502</v>
      </c>
      <c r="W386" s="1"/>
      <c r="X386" s="1"/>
      <c r="Y386" s="1"/>
      <c r="Z386" s="1"/>
      <c r="AA386" s="1" t="s">
        <v>2192</v>
      </c>
      <c r="AB386" s="1" t="s">
        <v>2193</v>
      </c>
      <c r="AC386" s="1"/>
      <c r="AD386" s="1"/>
      <c r="AE386" s="1"/>
      <c r="AF386" s="1"/>
      <c r="AG386" s="1"/>
      <c r="AH386" s="1"/>
      <c r="AI386" s="1"/>
      <c r="AJ386" s="1"/>
      <c r="AK386" s="1"/>
      <c r="AL386" s="1"/>
      <c r="AM386" s="1"/>
      <c r="AN386" s="1"/>
      <c r="AO386" s="1"/>
      <c r="AP386" s="1"/>
      <c r="AQ386" s="1" t="s">
        <v>3503</v>
      </c>
      <c r="AR386" s="1"/>
      <c r="AS386" s="1"/>
      <c r="AT386" s="1"/>
      <c r="AU386" s="3">
        <v>2018</v>
      </c>
      <c r="AV386" s="3">
        <v>24</v>
      </c>
      <c r="AW386" s="2"/>
      <c r="AX386" s="2"/>
      <c r="AY386" s="2"/>
      <c r="AZ386" s="1"/>
      <c r="BA386" s="2"/>
      <c r="BB386" s="3">
        <v>223</v>
      </c>
      <c r="BC386" s="3">
        <v>238</v>
      </c>
      <c r="BD386" s="2"/>
      <c r="BE386" s="1" t="s">
        <v>3504</v>
      </c>
      <c r="BF386" s="4">
        <f>HYPERLINK("http://dx.doi.org/10.1007/978-3-319-71958-0_16","http://dx.doi.org/10.1007/978-3-319-71958-0_16")</f>
      </c>
      <c r="BG386" s="1" t="s">
        <v>3505</v>
      </c>
      <c r="BH386" s="1"/>
      <c r="BI386" s="1"/>
      <c r="BJ386" s="1"/>
      <c r="BK386" s="1"/>
      <c r="BL386" s="1"/>
      <c r="BM386" s="1"/>
      <c r="BN386" s="2"/>
      <c r="BO386" s="1"/>
      <c r="BP386" s="1"/>
      <c r="BQ386" s="1"/>
      <c r="BR386" s="1"/>
      <c r="BS386" s="1" t="s">
        <v>3506</v>
      </c>
      <c r="BT386" s="5">
        <f>HYPERLINK("https%3A%2F%2Fwww.webofscience.com%2Fwos%2Fwoscc%2Ffull-record%2FWOS:000431825500017","View Full Record in Web of Science")</f>
      </c>
    </row>
    <row x14ac:dyDescent="0.25" r="387" customHeight="1" ht="12.75">
      <c r="A387" s="1" t="s">
        <v>267</v>
      </c>
      <c r="B387" s="1" t="s">
        <v>3507</v>
      </c>
      <c r="C387" s="1" t="s">
        <v>3508</v>
      </c>
      <c r="D387" s="1"/>
      <c r="E387" s="1"/>
      <c r="F387" s="1" t="s">
        <v>3509</v>
      </c>
      <c r="G387" s="1" t="s">
        <v>3508</v>
      </c>
      <c r="H387" s="1"/>
      <c r="I387" s="1" t="s">
        <v>3510</v>
      </c>
      <c r="J387" s="1" t="s">
        <v>3511</v>
      </c>
      <c r="K387" s="1"/>
      <c r="L387" s="1"/>
      <c r="M387" s="1"/>
      <c r="N387" s="1"/>
      <c r="O387" s="1"/>
      <c r="P387" s="2"/>
      <c r="Q387" s="1"/>
      <c r="R387" s="1"/>
      <c r="S387" s="1"/>
      <c r="T387" s="1"/>
      <c r="U387" s="1"/>
      <c r="V387" s="1" t="s">
        <v>3512</v>
      </c>
      <c r="W387" s="1"/>
      <c r="X387" s="1"/>
      <c r="Y387" s="1"/>
      <c r="Z387" s="1"/>
      <c r="AA387" s="1"/>
      <c r="AB387" s="1"/>
      <c r="AC387" s="1"/>
      <c r="AD387" s="1"/>
      <c r="AE387" s="1"/>
      <c r="AF387" s="1"/>
      <c r="AG387" s="1"/>
      <c r="AH387" s="1"/>
      <c r="AI387" s="1"/>
      <c r="AJ387" s="1"/>
      <c r="AK387" s="1"/>
      <c r="AL387" s="1"/>
      <c r="AM387" s="1"/>
      <c r="AN387" s="1"/>
      <c r="AO387" s="1"/>
      <c r="AP387" s="1"/>
      <c r="AQ387" s="1" t="s">
        <v>3513</v>
      </c>
      <c r="AR387" s="1"/>
      <c r="AS387" s="1"/>
      <c r="AT387" s="1"/>
      <c r="AU387" s="3">
        <v>2018</v>
      </c>
      <c r="AV387" s="2"/>
      <c r="AW387" s="2"/>
      <c r="AX387" s="2"/>
      <c r="AY387" s="2"/>
      <c r="AZ387" s="1"/>
      <c r="BA387" s="2"/>
      <c r="BB387" s="3">
        <v>129</v>
      </c>
      <c r="BC387" s="3">
        <v>139</v>
      </c>
      <c r="BD387" s="2"/>
      <c r="BE387" s="1"/>
      <c r="BF387" s="1"/>
      <c r="BG387" s="1"/>
      <c r="BH387" s="1"/>
      <c r="BI387" s="1"/>
      <c r="BJ387" s="1"/>
      <c r="BK387" s="1"/>
      <c r="BL387" s="1"/>
      <c r="BM387" s="1"/>
      <c r="BN387" s="2"/>
      <c r="BO387" s="1"/>
      <c r="BP387" s="1"/>
      <c r="BQ387" s="1"/>
      <c r="BR387" s="1"/>
      <c r="BS387" s="1" t="s">
        <v>3514</v>
      </c>
      <c r="BT387" s="5">
        <f>HYPERLINK("https%3A%2F%2Fwww.webofscience.com%2Fwos%2Fwoscc%2Ffull-record%2FWOS:000483366800010","View Full Record in Web of Science")</f>
      </c>
    </row>
    <row x14ac:dyDescent="0.25" r="388" customHeight="1" ht="12.75">
      <c r="A388" s="1" t="s">
        <v>303</v>
      </c>
      <c r="B388" s="1" t="s">
        <v>3515</v>
      </c>
      <c r="C388" s="1"/>
      <c r="D388" s="1" t="s">
        <v>3516</v>
      </c>
      <c r="E388" s="1"/>
      <c r="F388" s="1" t="s">
        <v>3517</v>
      </c>
      <c r="G388" s="1"/>
      <c r="H388" s="1"/>
      <c r="I388" s="1" t="s">
        <v>3518</v>
      </c>
      <c r="J388" s="1" t="s">
        <v>3519</v>
      </c>
      <c r="K388" s="1" t="s">
        <v>3520</v>
      </c>
      <c r="L388" s="1"/>
      <c r="M388" s="1"/>
      <c r="N388" s="1"/>
      <c r="O388" s="1" t="s">
        <v>3521</v>
      </c>
      <c r="P388" s="2" t="s">
        <v>3522</v>
      </c>
      <c r="Q388" s="1" t="s">
        <v>3523</v>
      </c>
      <c r="R388" s="1" t="s">
        <v>3524</v>
      </c>
      <c r="S388" s="1" t="s">
        <v>3525</v>
      </c>
      <c r="T388" s="1"/>
      <c r="U388" s="1"/>
      <c r="V388" s="1" t="s">
        <v>3526</v>
      </c>
      <c r="W388" s="1"/>
      <c r="X388" s="1"/>
      <c r="Y388" s="1"/>
      <c r="Z388" s="1"/>
      <c r="AA388" s="1" t="s">
        <v>3527</v>
      </c>
      <c r="AB388" s="1" t="s">
        <v>3528</v>
      </c>
      <c r="AC388" s="1"/>
      <c r="AD388" s="1"/>
      <c r="AE388" s="1"/>
      <c r="AF388" s="1"/>
      <c r="AG388" s="1"/>
      <c r="AH388" s="1"/>
      <c r="AI388" s="1"/>
      <c r="AJ388" s="1"/>
      <c r="AK388" s="1"/>
      <c r="AL388" s="1"/>
      <c r="AM388" s="1"/>
      <c r="AN388" s="1"/>
      <c r="AO388" s="1" t="s">
        <v>3529</v>
      </c>
      <c r="AP388" s="1" t="s">
        <v>3530</v>
      </c>
      <c r="AQ388" s="1"/>
      <c r="AR388" s="1"/>
      <c r="AS388" s="1"/>
      <c r="AT388" s="1"/>
      <c r="AU388" s="3">
        <v>2018</v>
      </c>
      <c r="AV388" s="3">
        <v>1043</v>
      </c>
      <c r="AW388" s="2"/>
      <c r="AX388" s="2"/>
      <c r="AY388" s="2"/>
      <c r="AZ388" s="1"/>
      <c r="BA388" s="2"/>
      <c r="BB388" s="2"/>
      <c r="BC388" s="2"/>
      <c r="BD388" s="3">
        <v>12056</v>
      </c>
      <c r="BE388" s="1" t="s">
        <v>3531</v>
      </c>
      <c r="BF388" s="4">
        <f>HYPERLINK("http://dx.doi.org/10.1088/1742-6596/1043/1/012056","http://dx.doi.org/10.1088/1742-6596/1043/1/012056")</f>
      </c>
      <c r="BG388" s="1"/>
      <c r="BH388" s="1"/>
      <c r="BI388" s="1"/>
      <c r="BJ388" s="1"/>
      <c r="BK388" s="1"/>
      <c r="BL388" s="1"/>
      <c r="BM388" s="1"/>
      <c r="BN388" s="2"/>
      <c r="BO388" s="1"/>
      <c r="BP388" s="1"/>
      <c r="BQ388" s="1"/>
      <c r="BR388" s="1"/>
      <c r="BS388" s="1" t="s">
        <v>3532</v>
      </c>
      <c r="BT388" s="5">
        <f>HYPERLINK("https%3A%2F%2Fwww.webofscience.com%2Fwos%2Fwoscc%2Ffull-record%2FWOS:000545262900056","View Full Record in Web of Science")</f>
      </c>
    </row>
    <row x14ac:dyDescent="0.25" r="389" customHeight="1" ht="12.75">
      <c r="A389" s="1" t="s">
        <v>267</v>
      </c>
      <c r="B389" s="1" t="s">
        <v>3533</v>
      </c>
      <c r="C389" s="1"/>
      <c r="D389" s="1"/>
      <c r="E389" s="1" t="s">
        <v>370</v>
      </c>
      <c r="F389" s="1" t="s">
        <v>3534</v>
      </c>
      <c r="G389" s="1"/>
      <c r="H389" s="1"/>
      <c r="I389" s="1" t="s">
        <v>3535</v>
      </c>
      <c r="J389" s="1" t="s">
        <v>373</v>
      </c>
      <c r="K389" s="1"/>
      <c r="L389" s="1"/>
      <c r="M389" s="1"/>
      <c r="N389" s="1"/>
      <c r="O389" s="1"/>
      <c r="P389" s="2"/>
      <c r="Q389" s="1"/>
      <c r="R389" s="1"/>
      <c r="S389" s="1"/>
      <c r="T389" s="1"/>
      <c r="U389" s="1"/>
      <c r="V389" s="1" t="s">
        <v>3536</v>
      </c>
      <c r="W389" s="1"/>
      <c r="X389" s="1"/>
      <c r="Y389" s="1"/>
      <c r="Z389" s="1"/>
      <c r="AA389" s="1" t="s">
        <v>3537</v>
      </c>
      <c r="AB389" s="1"/>
      <c r="AC389" s="1"/>
      <c r="AD389" s="1"/>
      <c r="AE389" s="1"/>
      <c r="AF389" s="1"/>
      <c r="AG389" s="1"/>
      <c r="AH389" s="1"/>
      <c r="AI389" s="1"/>
      <c r="AJ389" s="1"/>
      <c r="AK389" s="1"/>
      <c r="AL389" s="1"/>
      <c r="AM389" s="1"/>
      <c r="AN389" s="1"/>
      <c r="AO389" s="1"/>
      <c r="AP389" s="1"/>
      <c r="AQ389" s="1" t="s">
        <v>376</v>
      </c>
      <c r="AR389" s="1"/>
      <c r="AS389" s="1"/>
      <c r="AT389" s="1"/>
      <c r="AU389" s="3">
        <v>2018</v>
      </c>
      <c r="AV389" s="2"/>
      <c r="AW389" s="2"/>
      <c r="AX389" s="2"/>
      <c r="AY389" s="2"/>
      <c r="AZ389" s="1"/>
      <c r="BA389" s="2"/>
      <c r="BB389" s="3">
        <v>169</v>
      </c>
      <c r="BC389" s="3">
        <v>185</v>
      </c>
      <c r="BD389" s="2"/>
      <c r="BE389" s="1"/>
      <c r="BF389" s="1"/>
      <c r="BG389" s="1"/>
      <c r="BH389" s="1"/>
      <c r="BI389" s="1"/>
      <c r="BJ389" s="1"/>
      <c r="BK389" s="1"/>
      <c r="BL389" s="1"/>
      <c r="BM389" s="1"/>
      <c r="BN389" s="2"/>
      <c r="BO389" s="1"/>
      <c r="BP389" s="1"/>
      <c r="BQ389" s="1"/>
      <c r="BR389" s="1"/>
      <c r="BS389" s="1" t="s">
        <v>3538</v>
      </c>
      <c r="BT389" s="5">
        <f>HYPERLINK("https%3A%2F%2Fwww.webofscience.com%2Fwos%2Fwoscc%2Ffull-record%2FWOS:000480327100012","View Full Record in Web of Science")</f>
      </c>
    </row>
    <row x14ac:dyDescent="0.25" r="390" customHeight="1" ht="12.75">
      <c r="A390" s="1" t="s">
        <v>72</v>
      </c>
      <c r="B390" s="1" t="s">
        <v>3539</v>
      </c>
      <c r="C390" s="1"/>
      <c r="D390" s="1"/>
      <c r="E390" s="1"/>
      <c r="F390" s="1" t="s">
        <v>3540</v>
      </c>
      <c r="G390" s="1"/>
      <c r="H390" s="1"/>
      <c r="I390" s="1" t="s">
        <v>3541</v>
      </c>
      <c r="J390" s="1" t="s">
        <v>3542</v>
      </c>
      <c r="K390" s="1"/>
      <c r="L390" s="1"/>
      <c r="M390" s="1"/>
      <c r="N390" s="1"/>
      <c r="O390" s="1"/>
      <c r="P390" s="2"/>
      <c r="Q390" s="1"/>
      <c r="R390" s="1"/>
      <c r="S390" s="1"/>
      <c r="T390" s="1"/>
      <c r="U390" s="1"/>
      <c r="V390" s="1" t="s">
        <v>3543</v>
      </c>
      <c r="W390" s="1"/>
      <c r="X390" s="1"/>
      <c r="Y390" s="1"/>
      <c r="Z390" s="1"/>
      <c r="AA390" s="1" t="s">
        <v>3544</v>
      </c>
      <c r="AB390" s="1" t="s">
        <v>3545</v>
      </c>
      <c r="AC390" s="1"/>
      <c r="AD390" s="1"/>
      <c r="AE390" s="1"/>
      <c r="AF390" s="1"/>
      <c r="AG390" s="1"/>
      <c r="AH390" s="1"/>
      <c r="AI390" s="1"/>
      <c r="AJ390" s="1"/>
      <c r="AK390" s="1"/>
      <c r="AL390" s="1"/>
      <c r="AM390" s="1"/>
      <c r="AN390" s="1"/>
      <c r="AO390" s="1" t="s">
        <v>3546</v>
      </c>
      <c r="AP390" s="1" t="s">
        <v>3547</v>
      </c>
      <c r="AQ390" s="1"/>
      <c r="AR390" s="1"/>
      <c r="AS390" s="1"/>
      <c r="AT390" s="1" t="s">
        <v>137</v>
      </c>
      <c r="AU390" s="3">
        <v>2017</v>
      </c>
      <c r="AV390" s="3">
        <v>101</v>
      </c>
      <c r="AW390" s="2"/>
      <c r="AX390" s="2"/>
      <c r="AY390" s="2"/>
      <c r="AZ390" s="1"/>
      <c r="BA390" s="2"/>
      <c r="BB390" s="3">
        <v>225</v>
      </c>
      <c r="BC390" s="3">
        <v>235</v>
      </c>
      <c r="BD390" s="2"/>
      <c r="BE390" s="1" t="s">
        <v>3548</v>
      </c>
      <c r="BF390" s="4">
        <f>HYPERLINK("http://dx.doi.org/10.1016/j.renene.2016.08.057","http://dx.doi.org/10.1016/j.renene.2016.08.057")</f>
      </c>
      <c r="BG390" s="1"/>
      <c r="BH390" s="1"/>
      <c r="BI390" s="1"/>
      <c r="BJ390" s="1"/>
      <c r="BK390" s="1"/>
      <c r="BL390" s="1"/>
      <c r="BM390" s="1"/>
      <c r="BN390" s="2"/>
      <c r="BO390" s="1"/>
      <c r="BP390" s="1"/>
      <c r="BQ390" s="1"/>
      <c r="BR390" s="1"/>
      <c r="BS390" s="1" t="s">
        <v>3549</v>
      </c>
      <c r="BT390" s="5">
        <f>HYPERLINK("https%3A%2F%2Fwww.webofscience.com%2Fwos%2Fwoscc%2Ffull-record%2FWOS:000388775700022","View Full Record in Web of Science")</f>
      </c>
    </row>
    <row x14ac:dyDescent="0.25" r="391" customHeight="1" ht="12.75">
      <c r="A391" s="1" t="s">
        <v>72</v>
      </c>
      <c r="B391" s="1" t="s">
        <v>3550</v>
      </c>
      <c r="C391" s="1"/>
      <c r="D391" s="1"/>
      <c r="E391" s="1"/>
      <c r="F391" s="1" t="s">
        <v>3551</v>
      </c>
      <c r="G391" s="1"/>
      <c r="H391" s="1"/>
      <c r="I391" s="1" t="s">
        <v>3552</v>
      </c>
      <c r="J391" s="1" t="s">
        <v>3553</v>
      </c>
      <c r="K391" s="1"/>
      <c r="L391" s="1"/>
      <c r="M391" s="1"/>
      <c r="N391" s="1"/>
      <c r="O391" s="1"/>
      <c r="P391" s="2"/>
      <c r="Q391" s="1"/>
      <c r="R391" s="1"/>
      <c r="S391" s="1"/>
      <c r="T391" s="1"/>
      <c r="U391" s="1"/>
      <c r="V391" s="1" t="s">
        <v>3554</v>
      </c>
      <c r="W391" s="1"/>
      <c r="X391" s="1"/>
      <c r="Y391" s="1"/>
      <c r="Z391" s="1"/>
      <c r="AA391" s="1" t="s">
        <v>3555</v>
      </c>
      <c r="AB391" s="1" t="s">
        <v>3556</v>
      </c>
      <c r="AC391" s="1"/>
      <c r="AD391" s="1"/>
      <c r="AE391" s="1"/>
      <c r="AF391" s="1"/>
      <c r="AG391" s="1"/>
      <c r="AH391" s="1"/>
      <c r="AI391" s="1"/>
      <c r="AJ391" s="1"/>
      <c r="AK391" s="1"/>
      <c r="AL391" s="1"/>
      <c r="AM391" s="1"/>
      <c r="AN391" s="1"/>
      <c r="AO391" s="1" t="s">
        <v>3557</v>
      </c>
      <c r="AP391" s="1" t="s">
        <v>3558</v>
      </c>
      <c r="AQ391" s="1"/>
      <c r="AR391" s="1"/>
      <c r="AS391" s="1"/>
      <c r="AT391" s="1"/>
      <c r="AU391" s="3">
        <v>2017</v>
      </c>
      <c r="AV391" s="3">
        <v>20</v>
      </c>
      <c r="AW391" s="2"/>
      <c r="AX391" s="2"/>
      <c r="AY391" s="3">
        <v>2</v>
      </c>
      <c r="AZ391" s="1"/>
      <c r="BA391" s="2"/>
      <c r="BB391" s="3">
        <v>347</v>
      </c>
      <c r="BC391" s="3">
        <v>352</v>
      </c>
      <c r="BD391" s="2"/>
      <c r="BE391" s="1" t="s">
        <v>3559</v>
      </c>
      <c r="BF391" s="4">
        <f>HYPERLINK("http://dx.doi.org/10.1590/1980-5373-MR-2016-1083","http://dx.doi.org/10.1590/1980-5373-MR-2016-1083")</f>
      </c>
      <c r="BG391" s="1"/>
      <c r="BH391" s="1"/>
      <c r="BI391" s="1"/>
      <c r="BJ391" s="1"/>
      <c r="BK391" s="1"/>
      <c r="BL391" s="1"/>
      <c r="BM391" s="1"/>
      <c r="BN391" s="2"/>
      <c r="BO391" s="1"/>
      <c r="BP391" s="1"/>
      <c r="BQ391" s="1"/>
      <c r="BR391" s="1"/>
      <c r="BS391" s="1" t="s">
        <v>3560</v>
      </c>
      <c r="BT391" s="5">
        <f>HYPERLINK("https%3A%2F%2Fwww.webofscience.com%2Fwos%2Fwoscc%2Ffull-record%2FWOS:000430187600053","View Full Record in Web of Science")</f>
      </c>
    </row>
    <row x14ac:dyDescent="0.25" r="392" customHeight="1" ht="12.75">
      <c r="A392" s="1" t="s">
        <v>303</v>
      </c>
      <c r="B392" s="1" t="s">
        <v>3561</v>
      </c>
      <c r="C392" s="1"/>
      <c r="D392" s="1"/>
      <c r="E392" s="1" t="s">
        <v>305</v>
      </c>
      <c r="F392" s="1" t="s">
        <v>3562</v>
      </c>
      <c r="G392" s="1"/>
      <c r="H392" s="1"/>
      <c r="I392" s="1" t="s">
        <v>3563</v>
      </c>
      <c r="J392" s="1" t="s">
        <v>504</v>
      </c>
      <c r="K392" s="1"/>
      <c r="L392" s="1"/>
      <c r="M392" s="1"/>
      <c r="N392" s="1"/>
      <c r="O392" s="1" t="s">
        <v>505</v>
      </c>
      <c r="P392" s="2" t="s">
        <v>506</v>
      </c>
      <c r="Q392" s="1" t="s">
        <v>507</v>
      </c>
      <c r="R392" s="1" t="s">
        <v>508</v>
      </c>
      <c r="S392" s="1"/>
      <c r="T392" s="1"/>
      <c r="U392" s="1"/>
      <c r="V392" s="1" t="s">
        <v>3564</v>
      </c>
      <c r="W392" s="1"/>
      <c r="X392" s="1"/>
      <c r="Y392" s="1"/>
      <c r="Z392" s="1"/>
      <c r="AA392" s="1" t="s">
        <v>1143</v>
      </c>
      <c r="AB392" s="1" t="s">
        <v>511</v>
      </c>
      <c r="AC392" s="1"/>
      <c r="AD392" s="1"/>
      <c r="AE392" s="1"/>
      <c r="AF392" s="1"/>
      <c r="AG392" s="1"/>
      <c r="AH392" s="1"/>
      <c r="AI392" s="1"/>
      <c r="AJ392" s="1"/>
      <c r="AK392" s="1"/>
      <c r="AL392" s="1"/>
      <c r="AM392" s="1"/>
      <c r="AN392" s="1"/>
      <c r="AO392" s="1"/>
      <c r="AP392" s="1"/>
      <c r="AQ392" s="1" t="s">
        <v>512</v>
      </c>
      <c r="AR392" s="1"/>
      <c r="AS392" s="1"/>
      <c r="AT392" s="1"/>
      <c r="AU392" s="3">
        <v>2017</v>
      </c>
      <c r="AV392" s="2"/>
      <c r="AW392" s="2"/>
      <c r="AX392" s="2"/>
      <c r="AY392" s="2"/>
      <c r="AZ392" s="1"/>
      <c r="BA392" s="2"/>
      <c r="BB392" s="3">
        <v>40</v>
      </c>
      <c r="BC392" s="3">
        <v>45</v>
      </c>
      <c r="BD392" s="2"/>
      <c r="BE392" s="1"/>
      <c r="BF392" s="1"/>
      <c r="BG392" s="1"/>
      <c r="BH392" s="1"/>
      <c r="BI392" s="1"/>
      <c r="BJ392" s="1"/>
      <c r="BK392" s="1"/>
      <c r="BL392" s="1"/>
      <c r="BM392" s="1"/>
      <c r="BN392" s="2"/>
      <c r="BO392" s="1"/>
      <c r="BP392" s="1"/>
      <c r="BQ392" s="1"/>
      <c r="BR392" s="1"/>
      <c r="BS392" s="1" t="s">
        <v>3565</v>
      </c>
      <c r="BT392" s="5">
        <f>HYPERLINK("https%3A%2F%2Fwww.webofscience.com%2Fwos%2Fwoscc%2Ffull-record%2FWOS:000428142700012","View Full Record in Web of Science")</f>
      </c>
    </row>
    <row x14ac:dyDescent="0.25" r="393" customHeight="1" ht="12.75">
      <c r="A393" s="1" t="s">
        <v>72</v>
      </c>
      <c r="B393" s="1" t="s">
        <v>3566</v>
      </c>
      <c r="C393" s="1"/>
      <c r="D393" s="1"/>
      <c r="E393" s="1"/>
      <c r="F393" s="1" t="s">
        <v>3567</v>
      </c>
      <c r="G393" s="1"/>
      <c r="H393" s="1"/>
      <c r="I393" s="1" t="s">
        <v>3568</v>
      </c>
      <c r="J393" s="1" t="s">
        <v>3569</v>
      </c>
      <c r="K393" s="1"/>
      <c r="L393" s="1"/>
      <c r="M393" s="1"/>
      <c r="N393" s="1"/>
      <c r="O393" s="1"/>
      <c r="P393" s="2"/>
      <c r="Q393" s="1"/>
      <c r="R393" s="1"/>
      <c r="S393" s="1"/>
      <c r="T393" s="1"/>
      <c r="U393" s="1"/>
      <c r="V393" s="1" t="s">
        <v>3570</v>
      </c>
      <c r="W393" s="1"/>
      <c r="X393" s="1"/>
      <c r="Y393" s="1"/>
      <c r="Z393" s="1"/>
      <c r="AA393" s="1" t="s">
        <v>3571</v>
      </c>
      <c r="AB393" s="1" t="s">
        <v>3572</v>
      </c>
      <c r="AC393" s="1"/>
      <c r="AD393" s="1"/>
      <c r="AE393" s="1"/>
      <c r="AF393" s="1"/>
      <c r="AG393" s="1"/>
      <c r="AH393" s="1"/>
      <c r="AI393" s="1"/>
      <c r="AJ393" s="1"/>
      <c r="AK393" s="1"/>
      <c r="AL393" s="1"/>
      <c r="AM393" s="1"/>
      <c r="AN393" s="1"/>
      <c r="AO393" s="1" t="s">
        <v>3573</v>
      </c>
      <c r="AP393" s="1" t="s">
        <v>3574</v>
      </c>
      <c r="AQ393" s="1"/>
      <c r="AR393" s="1"/>
      <c r="AS393" s="1"/>
      <c r="AT393" s="1" t="s">
        <v>204</v>
      </c>
      <c r="AU393" s="3">
        <v>2016</v>
      </c>
      <c r="AV393" s="3">
        <v>10</v>
      </c>
      <c r="AW393" s="3">
        <v>4</v>
      </c>
      <c r="AX393" s="2"/>
      <c r="AY393" s="2"/>
      <c r="AZ393" s="1"/>
      <c r="BA393" s="2"/>
      <c r="BB393" s="3">
        <v>375</v>
      </c>
      <c r="BC393" s="3">
        <v>384</v>
      </c>
      <c r="BD393" s="2"/>
      <c r="BE393" s="1" t="s">
        <v>3575</v>
      </c>
      <c r="BF393" s="4">
        <f>HYPERLINK("http://dx.doi.org/10.1007/s11706-016-0360-x","http://dx.doi.org/10.1007/s11706-016-0360-x")</f>
      </c>
      <c r="BG393" s="1"/>
      <c r="BH393" s="1"/>
      <c r="BI393" s="1"/>
      <c r="BJ393" s="1"/>
      <c r="BK393" s="1"/>
      <c r="BL393" s="1"/>
      <c r="BM393" s="1"/>
      <c r="BN393" s="2"/>
      <c r="BO393" s="1"/>
      <c r="BP393" s="1"/>
      <c r="BQ393" s="1"/>
      <c r="BR393" s="1"/>
      <c r="BS393" s="1" t="s">
        <v>3576</v>
      </c>
      <c r="BT393" s="5">
        <f>HYPERLINK("https%3A%2F%2Fwww.webofscience.com%2Fwos%2Fwoscc%2Ffull-record%2FWOS:000402681000005","View Full Record in Web of Science")</f>
      </c>
    </row>
    <row x14ac:dyDescent="0.25" r="394" customHeight="1" ht="12.75">
      <c r="A394" s="1" t="s">
        <v>72</v>
      </c>
      <c r="B394" s="1" t="s">
        <v>816</v>
      </c>
      <c r="C394" s="1"/>
      <c r="D394" s="1"/>
      <c r="E394" s="1"/>
      <c r="F394" s="1" t="s">
        <v>3277</v>
      </c>
      <c r="G394" s="1"/>
      <c r="H394" s="1"/>
      <c r="I394" s="1" t="s">
        <v>3577</v>
      </c>
      <c r="J394" s="1" t="s">
        <v>3578</v>
      </c>
      <c r="K394" s="1"/>
      <c r="L394" s="1"/>
      <c r="M394" s="1"/>
      <c r="N394" s="1"/>
      <c r="O394" s="1"/>
      <c r="P394" s="2"/>
      <c r="Q394" s="1"/>
      <c r="R394" s="1"/>
      <c r="S394" s="1"/>
      <c r="T394" s="1"/>
      <c r="U394" s="1"/>
      <c r="V394" s="1" t="s">
        <v>3579</v>
      </c>
      <c r="W394" s="1"/>
      <c r="X394" s="1"/>
      <c r="Y394" s="1"/>
      <c r="Z394" s="1"/>
      <c r="AA394" s="1" t="s">
        <v>820</v>
      </c>
      <c r="AB394" s="1" t="s">
        <v>821</v>
      </c>
      <c r="AC394" s="1"/>
      <c r="AD394" s="1"/>
      <c r="AE394" s="1"/>
      <c r="AF394" s="1"/>
      <c r="AG394" s="1"/>
      <c r="AH394" s="1"/>
      <c r="AI394" s="1"/>
      <c r="AJ394" s="1"/>
      <c r="AK394" s="1"/>
      <c r="AL394" s="1"/>
      <c r="AM394" s="1"/>
      <c r="AN394" s="1"/>
      <c r="AO394" s="1" t="s">
        <v>3580</v>
      </c>
      <c r="AP394" s="1" t="s">
        <v>3581</v>
      </c>
      <c r="AQ394" s="1"/>
      <c r="AR394" s="1"/>
      <c r="AS394" s="1"/>
      <c r="AT394" s="1" t="s">
        <v>683</v>
      </c>
      <c r="AU394" s="3">
        <v>2016</v>
      </c>
      <c r="AV394" s="3">
        <v>43</v>
      </c>
      <c r="AW394" s="3">
        <v>3</v>
      </c>
      <c r="AX394" s="2"/>
      <c r="AY394" s="2"/>
      <c r="AZ394" s="1"/>
      <c r="BA394" s="2"/>
      <c r="BB394" s="3">
        <v>15</v>
      </c>
      <c r="BC394" s="3">
        <v>30</v>
      </c>
      <c r="BD394" s="2"/>
      <c r="BE394" s="1" t="s">
        <v>3582</v>
      </c>
      <c r="BF394" s="4">
        <f>HYPERLINK("http://dx.doi.org/10.1177/0094582X15623771","http://dx.doi.org/10.1177/0094582X15623771")</f>
      </c>
      <c r="BG394" s="1"/>
      <c r="BH394" s="1"/>
      <c r="BI394" s="1"/>
      <c r="BJ394" s="1"/>
      <c r="BK394" s="1"/>
      <c r="BL394" s="1"/>
      <c r="BM394" s="1"/>
      <c r="BN394" s="2"/>
      <c r="BO394" s="1"/>
      <c r="BP394" s="1"/>
      <c r="BQ394" s="1"/>
      <c r="BR394" s="1"/>
      <c r="BS394" s="1" t="s">
        <v>3583</v>
      </c>
      <c r="BT394" s="5">
        <f>HYPERLINK("https%3A%2F%2Fwww.webofscience.com%2Fwos%2Fwoscc%2Ffull-record%2FWOS:000374416600002","View Full Record in Web of Science")</f>
      </c>
    </row>
    <row x14ac:dyDescent="0.25" r="395" customHeight="1" ht="12.75">
      <c r="A395" s="1" t="s">
        <v>303</v>
      </c>
      <c r="B395" s="1" t="s">
        <v>3584</v>
      </c>
      <c r="C395" s="1"/>
      <c r="D395" s="1"/>
      <c r="E395" s="1" t="s">
        <v>660</v>
      </c>
      <c r="F395" s="1" t="s">
        <v>3585</v>
      </c>
      <c r="G395" s="1"/>
      <c r="H395" s="1"/>
      <c r="I395" s="1" t="s">
        <v>3586</v>
      </c>
      <c r="J395" s="1" t="s">
        <v>3587</v>
      </c>
      <c r="K395" s="1"/>
      <c r="L395" s="1"/>
      <c r="M395" s="1"/>
      <c r="N395" s="1"/>
      <c r="O395" s="1" t="s">
        <v>3588</v>
      </c>
      <c r="P395" s="2" t="s">
        <v>3589</v>
      </c>
      <c r="Q395" s="1" t="s">
        <v>3590</v>
      </c>
      <c r="R395" s="1" t="s">
        <v>3591</v>
      </c>
      <c r="S395" s="1"/>
      <c r="T395" s="1"/>
      <c r="U395" s="1"/>
      <c r="V395" s="1" t="s">
        <v>3592</v>
      </c>
      <c r="W395" s="1"/>
      <c r="X395" s="1"/>
      <c r="Y395" s="1"/>
      <c r="Z395" s="1"/>
      <c r="AA395" s="1"/>
      <c r="AB395" s="1" t="s">
        <v>3593</v>
      </c>
      <c r="AC395" s="1"/>
      <c r="AD395" s="1"/>
      <c r="AE395" s="1"/>
      <c r="AF395" s="1"/>
      <c r="AG395" s="1"/>
      <c r="AH395" s="1"/>
      <c r="AI395" s="1"/>
      <c r="AJ395" s="1"/>
      <c r="AK395" s="1"/>
      <c r="AL395" s="1"/>
      <c r="AM395" s="1"/>
      <c r="AN395" s="1"/>
      <c r="AO395" s="1"/>
      <c r="AP395" s="1"/>
      <c r="AQ395" s="1" t="s">
        <v>3594</v>
      </c>
      <c r="AR395" s="1"/>
      <c r="AS395" s="1"/>
      <c r="AT395" s="1"/>
      <c r="AU395" s="3">
        <v>2016</v>
      </c>
      <c r="AV395" s="2"/>
      <c r="AW395" s="2"/>
      <c r="AX395" s="2"/>
      <c r="AY395" s="2"/>
      <c r="AZ395" s="1"/>
      <c r="BA395" s="2"/>
      <c r="BB395" s="3">
        <v>269</v>
      </c>
      <c r="BC395" s="3">
        <v>272</v>
      </c>
      <c r="BD395" s="2"/>
      <c r="BE395" s="1" t="s">
        <v>3595</v>
      </c>
      <c r="BF395" s="4">
        <f>HYPERLINK("http://dx.doi.org/10.1145/2854946.2854998","http://dx.doi.org/10.1145/2854946.2854998")</f>
      </c>
      <c r="BG395" s="1"/>
      <c r="BH395" s="1"/>
      <c r="BI395" s="1"/>
      <c r="BJ395" s="1"/>
      <c r="BK395" s="1"/>
      <c r="BL395" s="1"/>
      <c r="BM395" s="1"/>
      <c r="BN395" s="2"/>
      <c r="BO395" s="1"/>
      <c r="BP395" s="1"/>
      <c r="BQ395" s="1"/>
      <c r="BR395" s="1"/>
      <c r="BS395" s="1" t="s">
        <v>3596</v>
      </c>
      <c r="BT395" s="5">
        <f>HYPERLINK("https%3A%2F%2Fwww.webofscience.com%2Fwos%2Fwoscc%2Ffull-record%2FWOS:000389808700035","View Full Record in Web of Science")</f>
      </c>
    </row>
    <row x14ac:dyDescent="0.25" r="396" customHeight="1" ht="12.75">
      <c r="A396" s="1" t="s">
        <v>303</v>
      </c>
      <c r="B396" s="1" t="s">
        <v>3597</v>
      </c>
      <c r="C396" s="1"/>
      <c r="D396" s="1" t="s">
        <v>3598</v>
      </c>
      <c r="E396" s="1"/>
      <c r="F396" s="1" t="s">
        <v>3599</v>
      </c>
      <c r="G396" s="1"/>
      <c r="H396" s="1"/>
      <c r="I396" s="1" t="s">
        <v>3600</v>
      </c>
      <c r="J396" s="1" t="s">
        <v>3601</v>
      </c>
      <c r="K396" s="1" t="s">
        <v>3602</v>
      </c>
      <c r="L396" s="1"/>
      <c r="M396" s="1"/>
      <c r="N396" s="1"/>
      <c r="O396" s="1" t="s">
        <v>3603</v>
      </c>
      <c r="P396" s="2" t="s">
        <v>3604</v>
      </c>
      <c r="Q396" s="1" t="s">
        <v>3605</v>
      </c>
      <c r="R396" s="1" t="s">
        <v>3606</v>
      </c>
      <c r="S396" s="1" t="s">
        <v>3607</v>
      </c>
      <c r="T396" s="1"/>
      <c r="U396" s="1"/>
      <c r="V396" s="1" t="s">
        <v>3608</v>
      </c>
      <c r="W396" s="1"/>
      <c r="X396" s="1"/>
      <c r="Y396" s="1"/>
      <c r="Z396" s="1"/>
      <c r="AA396" s="1"/>
      <c r="AB396" s="1"/>
      <c r="AC396" s="1"/>
      <c r="AD396" s="1"/>
      <c r="AE396" s="1"/>
      <c r="AF396" s="1"/>
      <c r="AG396" s="1"/>
      <c r="AH396" s="1"/>
      <c r="AI396" s="1"/>
      <c r="AJ396" s="1"/>
      <c r="AK396" s="1"/>
      <c r="AL396" s="1"/>
      <c r="AM396" s="1"/>
      <c r="AN396" s="1"/>
      <c r="AO396" s="1" t="s">
        <v>3609</v>
      </c>
      <c r="AP396" s="1"/>
      <c r="AQ396" s="1" t="s">
        <v>3610</v>
      </c>
      <c r="AR396" s="1"/>
      <c r="AS396" s="1"/>
      <c r="AT396" s="1"/>
      <c r="AU396" s="3">
        <v>2016</v>
      </c>
      <c r="AV396" s="2"/>
      <c r="AW396" s="2"/>
      <c r="AX396" s="2"/>
      <c r="AY396" s="2"/>
      <c r="AZ396" s="1"/>
      <c r="BA396" s="2"/>
      <c r="BB396" s="3">
        <v>357</v>
      </c>
      <c r="BC396" s="3">
        <v>364</v>
      </c>
      <c r="BD396" s="2"/>
      <c r="BE396" s="1"/>
      <c r="BF396" s="1"/>
      <c r="BG396" s="1"/>
      <c r="BH396" s="1"/>
      <c r="BI396" s="1"/>
      <c r="BJ396" s="1"/>
      <c r="BK396" s="1"/>
      <c r="BL396" s="1"/>
      <c r="BM396" s="1"/>
      <c r="BN396" s="2"/>
      <c r="BO396" s="1"/>
      <c r="BP396" s="1"/>
      <c r="BQ396" s="1"/>
      <c r="BR396" s="1"/>
      <c r="BS396" s="1" t="s">
        <v>3611</v>
      </c>
      <c r="BT396" s="5">
        <f>HYPERLINK("https%3A%2F%2Fwww.webofscience.com%2Fwos%2Fwoscc%2Ffull-record%2FWOS:000400299900043","View Full Record in Web of Science")</f>
      </c>
    </row>
    <row x14ac:dyDescent="0.25" r="397" customHeight="1" ht="12.75">
      <c r="A397" s="1" t="s">
        <v>303</v>
      </c>
      <c r="B397" s="1" t="s">
        <v>3612</v>
      </c>
      <c r="C397" s="1"/>
      <c r="D397" s="1" t="s">
        <v>3613</v>
      </c>
      <c r="E397" s="1"/>
      <c r="F397" s="1" t="s">
        <v>3614</v>
      </c>
      <c r="G397" s="1"/>
      <c r="H397" s="1"/>
      <c r="I397" s="1" t="s">
        <v>3615</v>
      </c>
      <c r="J397" s="1" t="s">
        <v>3616</v>
      </c>
      <c r="K397" s="1" t="s">
        <v>3617</v>
      </c>
      <c r="L397" s="1"/>
      <c r="M397" s="1"/>
      <c r="N397" s="1"/>
      <c r="O397" s="1" t="s">
        <v>3618</v>
      </c>
      <c r="P397" s="2" t="s">
        <v>3619</v>
      </c>
      <c r="Q397" s="1" t="s">
        <v>3620</v>
      </c>
      <c r="R397" s="1"/>
      <c r="S397" s="1"/>
      <c r="T397" s="1"/>
      <c r="U397" s="1"/>
      <c r="V397" s="1" t="s">
        <v>3621</v>
      </c>
      <c r="W397" s="1"/>
      <c r="X397" s="1"/>
      <c r="Y397" s="1"/>
      <c r="Z397" s="1"/>
      <c r="AA397" s="1" t="s">
        <v>3622</v>
      </c>
      <c r="AB397" s="1" t="s">
        <v>3623</v>
      </c>
      <c r="AC397" s="1"/>
      <c r="AD397" s="1"/>
      <c r="AE397" s="1"/>
      <c r="AF397" s="1"/>
      <c r="AG397" s="1"/>
      <c r="AH397" s="1"/>
      <c r="AI397" s="1"/>
      <c r="AJ397" s="1"/>
      <c r="AK397" s="1"/>
      <c r="AL397" s="1"/>
      <c r="AM397" s="1"/>
      <c r="AN397" s="1"/>
      <c r="AO397" s="1" t="s">
        <v>3108</v>
      </c>
      <c r="AP397" s="1" t="s">
        <v>1054</v>
      </c>
      <c r="AQ397" s="1" t="s">
        <v>3624</v>
      </c>
      <c r="AR397" s="1"/>
      <c r="AS397" s="1"/>
      <c r="AT397" s="1"/>
      <c r="AU397" s="3">
        <v>2016</v>
      </c>
      <c r="AV397" s="3">
        <v>9847</v>
      </c>
      <c r="AW397" s="2"/>
      <c r="AX397" s="2"/>
      <c r="AY397" s="2"/>
      <c r="AZ397" s="1"/>
      <c r="BA397" s="2"/>
      <c r="BB397" s="3">
        <v>201</v>
      </c>
      <c r="BC397" s="3">
        <v>212</v>
      </c>
      <c r="BD397" s="2"/>
      <c r="BE397" s="1" t="s">
        <v>3625</v>
      </c>
      <c r="BF397" s="4">
        <f>HYPERLINK("http://dx.doi.org/10.1007/978-3-319-44215-0_16","http://dx.doi.org/10.1007/978-3-319-44215-0_16")</f>
      </c>
      <c r="BG397" s="1"/>
      <c r="BH397" s="1"/>
      <c r="BI397" s="1"/>
      <c r="BJ397" s="1"/>
      <c r="BK397" s="1"/>
      <c r="BL397" s="1"/>
      <c r="BM397" s="1"/>
      <c r="BN397" s="2"/>
      <c r="BO397" s="1"/>
      <c r="BP397" s="1"/>
      <c r="BQ397" s="1"/>
      <c r="BR397" s="1"/>
      <c r="BS397" s="1" t="s">
        <v>3626</v>
      </c>
      <c r="BT397" s="5">
        <f>HYPERLINK("https%3A%2F%2Fwww.webofscience.com%2Fwos%2Fwoscc%2Ffull-record%2FWOS:000388793100016","View Full Record in Web of Science")</f>
      </c>
    </row>
    <row x14ac:dyDescent="0.25" r="398" customHeight="1" ht="12.75">
      <c r="A398" s="1" t="s">
        <v>72</v>
      </c>
      <c r="B398" s="1" t="s">
        <v>2158</v>
      </c>
      <c r="C398" s="1"/>
      <c r="D398" s="1"/>
      <c r="E398" s="1"/>
      <c r="F398" s="1" t="s">
        <v>2160</v>
      </c>
      <c r="G398" s="1"/>
      <c r="H398" s="1"/>
      <c r="I398" s="1" t="s">
        <v>3627</v>
      </c>
      <c r="J398" s="1" t="s">
        <v>3628</v>
      </c>
      <c r="K398" s="1"/>
      <c r="L398" s="1"/>
      <c r="M398" s="1"/>
      <c r="N398" s="1"/>
      <c r="O398" s="1"/>
      <c r="P398" s="2"/>
      <c r="Q398" s="1"/>
      <c r="R398" s="1"/>
      <c r="S398" s="1"/>
      <c r="T398" s="1"/>
      <c r="U398" s="1"/>
      <c r="V398" s="1" t="s">
        <v>3629</v>
      </c>
      <c r="W398" s="1"/>
      <c r="X398" s="1"/>
      <c r="Y398" s="1"/>
      <c r="Z398" s="1"/>
      <c r="AA398" s="1" t="s">
        <v>450</v>
      </c>
      <c r="AB398" s="1"/>
      <c r="AC398" s="1"/>
      <c r="AD398" s="1"/>
      <c r="AE398" s="1"/>
      <c r="AF398" s="1"/>
      <c r="AG398" s="1"/>
      <c r="AH398" s="1"/>
      <c r="AI398" s="1"/>
      <c r="AJ398" s="1"/>
      <c r="AK398" s="1"/>
      <c r="AL398" s="1"/>
      <c r="AM398" s="1"/>
      <c r="AN398" s="1"/>
      <c r="AO398" s="1" t="s">
        <v>3630</v>
      </c>
      <c r="AP398" s="1"/>
      <c r="AQ398" s="1"/>
      <c r="AR398" s="1"/>
      <c r="AS398" s="1"/>
      <c r="AT398" s="1" t="s">
        <v>204</v>
      </c>
      <c r="AU398" s="3">
        <v>2015</v>
      </c>
      <c r="AV398" s="3">
        <v>42</v>
      </c>
      <c r="AW398" s="3">
        <v>2</v>
      </c>
      <c r="AX398" s="2"/>
      <c r="AY398" s="2"/>
      <c r="AZ398" s="1"/>
      <c r="BA398" s="2"/>
      <c r="BB398" s="3">
        <v>17</v>
      </c>
      <c r="BC398" s="3">
        <v>43</v>
      </c>
      <c r="BD398" s="2"/>
      <c r="BE398" s="1"/>
      <c r="BF398" s="1"/>
      <c r="BG398" s="1"/>
      <c r="BH398" s="1"/>
      <c r="BI398" s="1"/>
      <c r="BJ398" s="1"/>
      <c r="BK398" s="1"/>
      <c r="BL398" s="1"/>
      <c r="BM398" s="1"/>
      <c r="BN398" s="2"/>
      <c r="BO398" s="1"/>
      <c r="BP398" s="1"/>
      <c r="BQ398" s="1"/>
      <c r="BR398" s="1"/>
      <c r="BS398" s="1" t="s">
        <v>3631</v>
      </c>
      <c r="BT398" s="5">
        <f>HYPERLINK("https%3A%2F%2Fwww.webofscience.com%2Fwos%2Fwoscc%2Ffull-record%2FWOS:000365929200002","View Full Record in Web of Science")</f>
      </c>
    </row>
    <row x14ac:dyDescent="0.25" r="399" customHeight="1" ht="12.75">
      <c r="A399" s="1" t="s">
        <v>72</v>
      </c>
      <c r="B399" s="1" t="s">
        <v>562</v>
      </c>
      <c r="C399" s="1"/>
      <c r="D399" s="1"/>
      <c r="E399" s="1"/>
      <c r="F399" s="1" t="s">
        <v>563</v>
      </c>
      <c r="G399" s="1"/>
      <c r="H399" s="1"/>
      <c r="I399" s="1" t="s">
        <v>3632</v>
      </c>
      <c r="J399" s="1" t="s">
        <v>3633</v>
      </c>
      <c r="K399" s="1"/>
      <c r="L399" s="1"/>
      <c r="M399" s="1"/>
      <c r="N399" s="1"/>
      <c r="O399" s="1"/>
      <c r="P399" s="2"/>
      <c r="Q399" s="1"/>
      <c r="R399" s="1"/>
      <c r="S399" s="1"/>
      <c r="T399" s="1"/>
      <c r="U399" s="1"/>
      <c r="V399" s="1" t="s">
        <v>3634</v>
      </c>
      <c r="W399" s="1"/>
      <c r="X399" s="1"/>
      <c r="Y399" s="1"/>
      <c r="Z399" s="1"/>
      <c r="AA399" s="1"/>
      <c r="AB399" s="1"/>
      <c r="AC399" s="1"/>
      <c r="AD399" s="1"/>
      <c r="AE399" s="1"/>
      <c r="AF399" s="1"/>
      <c r="AG399" s="1"/>
      <c r="AH399" s="1"/>
      <c r="AI399" s="1"/>
      <c r="AJ399" s="1"/>
      <c r="AK399" s="1"/>
      <c r="AL399" s="1"/>
      <c r="AM399" s="1"/>
      <c r="AN399" s="1"/>
      <c r="AO399" s="1" t="s">
        <v>3635</v>
      </c>
      <c r="AP399" s="1"/>
      <c r="AQ399" s="1"/>
      <c r="AR399" s="1"/>
      <c r="AS399" s="1"/>
      <c r="AT399" s="1" t="s">
        <v>265</v>
      </c>
      <c r="AU399" s="3">
        <v>2015</v>
      </c>
      <c r="AV399" s="2"/>
      <c r="AW399" s="3">
        <v>35</v>
      </c>
      <c r="AX399" s="2"/>
      <c r="AY399" s="2"/>
      <c r="AZ399" s="1"/>
      <c r="BA399" s="2"/>
      <c r="BB399" s="2"/>
      <c r="BC399" s="2"/>
      <c r="BD399" s="2"/>
      <c r="BE399" s="1"/>
      <c r="BF399" s="1"/>
      <c r="BG399" s="1"/>
      <c r="BH399" s="1"/>
      <c r="BI399" s="1"/>
      <c r="BJ399" s="1"/>
      <c r="BK399" s="1"/>
      <c r="BL399" s="1"/>
      <c r="BM399" s="1"/>
      <c r="BN399" s="2"/>
      <c r="BO399" s="1"/>
      <c r="BP399" s="1"/>
      <c r="BQ399" s="1"/>
      <c r="BR399" s="1"/>
      <c r="BS399" s="1" t="s">
        <v>3636</v>
      </c>
      <c r="BT399" s="5">
        <f>HYPERLINK("https%3A%2F%2Fwww.webofscience.com%2Fwos%2Fwoscc%2Ffull-record%2FWOS:000359277500009","View Full Record in Web of Science")</f>
      </c>
    </row>
    <row x14ac:dyDescent="0.25" r="400" customHeight="1" ht="12.75">
      <c r="A400" s="1" t="s">
        <v>778</v>
      </c>
      <c r="B400" s="1" t="s">
        <v>3637</v>
      </c>
      <c r="C400" s="1"/>
      <c r="D400" s="1" t="s">
        <v>3638</v>
      </c>
      <c r="E400" s="1"/>
      <c r="F400" s="1" t="s">
        <v>3639</v>
      </c>
      <c r="G400" s="1"/>
      <c r="H400" s="1"/>
      <c r="I400" s="1" t="s">
        <v>3640</v>
      </c>
      <c r="J400" s="1" t="s">
        <v>3641</v>
      </c>
      <c r="K400" s="1" t="s">
        <v>3642</v>
      </c>
      <c r="L400" s="1"/>
      <c r="M400" s="1"/>
      <c r="N400" s="1"/>
      <c r="O400" s="1"/>
      <c r="P400" s="2"/>
      <c r="Q400" s="1"/>
      <c r="R400" s="1"/>
      <c r="S400" s="1"/>
      <c r="T400" s="1"/>
      <c r="U400" s="1"/>
      <c r="V400" s="1"/>
      <c r="W400" s="1"/>
      <c r="X400" s="1"/>
      <c r="Y400" s="1"/>
      <c r="Z400" s="1"/>
      <c r="AA400" s="1"/>
      <c r="AB400" s="1" t="s">
        <v>3643</v>
      </c>
      <c r="AC400" s="1"/>
      <c r="AD400" s="1"/>
      <c r="AE400" s="1"/>
      <c r="AF400" s="1"/>
      <c r="AG400" s="1"/>
      <c r="AH400" s="1"/>
      <c r="AI400" s="1"/>
      <c r="AJ400" s="1"/>
      <c r="AK400" s="1"/>
      <c r="AL400" s="1"/>
      <c r="AM400" s="1"/>
      <c r="AN400" s="1"/>
      <c r="AO400" s="1" t="s">
        <v>3644</v>
      </c>
      <c r="AP400" s="1"/>
      <c r="AQ400" s="1" t="s">
        <v>3645</v>
      </c>
      <c r="AR400" s="1"/>
      <c r="AS400" s="1"/>
      <c r="AT400" s="1"/>
      <c r="AU400" s="3">
        <v>2015</v>
      </c>
      <c r="AV400" s="3">
        <v>66</v>
      </c>
      <c r="AW400" s="2"/>
      <c r="AX400" s="2"/>
      <c r="AY400" s="2"/>
      <c r="AZ400" s="1"/>
      <c r="BA400" s="2"/>
      <c r="BB400" s="3">
        <v>1059</v>
      </c>
      <c r="BC400" s="3">
        <v>1094</v>
      </c>
      <c r="BD400" s="2"/>
      <c r="BE400" s="1" t="s">
        <v>3646</v>
      </c>
      <c r="BF400" s="4">
        <f>HYPERLINK("http://dx.doi.org/10.1016/B978-1-78242-028-6.00035-1","http://dx.doi.org/10.1016/B978-1-78242-028-6.00035-1")</f>
      </c>
      <c r="BG400" s="1"/>
      <c r="BH400" s="1"/>
      <c r="BI400" s="1"/>
      <c r="BJ400" s="1"/>
      <c r="BK400" s="1"/>
      <c r="BL400" s="1"/>
      <c r="BM400" s="1"/>
      <c r="BN400" s="2"/>
      <c r="BO400" s="1"/>
      <c r="BP400" s="1"/>
      <c r="BQ400" s="1"/>
      <c r="BR400" s="1"/>
      <c r="BS400" s="1" t="s">
        <v>3647</v>
      </c>
      <c r="BT400" s="5">
        <f>HYPERLINK("https%3A%2F%2Fwww.webofscience.com%2Fwos%2Fwoscc%2Ffull-record%2FWOS:000403083400035","View Full Record in Web of Science")</f>
      </c>
    </row>
    <row x14ac:dyDescent="0.25" r="401" customHeight="1" ht="12.75">
      <c r="A401" s="1" t="s">
        <v>72</v>
      </c>
      <c r="B401" s="1" t="s">
        <v>3648</v>
      </c>
      <c r="C401" s="1"/>
      <c r="D401" s="1"/>
      <c r="E401" s="1"/>
      <c r="F401" s="1" t="s">
        <v>3649</v>
      </c>
      <c r="G401" s="1"/>
      <c r="H401" s="1"/>
      <c r="I401" s="1" t="s">
        <v>3650</v>
      </c>
      <c r="J401" s="1" t="s">
        <v>3651</v>
      </c>
      <c r="K401" s="1"/>
      <c r="L401" s="1"/>
      <c r="M401" s="1"/>
      <c r="N401" s="1"/>
      <c r="O401" s="1"/>
      <c r="P401" s="2"/>
      <c r="Q401" s="1"/>
      <c r="R401" s="1"/>
      <c r="S401" s="1"/>
      <c r="T401" s="1"/>
      <c r="U401" s="1"/>
      <c r="V401" s="1" t="s">
        <v>3652</v>
      </c>
      <c r="W401" s="1"/>
      <c r="X401" s="1"/>
      <c r="Y401" s="1"/>
      <c r="Z401" s="1"/>
      <c r="AA401" s="1"/>
      <c r="AB401" s="1"/>
      <c r="AC401" s="1"/>
      <c r="AD401" s="1"/>
      <c r="AE401" s="1"/>
      <c r="AF401" s="1"/>
      <c r="AG401" s="1"/>
      <c r="AH401" s="1"/>
      <c r="AI401" s="1"/>
      <c r="AJ401" s="1"/>
      <c r="AK401" s="1"/>
      <c r="AL401" s="1"/>
      <c r="AM401" s="1"/>
      <c r="AN401" s="1"/>
      <c r="AO401" s="1" t="s">
        <v>3653</v>
      </c>
      <c r="AP401" s="1"/>
      <c r="AQ401" s="1"/>
      <c r="AR401" s="1"/>
      <c r="AS401" s="1"/>
      <c r="AT401" s="1" t="s">
        <v>3654</v>
      </c>
      <c r="AU401" s="3">
        <v>2014</v>
      </c>
      <c r="AV401" s="3">
        <v>21</v>
      </c>
      <c r="AW401" s="3">
        <v>66</v>
      </c>
      <c r="AX401" s="2"/>
      <c r="AY401" s="2"/>
      <c r="AZ401" s="1"/>
      <c r="BA401" s="2"/>
      <c r="BB401" s="3">
        <v>179</v>
      </c>
      <c r="BC401" s="3">
        <v>202</v>
      </c>
      <c r="BD401" s="2"/>
      <c r="BE401" s="1"/>
      <c r="BF401" s="1"/>
      <c r="BG401" s="1"/>
      <c r="BH401" s="1"/>
      <c r="BI401" s="1"/>
      <c r="BJ401" s="1"/>
      <c r="BK401" s="1"/>
      <c r="BL401" s="1"/>
      <c r="BM401" s="1"/>
      <c r="BN401" s="2"/>
      <c r="BO401" s="1"/>
      <c r="BP401" s="1"/>
      <c r="BQ401" s="1"/>
      <c r="BR401" s="1"/>
      <c r="BS401" s="1" t="s">
        <v>3655</v>
      </c>
      <c r="BT401" s="5">
        <f>HYPERLINK("https%3A%2F%2Fwww.webofscience.com%2Fwos%2Fwoscc%2Ffull-record%2FWOS:000342962000007","View Full Record in Web of Science")</f>
      </c>
    </row>
    <row x14ac:dyDescent="0.25" r="402" customHeight="1" ht="12.75">
      <c r="A402" s="1" t="s">
        <v>72</v>
      </c>
      <c r="B402" s="1" t="s">
        <v>2264</v>
      </c>
      <c r="C402" s="1"/>
      <c r="D402" s="1"/>
      <c r="E402" s="1"/>
      <c r="F402" s="1" t="s">
        <v>2265</v>
      </c>
      <c r="G402" s="1"/>
      <c r="H402" s="1"/>
      <c r="I402" s="1" t="s">
        <v>3656</v>
      </c>
      <c r="J402" s="1" t="s">
        <v>3264</v>
      </c>
      <c r="K402" s="1"/>
      <c r="L402" s="1"/>
      <c r="M402" s="1"/>
      <c r="N402" s="1"/>
      <c r="O402" s="1"/>
      <c r="P402" s="2"/>
      <c r="Q402" s="1"/>
      <c r="R402" s="1"/>
      <c r="S402" s="1"/>
      <c r="T402" s="1"/>
      <c r="U402" s="1"/>
      <c r="V402" s="1" t="s">
        <v>3657</v>
      </c>
      <c r="W402" s="1"/>
      <c r="X402" s="1"/>
      <c r="Y402" s="1"/>
      <c r="Z402" s="1"/>
      <c r="AA402" s="1"/>
      <c r="AB402" s="1"/>
      <c r="AC402" s="1"/>
      <c r="AD402" s="1"/>
      <c r="AE402" s="1"/>
      <c r="AF402" s="1"/>
      <c r="AG402" s="1"/>
      <c r="AH402" s="1"/>
      <c r="AI402" s="1"/>
      <c r="AJ402" s="1"/>
      <c r="AK402" s="1"/>
      <c r="AL402" s="1"/>
      <c r="AM402" s="1"/>
      <c r="AN402" s="1"/>
      <c r="AO402" s="1" t="s">
        <v>3265</v>
      </c>
      <c r="AP402" s="1" t="s">
        <v>3658</v>
      </c>
      <c r="AQ402" s="1"/>
      <c r="AR402" s="1"/>
      <c r="AS402" s="1"/>
      <c r="AT402" s="1" t="s">
        <v>126</v>
      </c>
      <c r="AU402" s="3">
        <v>2014</v>
      </c>
      <c r="AV402" s="3">
        <v>150</v>
      </c>
      <c r="AW402" s="3">
        <v>7</v>
      </c>
      <c r="AX402" s="2"/>
      <c r="AY402" s="2"/>
      <c r="AZ402" s="1"/>
      <c r="BA402" s="2"/>
      <c r="BB402" s="3">
        <v>1183</v>
      </c>
      <c r="BC402" s="3">
        <v>1195</v>
      </c>
      <c r="BD402" s="2"/>
      <c r="BE402" s="1" t="s">
        <v>3659</v>
      </c>
      <c r="BF402" s="4">
        <f>HYPERLINK("http://dx.doi.org/10.1112/S0010437X13007811","http://dx.doi.org/10.1112/S0010437X13007811")</f>
      </c>
      <c r="BG402" s="1"/>
      <c r="BH402" s="1"/>
      <c r="BI402" s="1"/>
      <c r="BJ402" s="1"/>
      <c r="BK402" s="1"/>
      <c r="BL402" s="1"/>
      <c r="BM402" s="1"/>
      <c r="BN402" s="2"/>
      <c r="BO402" s="1"/>
      <c r="BP402" s="1"/>
      <c r="BQ402" s="1"/>
      <c r="BR402" s="1"/>
      <c r="BS402" s="1" t="s">
        <v>3660</v>
      </c>
      <c r="BT402" s="5">
        <f>HYPERLINK("https%3A%2F%2Fwww.webofscience.com%2Fwos%2Fwoscc%2Ffull-record%2FWOS:000339489600005","View Full Record in Web of Science")</f>
      </c>
    </row>
    <row x14ac:dyDescent="0.25" r="403" customHeight="1" ht="12.75">
      <c r="A403" s="1" t="s">
        <v>72</v>
      </c>
      <c r="B403" s="1" t="s">
        <v>3661</v>
      </c>
      <c r="C403" s="1"/>
      <c r="D403" s="1"/>
      <c r="E403" s="1"/>
      <c r="F403" s="1" t="s">
        <v>3662</v>
      </c>
      <c r="G403" s="1"/>
      <c r="H403" s="1"/>
      <c r="I403" s="1" t="s">
        <v>3663</v>
      </c>
      <c r="J403" s="1" t="s">
        <v>230</v>
      </c>
      <c r="K403" s="1"/>
      <c r="L403" s="1"/>
      <c r="M403" s="1"/>
      <c r="N403" s="1"/>
      <c r="O403" s="1"/>
      <c r="P403" s="2"/>
      <c r="Q403" s="1"/>
      <c r="R403" s="1"/>
      <c r="S403" s="1"/>
      <c r="T403" s="1"/>
      <c r="U403" s="1"/>
      <c r="V403" s="1" t="s">
        <v>3664</v>
      </c>
      <c r="W403" s="1"/>
      <c r="X403" s="1"/>
      <c r="Y403" s="1"/>
      <c r="Z403" s="1"/>
      <c r="AA403" s="1" t="s">
        <v>3665</v>
      </c>
      <c r="AB403" s="1" t="s">
        <v>2960</v>
      </c>
      <c r="AC403" s="1"/>
      <c r="AD403" s="1"/>
      <c r="AE403" s="1"/>
      <c r="AF403" s="1"/>
      <c r="AG403" s="1"/>
      <c r="AH403" s="1"/>
      <c r="AI403" s="1"/>
      <c r="AJ403" s="1"/>
      <c r="AK403" s="1"/>
      <c r="AL403" s="1"/>
      <c r="AM403" s="1"/>
      <c r="AN403" s="1"/>
      <c r="AO403" s="1" t="s">
        <v>233</v>
      </c>
      <c r="AP403" s="1"/>
      <c r="AQ403" s="1"/>
      <c r="AR403" s="1"/>
      <c r="AS403" s="1"/>
      <c r="AT403" s="1" t="s">
        <v>757</v>
      </c>
      <c r="AU403" s="3">
        <v>2014</v>
      </c>
      <c r="AV403" s="3">
        <v>19</v>
      </c>
      <c r="AW403" s="3">
        <v>6</v>
      </c>
      <c r="AX403" s="2"/>
      <c r="AY403" s="2"/>
      <c r="AZ403" s="1"/>
      <c r="BA403" s="2"/>
      <c r="BB403" s="3">
        <v>7356</v>
      </c>
      <c r="BC403" s="3">
        <v>7367</v>
      </c>
      <c r="BD403" s="2"/>
      <c r="BE403" s="1" t="s">
        <v>3666</v>
      </c>
      <c r="BF403" s="4">
        <f>HYPERLINK("http://dx.doi.org/10.3390/molecules19067356","http://dx.doi.org/10.3390/molecules19067356")</f>
      </c>
      <c r="BG403" s="1"/>
      <c r="BH403" s="1"/>
      <c r="BI403" s="1"/>
      <c r="BJ403" s="1"/>
      <c r="BK403" s="1"/>
      <c r="BL403" s="1"/>
      <c r="BM403" s="1"/>
      <c r="BN403" s="3">
        <v>24905605</v>
      </c>
      <c r="BO403" s="1"/>
      <c r="BP403" s="1"/>
      <c r="BQ403" s="1"/>
      <c r="BR403" s="1"/>
      <c r="BS403" s="1" t="s">
        <v>3667</v>
      </c>
      <c r="BT403" s="5">
        <f>HYPERLINK("https%3A%2F%2Fwww.webofscience.com%2Fwos%2Fwoscc%2Ffull-record%2FWOS:000338586700028","View Full Record in Web of Science")</f>
      </c>
    </row>
    <row x14ac:dyDescent="0.25" r="404" customHeight="1" ht="12.75">
      <c r="A404" s="1" t="s">
        <v>72</v>
      </c>
      <c r="B404" s="1" t="s">
        <v>3668</v>
      </c>
      <c r="C404" s="1"/>
      <c r="D404" s="1"/>
      <c r="E404" s="1"/>
      <c r="F404" s="1" t="s">
        <v>3669</v>
      </c>
      <c r="G404" s="1"/>
      <c r="H404" s="1"/>
      <c r="I404" s="1" t="s">
        <v>3670</v>
      </c>
      <c r="J404" s="1" t="s">
        <v>3671</v>
      </c>
      <c r="K404" s="1"/>
      <c r="L404" s="1"/>
      <c r="M404" s="1"/>
      <c r="N404" s="1"/>
      <c r="O404" s="1"/>
      <c r="P404" s="2"/>
      <c r="Q404" s="1"/>
      <c r="R404" s="1"/>
      <c r="S404" s="1"/>
      <c r="T404" s="1"/>
      <c r="U404" s="1"/>
      <c r="V404" s="1" t="s">
        <v>3672</v>
      </c>
      <c r="W404" s="1"/>
      <c r="X404" s="1"/>
      <c r="Y404" s="1"/>
      <c r="Z404" s="1"/>
      <c r="AA404" s="1"/>
      <c r="AB404" s="1"/>
      <c r="AC404" s="1"/>
      <c r="AD404" s="1"/>
      <c r="AE404" s="1"/>
      <c r="AF404" s="1"/>
      <c r="AG404" s="1"/>
      <c r="AH404" s="1"/>
      <c r="AI404" s="1"/>
      <c r="AJ404" s="1"/>
      <c r="AK404" s="1"/>
      <c r="AL404" s="1"/>
      <c r="AM404" s="1"/>
      <c r="AN404" s="1"/>
      <c r="AO404" s="1" t="s">
        <v>3673</v>
      </c>
      <c r="AP404" s="1"/>
      <c r="AQ404" s="1"/>
      <c r="AR404" s="1"/>
      <c r="AS404" s="1"/>
      <c r="AT404" s="1" t="s">
        <v>158</v>
      </c>
      <c r="AU404" s="3">
        <v>2013</v>
      </c>
      <c r="AV404" s="3">
        <v>14</v>
      </c>
      <c r="AW404" s="3">
        <v>2</v>
      </c>
      <c r="AX404" s="2"/>
      <c r="AY404" s="2"/>
      <c r="AZ404" s="1"/>
      <c r="BA404" s="2"/>
      <c r="BB404" s="3">
        <v>341</v>
      </c>
      <c r="BC404" s="3">
        <v>352</v>
      </c>
      <c r="BD404" s="2"/>
      <c r="BE404" s="1"/>
      <c r="BF404" s="1"/>
      <c r="BG404" s="1"/>
      <c r="BH404" s="1"/>
      <c r="BI404" s="1"/>
      <c r="BJ404" s="1"/>
      <c r="BK404" s="1"/>
      <c r="BL404" s="1"/>
      <c r="BM404" s="1"/>
      <c r="BN404" s="2"/>
      <c r="BO404" s="1"/>
      <c r="BP404" s="1"/>
      <c r="BQ404" s="1"/>
      <c r="BR404" s="1"/>
      <c r="BS404" s="1" t="s">
        <v>3674</v>
      </c>
      <c r="BT404" s="5">
        <f>HYPERLINK("https%3A%2F%2Fwww.webofscience.com%2Fwos%2Fwoscc%2Ffull-record%2FWOS:000346671300004","View Full Record in Web of Science")</f>
      </c>
    </row>
    <row x14ac:dyDescent="0.25" r="405" customHeight="1" ht="12.75">
      <c r="A405" s="1" t="s">
        <v>72</v>
      </c>
      <c r="B405" s="1" t="s">
        <v>824</v>
      </c>
      <c r="C405" s="1"/>
      <c r="D405" s="1"/>
      <c r="E405" s="1"/>
      <c r="F405" s="1" t="s">
        <v>3675</v>
      </c>
      <c r="G405" s="1"/>
      <c r="H405" s="1"/>
      <c r="I405" s="1" t="s">
        <v>3676</v>
      </c>
      <c r="J405" s="1" t="s">
        <v>3677</v>
      </c>
      <c r="K405" s="1"/>
      <c r="L405" s="1"/>
      <c r="M405" s="1"/>
      <c r="N405" s="1"/>
      <c r="O405" s="1" t="s">
        <v>3678</v>
      </c>
      <c r="P405" s="2" t="s">
        <v>3679</v>
      </c>
      <c r="Q405" s="1" t="s">
        <v>3680</v>
      </c>
      <c r="R405" s="1"/>
      <c r="S405" s="1"/>
      <c r="T405" s="1"/>
      <c r="U405" s="1"/>
      <c r="V405" s="1" t="s">
        <v>3681</v>
      </c>
      <c r="W405" s="1"/>
      <c r="X405" s="1"/>
      <c r="Y405" s="1"/>
      <c r="Z405" s="1"/>
      <c r="AA405" s="1"/>
      <c r="AB405" s="1"/>
      <c r="AC405" s="1"/>
      <c r="AD405" s="1"/>
      <c r="AE405" s="1"/>
      <c r="AF405" s="1"/>
      <c r="AG405" s="1"/>
      <c r="AH405" s="1"/>
      <c r="AI405" s="1"/>
      <c r="AJ405" s="1"/>
      <c r="AK405" s="1"/>
      <c r="AL405" s="1"/>
      <c r="AM405" s="1"/>
      <c r="AN405" s="1"/>
      <c r="AO405" s="1" t="s">
        <v>3682</v>
      </c>
      <c r="AP405" s="1" t="s">
        <v>3683</v>
      </c>
      <c r="AQ405" s="1"/>
      <c r="AR405" s="1"/>
      <c r="AS405" s="1"/>
      <c r="AT405" s="1" t="s">
        <v>757</v>
      </c>
      <c r="AU405" s="3">
        <v>2012</v>
      </c>
      <c r="AV405" s="3">
        <v>27</v>
      </c>
      <c r="AW405" s="3">
        <v>2</v>
      </c>
      <c r="AX405" s="2"/>
      <c r="AY405" s="2"/>
      <c r="AZ405" s="1" t="s">
        <v>170</v>
      </c>
      <c r="BA405" s="2"/>
      <c r="BB405" s="3">
        <v>131</v>
      </c>
      <c r="BC405" s="3">
        <v>135</v>
      </c>
      <c r="BD405" s="2"/>
      <c r="BE405" s="1" t="s">
        <v>3684</v>
      </c>
      <c r="BF405" s="4">
        <f>HYPERLINK("http://dx.doi.org/10.1017/S0885715612000383","http://dx.doi.org/10.1017/S0885715612000383")</f>
      </c>
      <c r="BG405" s="1"/>
      <c r="BH405" s="1"/>
      <c r="BI405" s="1"/>
      <c r="BJ405" s="1"/>
      <c r="BK405" s="1"/>
      <c r="BL405" s="1"/>
      <c r="BM405" s="1"/>
      <c r="BN405" s="2"/>
      <c r="BO405" s="1"/>
      <c r="BP405" s="1"/>
      <c r="BQ405" s="1"/>
      <c r="BR405" s="1"/>
      <c r="BS405" s="1" t="s">
        <v>3685</v>
      </c>
      <c r="BT405" s="5">
        <f>HYPERLINK("https%3A%2F%2Fwww.webofscience.com%2Fwos%2Fwoscc%2Ffull-record%2FWOS:000306028500014","View Full Record in Web of Science")</f>
      </c>
    </row>
    <row x14ac:dyDescent="0.25" r="406" customHeight="1" ht="12.75">
      <c r="A406" s="1" t="s">
        <v>72</v>
      </c>
      <c r="B406" s="1" t="s">
        <v>2347</v>
      </c>
      <c r="C406" s="1"/>
      <c r="D406" s="1"/>
      <c r="E406" s="1"/>
      <c r="F406" s="1" t="s">
        <v>2348</v>
      </c>
      <c r="G406" s="1"/>
      <c r="H406" s="1"/>
      <c r="I406" s="1" t="s">
        <v>3686</v>
      </c>
      <c r="J406" s="1" t="s">
        <v>1496</v>
      </c>
      <c r="K406" s="1"/>
      <c r="L406" s="1"/>
      <c r="M406" s="1"/>
      <c r="N406" s="1"/>
      <c r="O406" s="1"/>
      <c r="P406" s="2"/>
      <c r="Q406" s="1"/>
      <c r="R406" s="1"/>
      <c r="S406" s="1"/>
      <c r="T406" s="1"/>
      <c r="U406" s="1"/>
      <c r="V406" s="1" t="s">
        <v>3687</v>
      </c>
      <c r="W406" s="1"/>
      <c r="X406" s="1"/>
      <c r="Y406" s="1"/>
      <c r="Z406" s="1"/>
      <c r="AA406" s="1"/>
      <c r="AB406" s="1"/>
      <c r="AC406" s="1"/>
      <c r="AD406" s="1"/>
      <c r="AE406" s="1"/>
      <c r="AF406" s="1"/>
      <c r="AG406" s="1"/>
      <c r="AH406" s="1"/>
      <c r="AI406" s="1"/>
      <c r="AJ406" s="1"/>
      <c r="AK406" s="1"/>
      <c r="AL406" s="1"/>
      <c r="AM406" s="1"/>
      <c r="AN406" s="1"/>
      <c r="AO406" s="1" t="s">
        <v>1500</v>
      </c>
      <c r="AP406" s="1"/>
      <c r="AQ406" s="1"/>
      <c r="AR406" s="1"/>
      <c r="AS406" s="1"/>
      <c r="AT406" s="1" t="s">
        <v>3688</v>
      </c>
      <c r="AU406" s="3">
        <v>2011</v>
      </c>
      <c r="AV406" s="3">
        <v>26</v>
      </c>
      <c r="AW406" s="3">
        <v>34</v>
      </c>
      <c r="AX406" s="2"/>
      <c r="AY406" s="2"/>
      <c r="AZ406" s="1"/>
      <c r="BA406" s="2"/>
      <c r="BB406" s="3">
        <v>2579</v>
      </c>
      <c r="BC406" s="3">
        <v>2585</v>
      </c>
      <c r="BD406" s="2"/>
      <c r="BE406" s="1" t="s">
        <v>3689</v>
      </c>
      <c r="BF406" s="4">
        <f>HYPERLINK("http://dx.doi.org/10.1142/S0217732311036917","http://dx.doi.org/10.1142/S0217732311036917")</f>
      </c>
      <c r="BG406" s="1"/>
      <c r="BH406" s="1"/>
      <c r="BI406" s="1"/>
      <c r="BJ406" s="1"/>
      <c r="BK406" s="1"/>
      <c r="BL406" s="1"/>
      <c r="BM406" s="1"/>
      <c r="BN406" s="2"/>
      <c r="BO406" s="1"/>
      <c r="BP406" s="1"/>
      <c r="BQ406" s="1"/>
      <c r="BR406" s="1"/>
      <c r="BS406" s="1" t="s">
        <v>3690</v>
      </c>
      <c r="BT406" s="5">
        <f>HYPERLINK("https%3A%2F%2Fwww.webofscience.com%2Fwos%2Fwoscc%2Ffull-record%2FWOS:000296654000004","View Full Record in Web of Science")</f>
      </c>
    </row>
    <row x14ac:dyDescent="0.25" r="407" customHeight="1" ht="12.75">
      <c r="A407" s="1" t="s">
        <v>72</v>
      </c>
      <c r="B407" s="1" t="s">
        <v>3691</v>
      </c>
      <c r="C407" s="1"/>
      <c r="D407" s="1"/>
      <c r="E407" s="1"/>
      <c r="F407" s="1" t="s">
        <v>3692</v>
      </c>
      <c r="G407" s="1"/>
      <c r="H407" s="1"/>
      <c r="I407" s="1" t="s">
        <v>3693</v>
      </c>
      <c r="J407" s="1" t="s">
        <v>3694</v>
      </c>
      <c r="K407" s="1"/>
      <c r="L407" s="1"/>
      <c r="M407" s="1"/>
      <c r="N407" s="1"/>
      <c r="O407" s="1"/>
      <c r="P407" s="2"/>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t="s">
        <v>3695</v>
      </c>
      <c r="AP407" s="1"/>
      <c r="AQ407" s="1"/>
      <c r="AR407" s="1"/>
      <c r="AS407" s="1"/>
      <c r="AT407" s="1" t="s">
        <v>169</v>
      </c>
      <c r="AU407" s="3">
        <v>2011</v>
      </c>
      <c r="AV407" s="3">
        <v>27</v>
      </c>
      <c r="AW407" s="3">
        <v>4</v>
      </c>
      <c r="AX407" s="2"/>
      <c r="AY407" s="2"/>
      <c r="AZ407" s="1"/>
      <c r="BA407" s="2"/>
      <c r="BB407" s="3">
        <v>347</v>
      </c>
      <c r="BC407" s="3">
        <v>355</v>
      </c>
      <c r="BD407" s="2"/>
      <c r="BE407" s="1"/>
      <c r="BF407" s="1"/>
      <c r="BG407" s="1"/>
      <c r="BH407" s="1"/>
      <c r="BI407" s="1"/>
      <c r="BJ407" s="1"/>
      <c r="BK407" s="1"/>
      <c r="BL407" s="1"/>
      <c r="BM407" s="1"/>
      <c r="BN407" s="2"/>
      <c r="BO407" s="1"/>
      <c r="BP407" s="1"/>
      <c r="BQ407" s="1"/>
      <c r="BR407" s="1"/>
      <c r="BS407" s="1" t="s">
        <v>3696</v>
      </c>
      <c r="BT407" s="5">
        <f>HYPERLINK("https%3A%2F%2Fwww.webofscience.com%2Fwos%2Fwoscc%2Ffull-record%2FWOS:000304810900007","View Full Record in Web of Science")</f>
      </c>
    </row>
    <row x14ac:dyDescent="0.25" r="408" customHeight="1" ht="12.75">
      <c r="A408" s="1" t="s">
        <v>72</v>
      </c>
      <c r="B408" s="1" t="s">
        <v>3697</v>
      </c>
      <c r="C408" s="1"/>
      <c r="D408" s="1"/>
      <c r="E408" s="1"/>
      <c r="F408" s="1" t="s">
        <v>3698</v>
      </c>
      <c r="G408" s="1"/>
      <c r="H408" s="1"/>
      <c r="I408" s="1" t="s">
        <v>3699</v>
      </c>
      <c r="J408" s="1" t="s">
        <v>3700</v>
      </c>
      <c r="K408" s="1"/>
      <c r="L408" s="1"/>
      <c r="M408" s="1"/>
      <c r="N408" s="1"/>
      <c r="O408" s="1"/>
      <c r="P408" s="2"/>
      <c r="Q408" s="1"/>
      <c r="R408" s="1"/>
      <c r="S408" s="1"/>
      <c r="T408" s="1"/>
      <c r="U408" s="1"/>
      <c r="V408" s="1" t="s">
        <v>3701</v>
      </c>
      <c r="W408" s="1"/>
      <c r="X408" s="1"/>
      <c r="Y408" s="1"/>
      <c r="Z408" s="1"/>
      <c r="AA408" s="1"/>
      <c r="AB408" s="1" t="s">
        <v>3702</v>
      </c>
      <c r="AC408" s="1"/>
      <c r="AD408" s="1"/>
      <c r="AE408" s="1"/>
      <c r="AF408" s="1"/>
      <c r="AG408" s="1"/>
      <c r="AH408" s="1"/>
      <c r="AI408" s="1"/>
      <c r="AJ408" s="1"/>
      <c r="AK408" s="1"/>
      <c r="AL408" s="1"/>
      <c r="AM408" s="1"/>
      <c r="AN408" s="1"/>
      <c r="AO408" s="1" t="s">
        <v>3703</v>
      </c>
      <c r="AP408" s="1" t="s">
        <v>3704</v>
      </c>
      <c r="AQ408" s="1"/>
      <c r="AR408" s="1"/>
      <c r="AS408" s="1"/>
      <c r="AT408" s="1"/>
      <c r="AU408" s="3">
        <v>2011</v>
      </c>
      <c r="AV408" s="3">
        <v>12</v>
      </c>
      <c r="AW408" s="3">
        <v>3</v>
      </c>
      <c r="AX408" s="2"/>
      <c r="AY408" s="2"/>
      <c r="AZ408" s="1"/>
      <c r="BA408" s="2"/>
      <c r="BB408" s="3">
        <v>375</v>
      </c>
      <c r="BC408" s="3">
        <v>391</v>
      </c>
      <c r="BD408" s="2" t="s">
        <v>3705</v>
      </c>
      <c r="BE408" s="1" t="s">
        <v>3706</v>
      </c>
      <c r="BF408" s="4">
        <f>HYPERLINK("http://dx.doi.org/10.1080/1461670X.2010.507373","http://dx.doi.org/10.1080/1461670X.2010.507373")</f>
      </c>
      <c r="BG408" s="1"/>
      <c r="BH408" s="1"/>
      <c r="BI408" s="1"/>
      <c r="BJ408" s="1"/>
      <c r="BK408" s="1"/>
      <c r="BL408" s="1"/>
      <c r="BM408" s="1"/>
      <c r="BN408" s="2"/>
      <c r="BO408" s="1"/>
      <c r="BP408" s="1"/>
      <c r="BQ408" s="1"/>
      <c r="BR408" s="1"/>
      <c r="BS408" s="1" t="s">
        <v>3707</v>
      </c>
      <c r="BT408" s="5">
        <f>HYPERLINK("https%3A%2F%2Fwww.webofscience.com%2Fwos%2Fwoscc%2Ffull-record%2FWOS:000290675700007","View Full Record in Web of Science")</f>
      </c>
    </row>
    <row x14ac:dyDescent="0.25" r="409" customHeight="1" ht="12.75">
      <c r="A409" s="1" t="s">
        <v>72</v>
      </c>
      <c r="B409" s="1" t="s">
        <v>3708</v>
      </c>
      <c r="C409" s="1"/>
      <c r="D409" s="1"/>
      <c r="E409" s="1"/>
      <c r="F409" s="1" t="s">
        <v>3709</v>
      </c>
      <c r="G409" s="1"/>
      <c r="H409" s="1"/>
      <c r="I409" s="1" t="s">
        <v>3710</v>
      </c>
      <c r="J409" s="1" t="s">
        <v>3711</v>
      </c>
      <c r="K409" s="1"/>
      <c r="L409" s="1"/>
      <c r="M409" s="1"/>
      <c r="N409" s="1"/>
      <c r="O409" s="1"/>
      <c r="P409" s="2"/>
      <c r="Q409" s="1"/>
      <c r="R409" s="1"/>
      <c r="S409" s="1"/>
      <c r="T409" s="1"/>
      <c r="U409" s="1"/>
      <c r="V409" s="1" t="s">
        <v>3712</v>
      </c>
      <c r="W409" s="1"/>
      <c r="X409" s="1"/>
      <c r="Y409" s="1"/>
      <c r="Z409" s="1"/>
      <c r="AA409" s="1" t="s">
        <v>3713</v>
      </c>
      <c r="AB409" s="1" t="s">
        <v>3714</v>
      </c>
      <c r="AC409" s="1"/>
      <c r="AD409" s="1"/>
      <c r="AE409" s="1"/>
      <c r="AF409" s="1"/>
      <c r="AG409" s="1"/>
      <c r="AH409" s="1"/>
      <c r="AI409" s="1"/>
      <c r="AJ409" s="1"/>
      <c r="AK409" s="1"/>
      <c r="AL409" s="1"/>
      <c r="AM409" s="1"/>
      <c r="AN409" s="1"/>
      <c r="AO409" s="1" t="s">
        <v>3715</v>
      </c>
      <c r="AP409" s="1"/>
      <c r="AQ409" s="1"/>
      <c r="AR409" s="1"/>
      <c r="AS409" s="1"/>
      <c r="AT409" s="1" t="s">
        <v>204</v>
      </c>
      <c r="AU409" s="3">
        <v>2010</v>
      </c>
      <c r="AV409" s="3">
        <v>33</v>
      </c>
      <c r="AW409" s="3">
        <v>2</v>
      </c>
      <c r="AX409" s="2"/>
      <c r="AY409" s="2"/>
      <c r="AZ409" s="1"/>
      <c r="BA409" s="2"/>
      <c r="BB409" s="3">
        <v>321</v>
      </c>
      <c r="BC409" s="3">
        <v>339</v>
      </c>
      <c r="BD409" s="2"/>
      <c r="BE409" s="1"/>
      <c r="BF409" s="1"/>
      <c r="BG409" s="1"/>
      <c r="BH409" s="1"/>
      <c r="BI409" s="1"/>
      <c r="BJ409" s="1"/>
      <c r="BK409" s="1"/>
      <c r="BL409" s="1"/>
      <c r="BM409" s="1"/>
      <c r="BN409" s="2"/>
      <c r="BO409" s="1"/>
      <c r="BP409" s="1"/>
      <c r="BQ409" s="1"/>
      <c r="BR409" s="1"/>
      <c r="BS409" s="1" t="s">
        <v>3716</v>
      </c>
      <c r="BT409" s="5">
        <f>HYPERLINK("https%3A%2F%2Fwww.webofscience.com%2Fwos%2Fwoscc%2Ffull-record%2FWOS:000294415700010","View Full Record in Web of Science")</f>
      </c>
    </row>
    <row x14ac:dyDescent="0.25" r="410" customHeight="1" ht="12.75">
      <c r="A410" s="1" t="s">
        <v>72</v>
      </c>
      <c r="B410" s="1" t="s">
        <v>3717</v>
      </c>
      <c r="C410" s="1"/>
      <c r="D410" s="1"/>
      <c r="E410" s="1"/>
      <c r="F410" s="1" t="s">
        <v>3718</v>
      </c>
      <c r="G410" s="1"/>
      <c r="H410" s="1"/>
      <c r="I410" s="1" t="s">
        <v>3719</v>
      </c>
      <c r="J410" s="1" t="s">
        <v>3720</v>
      </c>
      <c r="K410" s="1"/>
      <c r="L410" s="1"/>
      <c r="M410" s="1"/>
      <c r="N410" s="1"/>
      <c r="O410" s="1"/>
      <c r="P410" s="2"/>
      <c r="Q410" s="1"/>
      <c r="R410" s="1"/>
      <c r="S410" s="1"/>
      <c r="T410" s="1"/>
      <c r="U410" s="1"/>
      <c r="V410" s="1" t="s">
        <v>3721</v>
      </c>
      <c r="W410" s="1"/>
      <c r="X410" s="1"/>
      <c r="Y410" s="1"/>
      <c r="Z410" s="1"/>
      <c r="AA410" s="1" t="s">
        <v>3722</v>
      </c>
      <c r="AB410" s="1" t="s">
        <v>1331</v>
      </c>
      <c r="AC410" s="1"/>
      <c r="AD410" s="1"/>
      <c r="AE410" s="1"/>
      <c r="AF410" s="1"/>
      <c r="AG410" s="1"/>
      <c r="AH410" s="1"/>
      <c r="AI410" s="1"/>
      <c r="AJ410" s="1"/>
      <c r="AK410" s="1"/>
      <c r="AL410" s="1"/>
      <c r="AM410" s="1"/>
      <c r="AN410" s="1"/>
      <c r="AO410" s="1" t="s">
        <v>3723</v>
      </c>
      <c r="AP410" s="1" t="s">
        <v>3724</v>
      </c>
      <c r="AQ410" s="1"/>
      <c r="AR410" s="1"/>
      <c r="AS410" s="1"/>
      <c r="AT410" s="1" t="s">
        <v>2479</v>
      </c>
      <c r="AU410" s="3">
        <v>2010</v>
      </c>
      <c r="AV410" s="3">
        <v>181</v>
      </c>
      <c r="AW410" s="2" t="s">
        <v>3725</v>
      </c>
      <c r="AX410" s="2"/>
      <c r="AY410" s="2"/>
      <c r="AZ410" s="1"/>
      <c r="BA410" s="2"/>
      <c r="BB410" s="3">
        <v>747</v>
      </c>
      <c r="BC410" s="3">
        <v>754</v>
      </c>
      <c r="BD410" s="2"/>
      <c r="BE410" s="1" t="s">
        <v>3726</v>
      </c>
      <c r="BF410" s="4">
        <f>HYPERLINK("http://dx.doi.org/10.1016/j.jhazmat.2010.05.076","http://dx.doi.org/10.1016/j.jhazmat.2010.05.076")</f>
      </c>
      <c r="BG410" s="1"/>
      <c r="BH410" s="1"/>
      <c r="BI410" s="1"/>
      <c r="BJ410" s="1"/>
      <c r="BK410" s="1"/>
      <c r="BL410" s="1"/>
      <c r="BM410" s="1"/>
      <c r="BN410" s="3">
        <v>20541865</v>
      </c>
      <c r="BO410" s="1"/>
      <c r="BP410" s="1"/>
      <c r="BQ410" s="1"/>
      <c r="BR410" s="1"/>
      <c r="BS410" s="1" t="s">
        <v>3727</v>
      </c>
      <c r="BT410" s="5">
        <f>HYPERLINK("https%3A%2F%2Fwww.webofscience.com%2Fwos%2Fwoscc%2Ffull-record%2FWOS:000280601300099","View Full Record in Web of Science")</f>
      </c>
    </row>
    <row x14ac:dyDescent="0.25" r="411" customHeight="1" ht="12.75">
      <c r="A411" s="1" t="s">
        <v>72</v>
      </c>
      <c r="B411" s="1" t="s">
        <v>3728</v>
      </c>
      <c r="C411" s="1"/>
      <c r="D411" s="1"/>
      <c r="E411" s="1"/>
      <c r="F411" s="1" t="s">
        <v>3729</v>
      </c>
      <c r="G411" s="1"/>
      <c r="H411" s="1"/>
      <c r="I411" s="1" t="s">
        <v>3730</v>
      </c>
      <c r="J411" s="1" t="s">
        <v>3731</v>
      </c>
      <c r="K411" s="1"/>
      <c r="L411" s="1"/>
      <c r="M411" s="1"/>
      <c r="N411" s="1"/>
      <c r="O411" s="1"/>
      <c r="P411" s="2"/>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t="s">
        <v>3732</v>
      </c>
      <c r="AP411" s="1"/>
      <c r="AQ411" s="1"/>
      <c r="AR411" s="1"/>
      <c r="AS411" s="1"/>
      <c r="AT411" s="1" t="s">
        <v>567</v>
      </c>
      <c r="AU411" s="3">
        <v>2010</v>
      </c>
      <c r="AV411" s="3">
        <v>16</v>
      </c>
      <c r="AW411" s="3">
        <v>3</v>
      </c>
      <c r="AX411" s="2"/>
      <c r="AY411" s="2" t="s">
        <v>778</v>
      </c>
      <c r="AZ411" s="1"/>
      <c r="BA411" s="2"/>
      <c r="BB411" s="2" t="s">
        <v>3733</v>
      </c>
      <c r="BC411" s="2" t="s">
        <v>3733</v>
      </c>
      <c r="BD411" s="2"/>
      <c r="BE411" s="1"/>
      <c r="BF411" s="1"/>
      <c r="BG411" s="1"/>
      <c r="BH411" s="1"/>
      <c r="BI411" s="1"/>
      <c r="BJ411" s="1"/>
      <c r="BK411" s="1"/>
      <c r="BL411" s="1"/>
      <c r="BM411" s="1"/>
      <c r="BN411" s="2"/>
      <c r="BO411" s="1"/>
      <c r="BP411" s="1"/>
      <c r="BQ411" s="1"/>
      <c r="BR411" s="1"/>
      <c r="BS411" s="1" t="s">
        <v>3734</v>
      </c>
      <c r="BT411" s="5">
        <f>HYPERLINK("https%3A%2F%2Fwww.webofscience.com%2Fwos%2Fwoscc%2Ffull-record%2FWOS:000276765300142","View Full Record in Web of Science")</f>
      </c>
    </row>
    <row x14ac:dyDescent="0.25" r="412" customHeight="1" ht="12.75">
      <c r="A412" s="1" t="s">
        <v>72</v>
      </c>
      <c r="B412" s="1" t="s">
        <v>3735</v>
      </c>
      <c r="C412" s="1"/>
      <c r="D412" s="1"/>
      <c r="E412" s="1"/>
      <c r="F412" s="1" t="s">
        <v>3736</v>
      </c>
      <c r="G412" s="1"/>
      <c r="H412" s="1"/>
      <c r="I412" s="1" t="s">
        <v>3737</v>
      </c>
      <c r="J412" s="1" t="s">
        <v>534</v>
      </c>
      <c r="K412" s="1"/>
      <c r="L412" s="1"/>
      <c r="M412" s="1"/>
      <c r="N412" s="1"/>
      <c r="O412" s="1"/>
      <c r="P412" s="2"/>
      <c r="Q412" s="1"/>
      <c r="R412" s="1"/>
      <c r="S412" s="1"/>
      <c r="T412" s="1"/>
      <c r="U412" s="1"/>
      <c r="V412" s="1" t="s">
        <v>3738</v>
      </c>
      <c r="W412" s="1"/>
      <c r="X412" s="1"/>
      <c r="Y412" s="1"/>
      <c r="Z412" s="1"/>
      <c r="AA412" s="1"/>
      <c r="AB412" s="1"/>
      <c r="AC412" s="1"/>
      <c r="AD412" s="1"/>
      <c r="AE412" s="1"/>
      <c r="AF412" s="1"/>
      <c r="AG412" s="1"/>
      <c r="AH412" s="1"/>
      <c r="AI412" s="1"/>
      <c r="AJ412" s="1"/>
      <c r="AK412" s="1"/>
      <c r="AL412" s="1"/>
      <c r="AM412" s="1"/>
      <c r="AN412" s="1"/>
      <c r="AO412" s="1" t="s">
        <v>536</v>
      </c>
      <c r="AP412" s="1" t="s">
        <v>537</v>
      </c>
      <c r="AQ412" s="1"/>
      <c r="AR412" s="1"/>
      <c r="AS412" s="1"/>
      <c r="AT412" s="1" t="s">
        <v>181</v>
      </c>
      <c r="AU412" s="3">
        <v>2010</v>
      </c>
      <c r="AV412" s="3">
        <v>36</v>
      </c>
      <c r="AW412" s="3">
        <v>1</v>
      </c>
      <c r="AX412" s="2"/>
      <c r="AY412" s="2"/>
      <c r="AZ412" s="1"/>
      <c r="BA412" s="2"/>
      <c r="BB412" s="3">
        <v>87</v>
      </c>
      <c r="BC412" s="3">
        <v>117</v>
      </c>
      <c r="BD412" s="2"/>
      <c r="BE412" s="1"/>
      <c r="BF412" s="1"/>
      <c r="BG412" s="1"/>
      <c r="BH412" s="1"/>
      <c r="BI412" s="1"/>
      <c r="BJ412" s="1"/>
      <c r="BK412" s="1"/>
      <c r="BL412" s="1"/>
      <c r="BM412" s="1"/>
      <c r="BN412" s="2"/>
      <c r="BO412" s="1"/>
      <c r="BP412" s="1"/>
      <c r="BQ412" s="1"/>
      <c r="BR412" s="1"/>
      <c r="BS412" s="1" t="s">
        <v>3739</v>
      </c>
      <c r="BT412" s="5">
        <f>HYPERLINK("https%3A%2F%2Fwww.webofscience.com%2Fwos%2Fwoscc%2Ffull-record%2FWOS:000291067700006","View Full Record in Web of Science")</f>
      </c>
    </row>
    <row x14ac:dyDescent="0.25" r="413" customHeight="1" ht="12.75">
      <c r="A413" s="1" t="s">
        <v>72</v>
      </c>
      <c r="B413" s="1" t="s">
        <v>3740</v>
      </c>
      <c r="C413" s="1"/>
      <c r="D413" s="1"/>
      <c r="E413" s="1"/>
      <c r="F413" s="1" t="s">
        <v>3741</v>
      </c>
      <c r="G413" s="1"/>
      <c r="H413" s="1"/>
      <c r="I413" s="1" t="s">
        <v>3742</v>
      </c>
      <c r="J413" s="1" t="s">
        <v>3743</v>
      </c>
      <c r="K413" s="1"/>
      <c r="L413" s="1"/>
      <c r="M413" s="1"/>
      <c r="N413" s="1"/>
      <c r="O413" s="1"/>
      <c r="P413" s="2"/>
      <c r="Q413" s="1"/>
      <c r="R413" s="1"/>
      <c r="S413" s="1"/>
      <c r="T413" s="1"/>
      <c r="U413" s="1"/>
      <c r="V413" s="1" t="s">
        <v>3744</v>
      </c>
      <c r="W413" s="1"/>
      <c r="X413" s="1"/>
      <c r="Y413" s="1"/>
      <c r="Z413" s="1"/>
      <c r="AA413" s="1" t="s">
        <v>3745</v>
      </c>
      <c r="AB413" s="1"/>
      <c r="AC413" s="1"/>
      <c r="AD413" s="1"/>
      <c r="AE413" s="1"/>
      <c r="AF413" s="1"/>
      <c r="AG413" s="1"/>
      <c r="AH413" s="1"/>
      <c r="AI413" s="1"/>
      <c r="AJ413" s="1"/>
      <c r="AK413" s="1"/>
      <c r="AL413" s="1"/>
      <c r="AM413" s="1"/>
      <c r="AN413" s="1"/>
      <c r="AO413" s="1" t="s">
        <v>3746</v>
      </c>
      <c r="AP413" s="1"/>
      <c r="AQ413" s="1"/>
      <c r="AR413" s="1"/>
      <c r="AS413" s="1"/>
      <c r="AT413" s="1" t="s">
        <v>192</v>
      </c>
      <c r="AU413" s="3">
        <v>2008</v>
      </c>
      <c r="AV413" s="3">
        <v>195</v>
      </c>
      <c r="AW413" s="2" t="s">
        <v>774</v>
      </c>
      <c r="AX413" s="2"/>
      <c r="AY413" s="2"/>
      <c r="AZ413" s="1"/>
      <c r="BA413" s="2"/>
      <c r="BB413" s="3">
        <v>295</v>
      </c>
      <c r="BC413" s="3">
        <v>300</v>
      </c>
      <c r="BD413" s="2"/>
      <c r="BE413" s="1" t="s">
        <v>3747</v>
      </c>
      <c r="BF413" s="4">
        <f>HYPERLINK("http://dx.doi.org/10.1016/j.jphotochem.2007.10.015","http://dx.doi.org/10.1016/j.jphotochem.2007.10.015")</f>
      </c>
      <c r="BG413" s="1"/>
      <c r="BH413" s="1"/>
      <c r="BI413" s="1"/>
      <c r="BJ413" s="1"/>
      <c r="BK413" s="1"/>
      <c r="BL413" s="1"/>
      <c r="BM413" s="1"/>
      <c r="BN413" s="2"/>
      <c r="BO413" s="1"/>
      <c r="BP413" s="1"/>
      <c r="BQ413" s="1"/>
      <c r="BR413" s="1"/>
      <c r="BS413" s="1" t="s">
        <v>3748</v>
      </c>
      <c r="BT413" s="5">
        <f>HYPERLINK("https%3A%2F%2Fwww.webofscience.com%2Fwos%2Fwoscc%2Ffull-record%2FWOS:000254763900020","View Full Record in Web of Science")</f>
      </c>
    </row>
    <row x14ac:dyDescent="0.25" r="414" customHeight="1" ht="12.75">
      <c r="A414" s="1" t="s">
        <v>303</v>
      </c>
      <c r="B414" s="1" t="s">
        <v>3749</v>
      </c>
      <c r="C414" s="1"/>
      <c r="D414" s="1" t="s">
        <v>3750</v>
      </c>
      <c r="E414" s="1"/>
      <c r="F414" s="1" t="s">
        <v>3751</v>
      </c>
      <c r="G414" s="1"/>
      <c r="H414" s="1"/>
      <c r="I414" s="1" t="s">
        <v>3752</v>
      </c>
      <c r="J414" s="1" t="s">
        <v>3753</v>
      </c>
      <c r="K414" s="1" t="s">
        <v>3754</v>
      </c>
      <c r="L414" s="1"/>
      <c r="M414" s="1"/>
      <c r="N414" s="1"/>
      <c r="O414" s="1" t="s">
        <v>3755</v>
      </c>
      <c r="P414" s="2" t="s">
        <v>3756</v>
      </c>
      <c r="Q414" s="1" t="s">
        <v>3757</v>
      </c>
      <c r="R414" s="1" t="s">
        <v>3758</v>
      </c>
      <c r="S414" s="1"/>
      <c r="T414" s="1"/>
      <c r="U414" s="1"/>
      <c r="V414" s="1" t="s">
        <v>3759</v>
      </c>
      <c r="W414" s="1"/>
      <c r="X414" s="1"/>
      <c r="Y414" s="1"/>
      <c r="Z414" s="1"/>
      <c r="AA414" s="1"/>
      <c r="AB414" s="1"/>
      <c r="AC414" s="1"/>
      <c r="AD414" s="1"/>
      <c r="AE414" s="1"/>
      <c r="AF414" s="1"/>
      <c r="AG414" s="1"/>
      <c r="AH414" s="1"/>
      <c r="AI414" s="1"/>
      <c r="AJ414" s="1"/>
      <c r="AK414" s="1"/>
      <c r="AL414" s="1"/>
      <c r="AM414" s="1"/>
      <c r="AN414" s="1"/>
      <c r="AO414" s="1" t="s">
        <v>3760</v>
      </c>
      <c r="AP414" s="1"/>
      <c r="AQ414" s="1" t="s">
        <v>3761</v>
      </c>
      <c r="AR414" s="1"/>
      <c r="AS414" s="1"/>
      <c r="AT414" s="1"/>
      <c r="AU414" s="3">
        <v>2008</v>
      </c>
      <c r="AV414" s="3">
        <v>6960</v>
      </c>
      <c r="AW414" s="2"/>
      <c r="AX414" s="2"/>
      <c r="AY414" s="2"/>
      <c r="AZ414" s="1"/>
      <c r="BA414" s="2"/>
      <c r="BB414" s="2"/>
      <c r="BC414" s="2"/>
      <c r="BD414" s="2" t="s">
        <v>3762</v>
      </c>
      <c r="BE414" s="1" t="s">
        <v>3763</v>
      </c>
      <c r="BF414" s="4">
        <f>HYPERLINK("http://dx.doi.org/10.1117/12.782284","http://dx.doi.org/10.1117/12.782284")</f>
      </c>
      <c r="BG414" s="1"/>
      <c r="BH414" s="1"/>
      <c r="BI414" s="1"/>
      <c r="BJ414" s="1"/>
      <c r="BK414" s="1"/>
      <c r="BL414" s="1"/>
      <c r="BM414" s="1"/>
      <c r="BN414" s="2"/>
      <c r="BO414" s="1"/>
      <c r="BP414" s="1"/>
      <c r="BQ414" s="1"/>
      <c r="BR414" s="1"/>
      <c r="BS414" s="1" t="s">
        <v>3764</v>
      </c>
      <c r="BT414" s="5">
        <f>HYPERLINK("https%3A%2F%2Fwww.webofscience.com%2Fwos%2Fwoscc%2Ffull-record%2FWOS:000257463400009","View Full Record in Web of Science")</f>
      </c>
    </row>
    <row x14ac:dyDescent="0.25" r="415" customHeight="1" ht="12.75">
      <c r="A415" s="1" t="s">
        <v>303</v>
      </c>
      <c r="B415" s="1" t="s">
        <v>608</v>
      </c>
      <c r="C415" s="1"/>
      <c r="D415" s="1"/>
      <c r="E415" s="1" t="s">
        <v>571</v>
      </c>
      <c r="F415" s="1" t="s">
        <v>609</v>
      </c>
      <c r="G415" s="1"/>
      <c r="H415" s="1"/>
      <c r="I415" s="1" t="s">
        <v>3765</v>
      </c>
      <c r="J415" s="1" t="s">
        <v>3766</v>
      </c>
      <c r="K415" s="1"/>
      <c r="L415" s="1"/>
      <c r="M415" s="1"/>
      <c r="N415" s="1"/>
      <c r="O415" s="1" t="s">
        <v>1486</v>
      </c>
      <c r="P415" s="2" t="s">
        <v>3767</v>
      </c>
      <c r="Q415" s="1" t="s">
        <v>3768</v>
      </c>
      <c r="R415" s="1" t="s">
        <v>1528</v>
      </c>
      <c r="S415" s="1"/>
      <c r="T415" s="1"/>
      <c r="U415" s="1"/>
      <c r="V415" s="1" t="s">
        <v>3769</v>
      </c>
      <c r="W415" s="1"/>
      <c r="X415" s="1"/>
      <c r="Y415" s="1"/>
      <c r="Z415" s="1"/>
      <c r="AA415" s="1"/>
      <c r="AB415" s="1"/>
      <c r="AC415" s="1"/>
      <c r="AD415" s="1"/>
      <c r="AE415" s="1"/>
      <c r="AF415" s="1"/>
      <c r="AG415" s="1"/>
      <c r="AH415" s="1"/>
      <c r="AI415" s="1"/>
      <c r="AJ415" s="1"/>
      <c r="AK415" s="1"/>
      <c r="AL415" s="1"/>
      <c r="AM415" s="1"/>
      <c r="AN415" s="1"/>
      <c r="AO415" s="1"/>
      <c r="AP415" s="1"/>
      <c r="AQ415" s="1" t="s">
        <v>3770</v>
      </c>
      <c r="AR415" s="1"/>
      <c r="AS415" s="1"/>
      <c r="AT415" s="1"/>
      <c r="AU415" s="3">
        <v>2008</v>
      </c>
      <c r="AV415" s="2"/>
      <c r="AW415" s="2"/>
      <c r="AX415" s="2"/>
      <c r="AY415" s="2"/>
      <c r="AZ415" s="1"/>
      <c r="BA415" s="2"/>
      <c r="BB415" s="3">
        <v>1947</v>
      </c>
      <c r="BC415" s="3">
        <v>1952</v>
      </c>
      <c r="BD415" s="2"/>
      <c r="BE415" s="1"/>
      <c r="BF415" s="1"/>
      <c r="BG415" s="1"/>
      <c r="BH415" s="1"/>
      <c r="BI415" s="1"/>
      <c r="BJ415" s="1"/>
      <c r="BK415" s="1"/>
      <c r="BL415" s="1"/>
      <c r="BM415" s="1"/>
      <c r="BN415" s="2"/>
      <c r="BO415" s="1"/>
      <c r="BP415" s="1"/>
      <c r="BQ415" s="1"/>
      <c r="BR415" s="1"/>
      <c r="BS415" s="1" t="s">
        <v>3771</v>
      </c>
      <c r="BT415" s="5">
        <f>HYPERLINK("https%3A%2F%2Fwww.webofscience.com%2Fwos%2Fwoscc%2Ffull-record%2FWOS:000254515301097","View Full Record in Web of Science")</f>
      </c>
    </row>
    <row x14ac:dyDescent="0.25" r="416" customHeight="1" ht="12.75">
      <c r="A416" s="1" t="s">
        <v>72</v>
      </c>
      <c r="B416" s="1" t="s">
        <v>3772</v>
      </c>
      <c r="C416" s="1"/>
      <c r="D416" s="1"/>
      <c r="E416" s="1"/>
      <c r="F416" s="1" t="s">
        <v>3773</v>
      </c>
      <c r="G416" s="1"/>
      <c r="H416" s="1"/>
      <c r="I416" s="1" t="s">
        <v>3774</v>
      </c>
      <c r="J416" s="1" t="s">
        <v>358</v>
      </c>
      <c r="K416" s="1"/>
      <c r="L416" s="1"/>
      <c r="M416" s="1"/>
      <c r="N416" s="1"/>
      <c r="O416" s="1"/>
      <c r="P416" s="2"/>
      <c r="Q416" s="1"/>
      <c r="R416" s="1"/>
      <c r="S416" s="1"/>
      <c r="T416" s="1"/>
      <c r="U416" s="1"/>
      <c r="V416" s="1" t="s">
        <v>3775</v>
      </c>
      <c r="W416" s="1"/>
      <c r="X416" s="1"/>
      <c r="Y416" s="1"/>
      <c r="Z416" s="1"/>
      <c r="AA416" s="1"/>
      <c r="AB416" s="1"/>
      <c r="AC416" s="1"/>
      <c r="AD416" s="1"/>
      <c r="AE416" s="1"/>
      <c r="AF416" s="1"/>
      <c r="AG416" s="1"/>
      <c r="AH416" s="1"/>
      <c r="AI416" s="1"/>
      <c r="AJ416" s="1"/>
      <c r="AK416" s="1"/>
      <c r="AL416" s="1"/>
      <c r="AM416" s="1"/>
      <c r="AN416" s="1"/>
      <c r="AO416" s="1" t="s">
        <v>2309</v>
      </c>
      <c r="AP416" s="1"/>
      <c r="AQ416" s="1"/>
      <c r="AR416" s="1"/>
      <c r="AS416" s="1"/>
      <c r="AT416" s="1" t="s">
        <v>181</v>
      </c>
      <c r="AU416" s="3">
        <v>2008</v>
      </c>
      <c r="AV416" s="3">
        <v>41</v>
      </c>
      <c r="AW416" s="3">
        <v>1</v>
      </c>
      <c r="AX416" s="2"/>
      <c r="AY416" s="2"/>
      <c r="AZ416" s="1"/>
      <c r="BA416" s="2"/>
      <c r="BB416" s="3">
        <v>99</v>
      </c>
      <c r="BC416" s="3">
        <v>164</v>
      </c>
      <c r="BD416" s="2"/>
      <c r="BE416" s="1"/>
      <c r="BF416" s="1"/>
      <c r="BG416" s="1"/>
      <c r="BH416" s="1"/>
      <c r="BI416" s="1"/>
      <c r="BJ416" s="1"/>
      <c r="BK416" s="1"/>
      <c r="BL416" s="1"/>
      <c r="BM416" s="1"/>
      <c r="BN416" s="2"/>
      <c r="BO416" s="1"/>
      <c r="BP416" s="1"/>
      <c r="BQ416" s="1"/>
      <c r="BR416" s="1"/>
      <c r="BS416" s="1" t="s">
        <v>3776</v>
      </c>
      <c r="BT416" s="5">
        <f>HYPERLINK("https%3A%2F%2Fwww.webofscience.com%2Fwos%2Fwoscc%2Ffull-record%2FWOS:000257209100005","View Full Record in Web of Science")</f>
      </c>
    </row>
    <row x14ac:dyDescent="0.25" r="417" customHeight="1" ht="12.75">
      <c r="A417" s="1" t="s">
        <v>72</v>
      </c>
      <c r="B417" s="1" t="s">
        <v>3777</v>
      </c>
      <c r="C417" s="1"/>
      <c r="D417" s="1"/>
      <c r="E417" s="1"/>
      <c r="F417" s="1" t="s">
        <v>3778</v>
      </c>
      <c r="G417" s="1"/>
      <c r="H417" s="1"/>
      <c r="I417" s="1" t="s">
        <v>3779</v>
      </c>
      <c r="J417" s="1" t="s">
        <v>3780</v>
      </c>
      <c r="K417" s="1"/>
      <c r="L417" s="1"/>
      <c r="M417" s="1"/>
      <c r="N417" s="1"/>
      <c r="O417" s="1"/>
      <c r="P417" s="2"/>
      <c r="Q417" s="1"/>
      <c r="R417" s="1"/>
      <c r="S417" s="1"/>
      <c r="T417" s="1"/>
      <c r="U417" s="1"/>
      <c r="V417" s="1" t="s">
        <v>3781</v>
      </c>
      <c r="W417" s="1"/>
      <c r="X417" s="1"/>
      <c r="Y417" s="1"/>
      <c r="Z417" s="1"/>
      <c r="AA417" s="1" t="s">
        <v>3782</v>
      </c>
      <c r="AB417" s="1" t="s">
        <v>3783</v>
      </c>
      <c r="AC417" s="1"/>
      <c r="AD417" s="1"/>
      <c r="AE417" s="1"/>
      <c r="AF417" s="1"/>
      <c r="AG417" s="1"/>
      <c r="AH417" s="1"/>
      <c r="AI417" s="1"/>
      <c r="AJ417" s="1"/>
      <c r="AK417" s="1"/>
      <c r="AL417" s="1"/>
      <c r="AM417" s="1"/>
      <c r="AN417" s="1"/>
      <c r="AO417" s="1" t="s">
        <v>3784</v>
      </c>
      <c r="AP417" s="1"/>
      <c r="AQ417" s="1"/>
      <c r="AR417" s="1"/>
      <c r="AS417" s="1"/>
      <c r="AT417" s="1" t="s">
        <v>3785</v>
      </c>
      <c r="AU417" s="3">
        <v>2007</v>
      </c>
      <c r="AV417" s="3">
        <v>60</v>
      </c>
      <c r="AW417" s="2" t="s">
        <v>3786</v>
      </c>
      <c r="AX417" s="2"/>
      <c r="AY417" s="2"/>
      <c r="AZ417" s="1"/>
      <c r="BA417" s="2"/>
      <c r="BB417" s="3">
        <v>2499</v>
      </c>
      <c r="BC417" s="3">
        <v>2507</v>
      </c>
      <c r="BD417" s="2"/>
      <c r="BE417" s="1" t="s">
        <v>3787</v>
      </c>
      <c r="BF417" s="4">
        <f>HYPERLINK("http://dx.doi.org/10.1080/00958970701275790","http://dx.doi.org/10.1080/00958970701275790")</f>
      </c>
      <c r="BG417" s="1"/>
      <c r="BH417" s="1"/>
      <c r="BI417" s="1"/>
      <c r="BJ417" s="1"/>
      <c r="BK417" s="1"/>
      <c r="BL417" s="1"/>
      <c r="BM417" s="1"/>
      <c r="BN417" s="2"/>
      <c r="BO417" s="1"/>
      <c r="BP417" s="1"/>
      <c r="BQ417" s="1"/>
      <c r="BR417" s="1"/>
      <c r="BS417" s="1" t="s">
        <v>3788</v>
      </c>
      <c r="BT417" s="5">
        <f>HYPERLINK("https%3A%2F%2Fwww.webofscience.com%2Fwos%2Fwoscc%2Ffull-record%2FWOS:000251088000011","View Full Record in Web of Science")</f>
      </c>
    </row>
    <row x14ac:dyDescent="0.25" r="418" customHeight="1" ht="12.75">
      <c r="A418" s="1" t="s">
        <v>72</v>
      </c>
      <c r="B418" s="1" t="s">
        <v>3789</v>
      </c>
      <c r="C418" s="1"/>
      <c r="D418" s="1"/>
      <c r="E418" s="1"/>
      <c r="F418" s="1" t="s">
        <v>2429</v>
      </c>
      <c r="G418" s="1"/>
      <c r="H418" s="1"/>
      <c r="I418" s="1" t="s">
        <v>3790</v>
      </c>
      <c r="J418" s="1" t="s">
        <v>3791</v>
      </c>
      <c r="K418" s="1"/>
      <c r="L418" s="1"/>
      <c r="M418" s="1"/>
      <c r="N418" s="1"/>
      <c r="O418" s="1"/>
      <c r="P418" s="2"/>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t="s">
        <v>3792</v>
      </c>
      <c r="AP418" s="1"/>
      <c r="AQ418" s="1"/>
      <c r="AR418" s="1"/>
      <c r="AS418" s="1"/>
      <c r="AT418" s="1" t="s">
        <v>2219</v>
      </c>
      <c r="AU418" s="3">
        <v>2007</v>
      </c>
      <c r="AV418" s="3">
        <v>48</v>
      </c>
      <c r="AW418" s="3">
        <v>1</v>
      </c>
      <c r="AX418" s="2"/>
      <c r="AY418" s="2"/>
      <c r="AZ418" s="1"/>
      <c r="BA418" s="2"/>
      <c r="BB418" s="3">
        <v>91</v>
      </c>
      <c r="BC418" s="3">
        <v>99</v>
      </c>
      <c r="BD418" s="2"/>
      <c r="BE418" s="1" t="s">
        <v>3793</v>
      </c>
      <c r="BF418" s="4">
        <f>HYPERLINK("http://dx.doi.org/10.1353/rmc.2007.0003","http://dx.doi.org/10.1353/rmc.2007.0003")</f>
      </c>
      <c r="BG418" s="1"/>
      <c r="BH418" s="1"/>
      <c r="BI418" s="1"/>
      <c r="BJ418" s="1"/>
      <c r="BK418" s="1"/>
      <c r="BL418" s="1"/>
      <c r="BM418" s="1"/>
      <c r="BN418" s="2"/>
      <c r="BO418" s="1"/>
      <c r="BP418" s="1"/>
      <c r="BQ418" s="1"/>
      <c r="BR418" s="1"/>
      <c r="BS418" s="1" t="s">
        <v>3794</v>
      </c>
      <c r="BT418" s="5">
        <f>HYPERLINK("https%3A%2F%2Fwww.webofscience.com%2Fwos%2Fwoscc%2Ffull-record%2FWOS:000206244700009","View Full Record in Web of Science")</f>
      </c>
    </row>
    <row x14ac:dyDescent="0.25" r="419" customHeight="1" ht="12.75">
      <c r="A419" s="1" t="s">
        <v>72</v>
      </c>
      <c r="B419" s="1" t="s">
        <v>3795</v>
      </c>
      <c r="C419" s="1"/>
      <c r="D419" s="1"/>
      <c r="E419" s="1"/>
      <c r="F419" s="1" t="s">
        <v>3796</v>
      </c>
      <c r="G419" s="1"/>
      <c r="H419" s="1"/>
      <c r="I419" s="1" t="s">
        <v>3797</v>
      </c>
      <c r="J419" s="1" t="s">
        <v>3798</v>
      </c>
      <c r="K419" s="1"/>
      <c r="L419" s="1"/>
      <c r="M419" s="1"/>
      <c r="N419" s="1"/>
      <c r="O419" s="1"/>
      <c r="P419" s="2"/>
      <c r="Q419" s="1"/>
      <c r="R419" s="1"/>
      <c r="S419" s="1"/>
      <c r="T419" s="1"/>
      <c r="U419" s="1"/>
      <c r="V419" s="1" t="s">
        <v>3799</v>
      </c>
      <c r="W419" s="1"/>
      <c r="X419" s="1"/>
      <c r="Y419" s="1"/>
      <c r="Z419" s="1"/>
      <c r="AA419" s="1" t="s">
        <v>691</v>
      </c>
      <c r="AB419" s="1" t="s">
        <v>692</v>
      </c>
      <c r="AC419" s="1"/>
      <c r="AD419" s="1"/>
      <c r="AE419" s="1"/>
      <c r="AF419" s="1"/>
      <c r="AG419" s="1"/>
      <c r="AH419" s="1"/>
      <c r="AI419" s="1"/>
      <c r="AJ419" s="1"/>
      <c r="AK419" s="1"/>
      <c r="AL419" s="1"/>
      <c r="AM419" s="1"/>
      <c r="AN419" s="1"/>
      <c r="AO419" s="1" t="s">
        <v>3800</v>
      </c>
      <c r="AP419" s="1" t="s">
        <v>3801</v>
      </c>
      <c r="AQ419" s="1"/>
      <c r="AR419" s="1"/>
      <c r="AS419" s="1"/>
      <c r="AT419" s="1" t="s">
        <v>605</v>
      </c>
      <c r="AU419" s="3">
        <v>2007</v>
      </c>
      <c r="AV419" s="3">
        <v>72</v>
      </c>
      <c r="AW419" s="3">
        <v>2</v>
      </c>
      <c r="AX419" s="2"/>
      <c r="AY419" s="2"/>
      <c r="AZ419" s="1"/>
      <c r="BA419" s="2"/>
      <c r="BB419" s="2" t="s">
        <v>3802</v>
      </c>
      <c r="BC419" s="2" t="s">
        <v>3803</v>
      </c>
      <c r="BD419" s="2"/>
      <c r="BE419" s="1" t="s">
        <v>3804</v>
      </c>
      <c r="BF419" s="4">
        <f>HYPERLINK("http://dx.doi.org/10.1111/j.1750-3841.2006.00267.x","http://dx.doi.org/10.1111/j.1750-3841.2006.00267.x")</f>
      </c>
      <c r="BG419" s="1"/>
      <c r="BH419" s="1"/>
      <c r="BI419" s="1"/>
      <c r="BJ419" s="1"/>
      <c r="BK419" s="1"/>
      <c r="BL419" s="1"/>
      <c r="BM419" s="1"/>
      <c r="BN419" s="3">
        <v>17995832</v>
      </c>
      <c r="BO419" s="1"/>
      <c r="BP419" s="1"/>
      <c r="BQ419" s="1"/>
      <c r="BR419" s="1"/>
      <c r="BS419" s="1" t="s">
        <v>3805</v>
      </c>
      <c r="BT419" s="5">
        <f>HYPERLINK("https%3A%2F%2Fwww.webofscience.com%2Fwos%2Fwoscc%2Ffull-record%2FWOS:000245079900021","View Full Record in Web of Science")</f>
      </c>
    </row>
    <row x14ac:dyDescent="0.25" r="420" customHeight="1" ht="12.75">
      <c r="A420" s="1" t="s">
        <v>72</v>
      </c>
      <c r="B420" s="1" t="s">
        <v>2175</v>
      </c>
      <c r="C420" s="1"/>
      <c r="D420" s="1"/>
      <c r="E420" s="1"/>
      <c r="F420" s="1" t="s">
        <v>2176</v>
      </c>
      <c r="G420" s="1"/>
      <c r="H420" s="1"/>
      <c r="I420" s="1" t="s">
        <v>3806</v>
      </c>
      <c r="J420" s="1" t="s">
        <v>3807</v>
      </c>
      <c r="K420" s="1"/>
      <c r="L420" s="1"/>
      <c r="M420" s="1"/>
      <c r="N420" s="1"/>
      <c r="O420" s="1"/>
      <c r="P420" s="2"/>
      <c r="Q420" s="1"/>
      <c r="R420" s="1"/>
      <c r="S420" s="1"/>
      <c r="T420" s="1"/>
      <c r="U420" s="1"/>
      <c r="V420" s="1" t="s">
        <v>3808</v>
      </c>
      <c r="W420" s="1"/>
      <c r="X420" s="1"/>
      <c r="Y420" s="1"/>
      <c r="Z420" s="1"/>
      <c r="AA420" s="1" t="s">
        <v>2180</v>
      </c>
      <c r="AB420" s="1" t="s">
        <v>2181</v>
      </c>
      <c r="AC420" s="1"/>
      <c r="AD420" s="1"/>
      <c r="AE420" s="1"/>
      <c r="AF420" s="1"/>
      <c r="AG420" s="1"/>
      <c r="AH420" s="1"/>
      <c r="AI420" s="1"/>
      <c r="AJ420" s="1"/>
      <c r="AK420" s="1"/>
      <c r="AL420" s="1"/>
      <c r="AM420" s="1"/>
      <c r="AN420" s="1"/>
      <c r="AO420" s="1" t="s">
        <v>3809</v>
      </c>
      <c r="AP420" s="1" t="s">
        <v>3810</v>
      </c>
      <c r="AQ420" s="1"/>
      <c r="AR420" s="1"/>
      <c r="AS420" s="1"/>
      <c r="AT420" s="1" t="s">
        <v>3811</v>
      </c>
      <c r="AU420" s="3">
        <v>2006</v>
      </c>
      <c r="AV420" s="3">
        <v>324</v>
      </c>
      <c r="AW420" s="3">
        <v>2</v>
      </c>
      <c r="AX420" s="2"/>
      <c r="AY420" s="2"/>
      <c r="AZ420" s="1"/>
      <c r="BA420" s="2"/>
      <c r="BB420" s="3">
        <v>921</v>
      </c>
      <c r="BC420" s="3">
        <v>933</v>
      </c>
      <c r="BD420" s="2"/>
      <c r="BE420" s="1" t="s">
        <v>3812</v>
      </c>
      <c r="BF420" s="4">
        <f>HYPERLINK("http://dx.doi.org/10.1016/j.jmaa.2005.12.043","http://dx.doi.org/10.1016/j.jmaa.2005.12.043")</f>
      </c>
      <c r="BG420" s="1"/>
      <c r="BH420" s="1"/>
      <c r="BI420" s="1"/>
      <c r="BJ420" s="1"/>
      <c r="BK420" s="1"/>
      <c r="BL420" s="1"/>
      <c r="BM420" s="1"/>
      <c r="BN420" s="2"/>
      <c r="BO420" s="1"/>
      <c r="BP420" s="1"/>
      <c r="BQ420" s="1"/>
      <c r="BR420" s="1"/>
      <c r="BS420" s="1" t="s">
        <v>3813</v>
      </c>
      <c r="BT420" s="5">
        <f>HYPERLINK("https%3A%2F%2Fwww.webofscience.com%2Fwos%2Fwoscc%2Ffull-record%2FWOS:000241752600014","View Full Record in Web of Science")</f>
      </c>
    </row>
    <row x14ac:dyDescent="0.25" r="421" customHeight="1" ht="12.75">
      <c r="A421" s="1" t="s">
        <v>72</v>
      </c>
      <c r="B421" s="1" t="s">
        <v>3814</v>
      </c>
      <c r="C421" s="1"/>
      <c r="D421" s="1"/>
      <c r="E421" s="1"/>
      <c r="F421" s="1" t="s">
        <v>3815</v>
      </c>
      <c r="G421" s="1"/>
      <c r="H421" s="1"/>
      <c r="I421" s="1" t="s">
        <v>3816</v>
      </c>
      <c r="J421" s="1" t="s">
        <v>1516</v>
      </c>
      <c r="K421" s="1"/>
      <c r="L421" s="1"/>
      <c r="M421" s="1"/>
      <c r="N421" s="1"/>
      <c r="O421" s="1"/>
      <c r="P421" s="2"/>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t="s">
        <v>1517</v>
      </c>
      <c r="AP421" s="1"/>
      <c r="AQ421" s="1"/>
      <c r="AR421" s="1"/>
      <c r="AS421" s="1"/>
      <c r="AT421" s="1"/>
      <c r="AU421" s="3">
        <v>2006</v>
      </c>
      <c r="AV421" s="3">
        <v>62</v>
      </c>
      <c r="AW421" s="2"/>
      <c r="AX421" s="2"/>
      <c r="AY421" s="2" t="s">
        <v>778</v>
      </c>
      <c r="AZ421" s="1"/>
      <c r="BA421" s="2" t="s">
        <v>3817</v>
      </c>
      <c r="BB421" s="2" t="s">
        <v>3818</v>
      </c>
      <c r="BC421" s="2" t="s">
        <v>3818</v>
      </c>
      <c r="BD421" s="2"/>
      <c r="BE421" s="1" t="s">
        <v>3819</v>
      </c>
      <c r="BF421" s="4">
        <f>HYPERLINK("http://dx.doi.org/10.1107/S0108767306096188","http://dx.doi.org/10.1107/S0108767306096188")</f>
      </c>
      <c r="BG421" s="1"/>
      <c r="BH421" s="1"/>
      <c r="BI421" s="1"/>
      <c r="BJ421" s="1"/>
      <c r="BK421" s="1"/>
      <c r="BL421" s="1"/>
      <c r="BM421" s="1"/>
      <c r="BN421" s="2"/>
      <c r="BO421" s="1"/>
      <c r="BP421" s="1"/>
      <c r="BQ421" s="1"/>
      <c r="BR421" s="1"/>
      <c r="BS421" s="1" t="s">
        <v>3820</v>
      </c>
      <c r="BT421" s="5">
        <f>HYPERLINK("https%3A%2F%2Fwww.webofscience.com%2Fwos%2Fwoscc%2Ffull-record%2FWOS:000478081200382","View Full Record in Web of Science")</f>
      </c>
    </row>
    <row x14ac:dyDescent="0.25" r="422" customHeight="1" ht="12.75">
      <c r="A422" s="1" t="s">
        <v>72</v>
      </c>
      <c r="B422" s="1" t="s">
        <v>3821</v>
      </c>
      <c r="C422" s="1"/>
      <c r="D422" s="1"/>
      <c r="E422" s="1"/>
      <c r="F422" s="1" t="s">
        <v>3821</v>
      </c>
      <c r="G422" s="1"/>
      <c r="H422" s="1"/>
      <c r="I422" s="1" t="s">
        <v>3822</v>
      </c>
      <c r="J422" s="1" t="s">
        <v>3823</v>
      </c>
      <c r="K422" s="1"/>
      <c r="L422" s="1"/>
      <c r="M422" s="1"/>
      <c r="N422" s="1"/>
      <c r="O422" s="1"/>
      <c r="P422" s="2"/>
      <c r="Q422" s="1"/>
      <c r="R422" s="1"/>
      <c r="S422" s="1"/>
      <c r="T422" s="1"/>
      <c r="U422" s="1"/>
      <c r="V422" s="1" t="s">
        <v>3824</v>
      </c>
      <c r="W422" s="1"/>
      <c r="X422" s="1"/>
      <c r="Y422" s="1"/>
      <c r="Z422" s="1"/>
      <c r="AA422" s="1" t="s">
        <v>3825</v>
      </c>
      <c r="AB422" s="1" t="s">
        <v>3826</v>
      </c>
      <c r="AC422" s="1"/>
      <c r="AD422" s="1"/>
      <c r="AE422" s="1"/>
      <c r="AF422" s="1"/>
      <c r="AG422" s="1"/>
      <c r="AH422" s="1"/>
      <c r="AI422" s="1"/>
      <c r="AJ422" s="1"/>
      <c r="AK422" s="1"/>
      <c r="AL422" s="1"/>
      <c r="AM422" s="1"/>
      <c r="AN422" s="1"/>
      <c r="AO422" s="1" t="s">
        <v>3827</v>
      </c>
      <c r="AP422" s="1" t="s">
        <v>3828</v>
      </c>
      <c r="AQ422" s="1"/>
      <c r="AR422" s="1"/>
      <c r="AS422" s="1"/>
      <c r="AT422" s="1" t="s">
        <v>3829</v>
      </c>
      <c r="AU422" s="3">
        <v>2005</v>
      </c>
      <c r="AV422" s="3">
        <v>282</v>
      </c>
      <c r="AW422" s="2" t="s">
        <v>3830</v>
      </c>
      <c r="AX422" s="2"/>
      <c r="AY422" s="2"/>
      <c r="AZ422" s="1"/>
      <c r="BA422" s="2"/>
      <c r="BB422" s="3">
        <v>438</v>
      </c>
      <c r="BC422" s="3">
        <v>447</v>
      </c>
      <c r="BD422" s="2"/>
      <c r="BE422" s="1" t="s">
        <v>3831</v>
      </c>
      <c r="BF422" s="4">
        <f>HYPERLINK("http://dx.doi.org/10.1016/j.jcrysgro.2005.05.037","http://dx.doi.org/10.1016/j.jcrysgro.2005.05.037")</f>
      </c>
      <c r="BG422" s="1"/>
      <c r="BH422" s="1"/>
      <c r="BI422" s="1"/>
      <c r="BJ422" s="1"/>
      <c r="BK422" s="1"/>
      <c r="BL422" s="1"/>
      <c r="BM422" s="1"/>
      <c r="BN422" s="2"/>
      <c r="BO422" s="1"/>
      <c r="BP422" s="1"/>
      <c r="BQ422" s="1"/>
      <c r="BR422" s="1"/>
      <c r="BS422" s="1" t="s">
        <v>3832</v>
      </c>
      <c r="BT422" s="5">
        <f>HYPERLINK("https%3A%2F%2Fwww.webofscience.com%2Fwos%2Fwoscc%2Ffull-record%2FWOS:000231429500025","View Full Record in Web of Science")</f>
      </c>
    </row>
    <row x14ac:dyDescent="0.25" r="423" customHeight="1" ht="12.75">
      <c r="A423" s="1" t="s">
        <v>72</v>
      </c>
      <c r="B423" s="1" t="s">
        <v>3833</v>
      </c>
      <c r="C423" s="1"/>
      <c r="D423" s="1"/>
      <c r="E423" s="1"/>
      <c r="F423" s="1" t="s">
        <v>3833</v>
      </c>
      <c r="G423" s="1"/>
      <c r="H423" s="1"/>
      <c r="I423" s="1" t="s">
        <v>3834</v>
      </c>
      <c r="J423" s="1" t="s">
        <v>3835</v>
      </c>
      <c r="K423" s="1"/>
      <c r="L423" s="1"/>
      <c r="M423" s="1"/>
      <c r="N423" s="1"/>
      <c r="O423" s="1"/>
      <c r="P423" s="2"/>
      <c r="Q423" s="1"/>
      <c r="R423" s="1"/>
      <c r="S423" s="1"/>
      <c r="T423" s="1"/>
      <c r="U423" s="1"/>
      <c r="V423" s="1" t="s">
        <v>3836</v>
      </c>
      <c r="W423" s="1"/>
      <c r="X423" s="1"/>
      <c r="Y423" s="1"/>
      <c r="Z423" s="1"/>
      <c r="AA423" s="1"/>
      <c r="AB423" s="1"/>
      <c r="AC423" s="1"/>
      <c r="AD423" s="1"/>
      <c r="AE423" s="1"/>
      <c r="AF423" s="1"/>
      <c r="AG423" s="1"/>
      <c r="AH423" s="1"/>
      <c r="AI423" s="1"/>
      <c r="AJ423" s="1"/>
      <c r="AK423" s="1"/>
      <c r="AL423" s="1"/>
      <c r="AM423" s="1"/>
      <c r="AN423" s="1"/>
      <c r="AO423" s="1" t="s">
        <v>3837</v>
      </c>
      <c r="AP423" s="1"/>
      <c r="AQ423" s="1"/>
      <c r="AR423" s="1"/>
      <c r="AS423" s="1"/>
      <c r="AT423" s="1" t="s">
        <v>648</v>
      </c>
      <c r="AU423" s="3">
        <v>2002</v>
      </c>
      <c r="AV423" s="3">
        <v>59</v>
      </c>
      <c r="AW423" s="3">
        <v>499</v>
      </c>
      <c r="AX423" s="2"/>
      <c r="AY423" s="2"/>
      <c r="AZ423" s="1"/>
      <c r="BA423" s="2"/>
      <c r="BB423" s="3">
        <v>249</v>
      </c>
      <c r="BC423" s="3">
        <v>256</v>
      </c>
      <c r="BD423" s="2"/>
      <c r="BE423" s="1"/>
      <c r="BF423" s="1"/>
      <c r="BG423" s="1"/>
      <c r="BH423" s="1"/>
      <c r="BI423" s="1"/>
      <c r="BJ423" s="1"/>
      <c r="BK423" s="1"/>
      <c r="BL423" s="1"/>
      <c r="BM423" s="1"/>
      <c r="BN423" s="2"/>
      <c r="BO423" s="1"/>
      <c r="BP423" s="1"/>
      <c r="BQ423" s="1"/>
      <c r="BR423" s="1"/>
      <c r="BS423" s="1" t="s">
        <v>3838</v>
      </c>
      <c r="BT423" s="5">
        <f>HYPERLINK("https%3A%2F%2Fwww.webofscience.com%2Fwos%2Fwoscc%2Ffull-record%2FWOS:000176771400015","View Full Record in Web of Science")</f>
      </c>
    </row>
    <row x14ac:dyDescent="0.25" r="424" customHeight="1" ht="12.75">
      <c r="A424" s="1" t="s">
        <v>72</v>
      </c>
      <c r="B424" s="1" t="s">
        <v>3839</v>
      </c>
      <c r="C424" s="1"/>
      <c r="D424" s="1"/>
      <c r="E424" s="1"/>
      <c r="F424" s="1" t="s">
        <v>3839</v>
      </c>
      <c r="G424" s="1"/>
      <c r="H424" s="1"/>
      <c r="I424" s="1" t="s">
        <v>3840</v>
      </c>
      <c r="J424" s="1" t="s">
        <v>3032</v>
      </c>
      <c r="K424" s="1"/>
      <c r="L424" s="1"/>
      <c r="M424" s="1"/>
      <c r="N424" s="1"/>
      <c r="O424" s="1"/>
      <c r="P424" s="2"/>
      <c r="Q424" s="1"/>
      <c r="R424" s="1"/>
      <c r="S424" s="1"/>
      <c r="T424" s="1"/>
      <c r="U424" s="1"/>
      <c r="V424" s="1" t="s">
        <v>3841</v>
      </c>
      <c r="W424" s="1"/>
      <c r="X424" s="1"/>
      <c r="Y424" s="1"/>
      <c r="Z424" s="1"/>
      <c r="AA424" s="1"/>
      <c r="AB424" s="1" t="s">
        <v>3842</v>
      </c>
      <c r="AC424" s="1"/>
      <c r="AD424" s="1"/>
      <c r="AE424" s="1"/>
      <c r="AF424" s="1"/>
      <c r="AG424" s="1"/>
      <c r="AH424" s="1"/>
      <c r="AI424" s="1"/>
      <c r="AJ424" s="1"/>
      <c r="AK424" s="1"/>
      <c r="AL424" s="1"/>
      <c r="AM424" s="1"/>
      <c r="AN424" s="1"/>
      <c r="AO424" s="1" t="s">
        <v>3034</v>
      </c>
      <c r="AP424" s="1"/>
      <c r="AQ424" s="1"/>
      <c r="AR424" s="1"/>
      <c r="AS424" s="1"/>
      <c r="AT424" s="1" t="s">
        <v>648</v>
      </c>
      <c r="AU424" s="3">
        <v>2002</v>
      </c>
      <c r="AV424" s="3">
        <v>64</v>
      </c>
      <c r="AW424" s="3">
        <v>3</v>
      </c>
      <c r="AX424" s="2"/>
      <c r="AY424" s="2"/>
      <c r="AZ424" s="1"/>
      <c r="BA424" s="2"/>
      <c r="BB424" s="3">
        <v>472</v>
      </c>
      <c r="BC424" s="3">
        <v>488</v>
      </c>
      <c r="BD424" s="2"/>
      <c r="BE424" s="1" t="s">
        <v>3843</v>
      </c>
      <c r="BF424" s="4">
        <f>HYPERLINK("http://dx.doi.org/10.1007/s002330010092","http://dx.doi.org/10.1007/s002330010092")</f>
      </c>
      <c r="BG424" s="1"/>
      <c r="BH424" s="1"/>
      <c r="BI424" s="1"/>
      <c r="BJ424" s="1"/>
      <c r="BK424" s="1"/>
      <c r="BL424" s="1"/>
      <c r="BM424" s="1"/>
      <c r="BN424" s="2"/>
      <c r="BO424" s="1"/>
      <c r="BP424" s="1"/>
      <c r="BQ424" s="1"/>
      <c r="BR424" s="1"/>
      <c r="BS424" s="1" t="s">
        <v>3844</v>
      </c>
      <c r="BT424" s="5">
        <f>HYPERLINK("https%3A%2F%2Fwww.webofscience.com%2Fwos%2Fwoscc%2Ffull-record%2FWOS:000174934400009","View Full Record in Web of Science")</f>
      </c>
    </row>
    <row x14ac:dyDescent="0.25" r="425" customHeight="1" ht="12.75">
      <c r="A425" s="1" t="s">
        <v>72</v>
      </c>
      <c r="B425" s="1" t="s">
        <v>3845</v>
      </c>
      <c r="C425" s="1"/>
      <c r="D425" s="1"/>
      <c r="E425" s="1"/>
      <c r="F425" s="1" t="s">
        <v>3845</v>
      </c>
      <c r="G425" s="1"/>
      <c r="H425" s="1"/>
      <c r="I425" s="1" t="s">
        <v>3846</v>
      </c>
      <c r="J425" s="1" t="s">
        <v>897</v>
      </c>
      <c r="K425" s="1"/>
      <c r="L425" s="1"/>
      <c r="M425" s="1"/>
      <c r="N425" s="1"/>
      <c r="O425" s="1"/>
      <c r="P425" s="2"/>
      <c r="Q425" s="1"/>
      <c r="R425" s="1"/>
      <c r="S425" s="1"/>
      <c r="T425" s="1"/>
      <c r="U425" s="1"/>
      <c r="V425" s="1" t="s">
        <v>3847</v>
      </c>
      <c r="W425" s="1"/>
      <c r="X425" s="1"/>
      <c r="Y425" s="1"/>
      <c r="Z425" s="1"/>
      <c r="AA425" s="1" t="s">
        <v>3848</v>
      </c>
      <c r="AB425" s="1" t="s">
        <v>3849</v>
      </c>
      <c r="AC425" s="1"/>
      <c r="AD425" s="1"/>
      <c r="AE425" s="1"/>
      <c r="AF425" s="1"/>
      <c r="AG425" s="1"/>
      <c r="AH425" s="1"/>
      <c r="AI425" s="1"/>
      <c r="AJ425" s="1"/>
      <c r="AK425" s="1"/>
      <c r="AL425" s="1"/>
      <c r="AM425" s="1"/>
      <c r="AN425" s="1"/>
      <c r="AO425" s="1" t="s">
        <v>900</v>
      </c>
      <c r="AP425" s="1"/>
      <c r="AQ425" s="1"/>
      <c r="AR425" s="1"/>
      <c r="AS425" s="1"/>
      <c r="AT425" s="1" t="s">
        <v>292</v>
      </c>
      <c r="AU425" s="3">
        <v>2001</v>
      </c>
      <c r="AV425" s="3">
        <v>46</v>
      </c>
      <c r="AW425" s="3">
        <v>3</v>
      </c>
      <c r="AX425" s="2"/>
      <c r="AY425" s="2"/>
      <c r="AZ425" s="1"/>
      <c r="BA425" s="2"/>
      <c r="BB425" s="3">
        <v>339</v>
      </c>
      <c r="BC425" s="3">
        <v>351</v>
      </c>
      <c r="BD425" s="2"/>
      <c r="BE425" s="1"/>
      <c r="BF425" s="1"/>
      <c r="BG425" s="1"/>
      <c r="BH425" s="1"/>
      <c r="BI425" s="1"/>
      <c r="BJ425" s="1"/>
      <c r="BK425" s="1"/>
      <c r="BL425" s="1"/>
      <c r="BM425" s="1"/>
      <c r="BN425" s="2"/>
      <c r="BO425" s="1"/>
      <c r="BP425" s="1"/>
      <c r="BQ425" s="1"/>
      <c r="BR425" s="1"/>
      <c r="BS425" s="1" t="s">
        <v>3850</v>
      </c>
      <c r="BT425" s="5">
        <f>HYPERLINK("https%3A%2F%2Fwww.webofscience.com%2Fwos%2Fwoscc%2Ffull-record%2FWOS:000172210200013","View Full Record in Web of Science")</f>
      </c>
    </row>
    <row x14ac:dyDescent="0.25" r="426" customHeight="1" ht="12.75">
      <c r="A426" s="1" t="s">
        <v>72</v>
      </c>
      <c r="B426" s="1" t="s">
        <v>3851</v>
      </c>
      <c r="C426" s="1"/>
      <c r="D426" s="1"/>
      <c r="E426" s="1"/>
      <c r="F426" s="1" t="s">
        <v>3851</v>
      </c>
      <c r="G426" s="1"/>
      <c r="H426" s="1"/>
      <c r="I426" s="1" t="s">
        <v>3852</v>
      </c>
      <c r="J426" s="1" t="s">
        <v>3022</v>
      </c>
      <c r="K426" s="1"/>
      <c r="L426" s="1"/>
      <c r="M426" s="1"/>
      <c r="N426" s="1"/>
      <c r="O426" s="1"/>
      <c r="P426" s="2"/>
      <c r="Q426" s="1"/>
      <c r="R426" s="1"/>
      <c r="S426" s="1"/>
      <c r="T426" s="1"/>
      <c r="U426" s="1"/>
      <c r="V426" s="1" t="s">
        <v>3853</v>
      </c>
      <c r="W426" s="1"/>
      <c r="X426" s="1"/>
      <c r="Y426" s="1"/>
      <c r="Z426" s="1"/>
      <c r="AA426" s="1" t="s">
        <v>3854</v>
      </c>
      <c r="AB426" s="1"/>
      <c r="AC426" s="1"/>
      <c r="AD426" s="1"/>
      <c r="AE426" s="1"/>
      <c r="AF426" s="1"/>
      <c r="AG426" s="1"/>
      <c r="AH426" s="1"/>
      <c r="AI426" s="1"/>
      <c r="AJ426" s="1"/>
      <c r="AK426" s="1"/>
      <c r="AL426" s="1"/>
      <c r="AM426" s="1"/>
      <c r="AN426" s="1"/>
      <c r="AO426" s="1" t="s">
        <v>3025</v>
      </c>
      <c r="AP426" s="1"/>
      <c r="AQ426" s="1"/>
      <c r="AR426" s="1"/>
      <c r="AS426" s="1"/>
      <c r="AT426" s="1" t="s">
        <v>3855</v>
      </c>
      <c r="AU426" s="3">
        <v>2000</v>
      </c>
      <c r="AV426" s="3">
        <v>37</v>
      </c>
      <c r="AW426" s="3">
        <v>7</v>
      </c>
      <c r="AX426" s="2"/>
      <c r="AY426" s="2"/>
      <c r="AZ426" s="1"/>
      <c r="BA426" s="2"/>
      <c r="BB426" s="3">
        <v>755</v>
      </c>
      <c r="BC426" s="3">
        <v>777</v>
      </c>
      <c r="BD426" s="2"/>
      <c r="BE426" s="1"/>
      <c r="BF426" s="1"/>
      <c r="BG426" s="1"/>
      <c r="BH426" s="1"/>
      <c r="BI426" s="1"/>
      <c r="BJ426" s="1"/>
      <c r="BK426" s="1"/>
      <c r="BL426" s="1"/>
      <c r="BM426" s="1"/>
      <c r="BN426" s="2"/>
      <c r="BO426" s="1"/>
      <c r="BP426" s="1"/>
      <c r="BQ426" s="1"/>
      <c r="BR426" s="1"/>
      <c r="BS426" s="1" t="s">
        <v>3856</v>
      </c>
      <c r="BT426" s="5">
        <f>HYPERLINK("https%3A%2F%2Fwww.webofscience.com%2Fwos%2Fwoscc%2Ffull-record%2FWOS:000087403300005","View Full Record in Web of Science")</f>
      </c>
    </row>
    <row x14ac:dyDescent="0.25" r="427" customHeight="1" ht="12.75">
      <c r="A427" s="1" t="s">
        <v>72</v>
      </c>
      <c r="B427" s="1" t="s">
        <v>3857</v>
      </c>
      <c r="C427" s="1"/>
      <c r="D427" s="1"/>
      <c r="E427" s="1"/>
      <c r="F427" s="1" t="s">
        <v>3857</v>
      </c>
      <c r="G427" s="1"/>
      <c r="H427" s="1"/>
      <c r="I427" s="1" t="s">
        <v>3858</v>
      </c>
      <c r="J427" s="1" t="s">
        <v>3231</v>
      </c>
      <c r="K427" s="1"/>
      <c r="L427" s="1"/>
      <c r="M427" s="1"/>
      <c r="N427" s="1"/>
      <c r="O427" s="1" t="s">
        <v>3859</v>
      </c>
      <c r="P427" s="2" t="s">
        <v>3860</v>
      </c>
      <c r="Q427" s="1" t="s">
        <v>3861</v>
      </c>
      <c r="R427" s="1" t="s">
        <v>3862</v>
      </c>
      <c r="S427" s="1" t="s">
        <v>3863</v>
      </c>
      <c r="T427" s="1"/>
      <c r="U427" s="1"/>
      <c r="V427" s="1" t="s">
        <v>3864</v>
      </c>
      <c r="W427" s="1"/>
      <c r="X427" s="1"/>
      <c r="Y427" s="1"/>
      <c r="Z427" s="1"/>
      <c r="AA427" s="1"/>
      <c r="AB427" s="1" t="s">
        <v>3643</v>
      </c>
      <c r="AC427" s="1"/>
      <c r="AD427" s="1"/>
      <c r="AE427" s="1"/>
      <c r="AF427" s="1"/>
      <c r="AG427" s="1"/>
      <c r="AH427" s="1"/>
      <c r="AI427" s="1"/>
      <c r="AJ427" s="1"/>
      <c r="AK427" s="1"/>
      <c r="AL427" s="1"/>
      <c r="AM427" s="1"/>
      <c r="AN427" s="1"/>
      <c r="AO427" s="1" t="s">
        <v>3865</v>
      </c>
      <c r="AP427" s="1" t="s">
        <v>3866</v>
      </c>
      <c r="AQ427" s="1"/>
      <c r="AR427" s="1"/>
      <c r="AS427" s="1"/>
      <c r="AT427" s="1" t="s">
        <v>605</v>
      </c>
      <c r="AU427" s="3">
        <v>2000</v>
      </c>
      <c r="AV427" s="3">
        <v>38</v>
      </c>
      <c r="AW427" s="2" t="s">
        <v>3867</v>
      </c>
      <c r="AX427" s="2"/>
      <c r="AY427" s="2"/>
      <c r="AZ427" s="1"/>
      <c r="BA427" s="2"/>
      <c r="BB427" s="3">
        <v>345</v>
      </c>
      <c r="BC427" s="3">
        <v>352</v>
      </c>
      <c r="BD427" s="2"/>
      <c r="BE427" s="1" t="s">
        <v>3868</v>
      </c>
      <c r="BF427" s="4">
        <f>HYPERLINK("http://dx.doi.org/10.1016/S0041-624X(99)00170-5","http://dx.doi.org/10.1016/S0041-624X(99)00170-5")</f>
      </c>
      <c r="BG427" s="1"/>
      <c r="BH427" s="1"/>
      <c r="BI427" s="1"/>
      <c r="BJ427" s="1"/>
      <c r="BK427" s="1"/>
      <c r="BL427" s="1"/>
      <c r="BM427" s="1"/>
      <c r="BN427" s="3">
        <v>10829686</v>
      </c>
      <c r="BO427" s="1"/>
      <c r="BP427" s="1"/>
      <c r="BQ427" s="1"/>
      <c r="BR427" s="1"/>
      <c r="BS427" s="1" t="s">
        <v>3869</v>
      </c>
      <c r="BT427" s="5">
        <f>HYPERLINK("https%3A%2F%2Fwww.webofscience.com%2Fwos%2Fwoscc%2Ffull-record%2FWOS:000086662100070","View Full Record in Web of Science")</f>
      </c>
    </row>
    <row x14ac:dyDescent="0.25" r="428" customHeight="1" ht="12.75">
      <c r="A428" s="1" t="s">
        <v>778</v>
      </c>
      <c r="B428" s="1" t="s">
        <v>3870</v>
      </c>
      <c r="C428" s="1"/>
      <c r="D428" s="1" t="s">
        <v>3871</v>
      </c>
      <c r="E428" s="1"/>
      <c r="F428" s="1" t="s">
        <v>3870</v>
      </c>
      <c r="G428" s="1"/>
      <c r="H428" s="1"/>
      <c r="I428" s="1" t="s">
        <v>3872</v>
      </c>
      <c r="J428" s="1" t="s">
        <v>3873</v>
      </c>
      <c r="K428" s="1" t="s">
        <v>3874</v>
      </c>
      <c r="L428" s="1"/>
      <c r="M428" s="1"/>
      <c r="N428" s="1"/>
      <c r="O428" s="1" t="s">
        <v>3875</v>
      </c>
      <c r="P428" s="2" t="s">
        <v>3876</v>
      </c>
      <c r="Q428" s="1" t="s">
        <v>3877</v>
      </c>
      <c r="R428" s="1" t="s">
        <v>3878</v>
      </c>
      <c r="S428" s="1"/>
      <c r="T428" s="1"/>
      <c r="U428" s="1"/>
      <c r="V428" s="1"/>
      <c r="W428" s="1"/>
      <c r="X428" s="1"/>
      <c r="Y428" s="1"/>
      <c r="Z428" s="1"/>
      <c r="AA428" s="1"/>
      <c r="AB428" s="1"/>
      <c r="AC428" s="1"/>
      <c r="AD428" s="1"/>
      <c r="AE428" s="1"/>
      <c r="AF428" s="1"/>
      <c r="AG428" s="1"/>
      <c r="AH428" s="1"/>
      <c r="AI428" s="1"/>
      <c r="AJ428" s="1"/>
      <c r="AK428" s="1"/>
      <c r="AL428" s="1"/>
      <c r="AM428" s="1"/>
      <c r="AN428" s="1"/>
      <c r="AO428" s="1" t="s">
        <v>3879</v>
      </c>
      <c r="AP428" s="1"/>
      <c r="AQ428" s="1" t="s">
        <v>3880</v>
      </c>
      <c r="AR428" s="1"/>
      <c r="AS428" s="1"/>
      <c r="AT428" s="1"/>
      <c r="AU428" s="3">
        <v>2000</v>
      </c>
      <c r="AV428" s="3">
        <v>1201</v>
      </c>
      <c r="AW428" s="2"/>
      <c r="AX428" s="2"/>
      <c r="AY428" s="2"/>
      <c r="AZ428" s="1"/>
      <c r="BA428" s="2"/>
      <c r="BB428" s="3">
        <v>468</v>
      </c>
      <c r="BC428" s="3">
        <v>468</v>
      </c>
      <c r="BD428" s="2"/>
      <c r="BE428" s="1"/>
      <c r="BF428" s="1"/>
      <c r="BG428" s="1"/>
      <c r="BH428" s="1"/>
      <c r="BI428" s="1"/>
      <c r="BJ428" s="1"/>
      <c r="BK428" s="1"/>
      <c r="BL428" s="1"/>
      <c r="BM428" s="1"/>
      <c r="BN428" s="2"/>
      <c r="BO428" s="1"/>
      <c r="BP428" s="1"/>
      <c r="BQ428" s="1"/>
      <c r="BR428" s="1"/>
      <c r="BS428" s="1" t="s">
        <v>3881</v>
      </c>
      <c r="BT428" s="5">
        <f>HYPERLINK("https%3A%2F%2Fwww.webofscience.com%2Fwos%2Fwoscc%2Ffull-record%2FWOS:000088270100140","View Full Record in Web of Science")</f>
      </c>
    </row>
    <row x14ac:dyDescent="0.25" r="429" customHeight="1" ht="12.75">
      <c r="A429" s="1" t="s">
        <v>72</v>
      </c>
      <c r="B429" s="1" t="s">
        <v>3882</v>
      </c>
      <c r="C429" s="1"/>
      <c r="D429" s="1"/>
      <c r="E429" s="1"/>
      <c r="F429" s="1" t="s">
        <v>3882</v>
      </c>
      <c r="G429" s="1"/>
      <c r="H429" s="1"/>
      <c r="I429" s="1" t="s">
        <v>3883</v>
      </c>
      <c r="J429" s="1" t="s">
        <v>3884</v>
      </c>
      <c r="K429" s="1"/>
      <c r="L429" s="1"/>
      <c r="M429" s="1"/>
      <c r="N429" s="1"/>
      <c r="O429" s="1"/>
      <c r="P429" s="2"/>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t="s">
        <v>3885</v>
      </c>
      <c r="AP429" s="1"/>
      <c r="AQ429" s="1"/>
      <c r="AR429" s="1"/>
      <c r="AS429" s="1"/>
      <c r="AT429" s="1" t="s">
        <v>3785</v>
      </c>
      <c r="AU429" s="3">
        <v>1999</v>
      </c>
      <c r="AV429" s="3">
        <v>39</v>
      </c>
      <c r="AW429" s="3">
        <v>6</v>
      </c>
      <c r="AX429" s="2"/>
      <c r="AY429" s="2"/>
      <c r="AZ429" s="1"/>
      <c r="BA429" s="2"/>
      <c r="BB429" s="3">
        <v>1228</v>
      </c>
      <c r="BC429" s="3">
        <v>1229</v>
      </c>
      <c r="BD429" s="2"/>
      <c r="BE429" s="1" t="s">
        <v>3886</v>
      </c>
      <c r="BF429" s="4">
        <f>HYPERLINK("http://dx.doi.org/10.1021/ci9904867","http://dx.doi.org/10.1021/ci9904867")</f>
      </c>
      <c r="BG429" s="1"/>
      <c r="BH429" s="1"/>
      <c r="BI429" s="1"/>
      <c r="BJ429" s="1"/>
      <c r="BK429" s="1"/>
      <c r="BL429" s="1"/>
      <c r="BM429" s="1"/>
      <c r="BN429" s="2"/>
      <c r="BO429" s="1"/>
      <c r="BP429" s="1"/>
      <c r="BQ429" s="1"/>
      <c r="BR429" s="1"/>
      <c r="BS429" s="1" t="s">
        <v>3887</v>
      </c>
      <c r="BT429" s="5">
        <f>HYPERLINK("https%3A%2F%2Fwww.webofscience.com%2Fwos%2Fwoscc%2Ffull-record%2FWOS:000083858200035","View Full Record in Web of Science")</f>
      </c>
    </row>
    <row x14ac:dyDescent="0.25" r="430" customHeight="1" ht="12.75">
      <c r="A430" s="1" t="s">
        <v>72</v>
      </c>
      <c r="B430" s="1" t="s">
        <v>3888</v>
      </c>
      <c r="C430" s="1"/>
      <c r="D430" s="1"/>
      <c r="E430" s="1"/>
      <c r="F430" s="1" t="s">
        <v>3888</v>
      </c>
      <c r="G430" s="1"/>
      <c r="H430" s="1"/>
      <c r="I430" s="1" t="s">
        <v>3889</v>
      </c>
      <c r="J430" s="1" t="s">
        <v>3064</v>
      </c>
      <c r="K430" s="1"/>
      <c r="L430" s="1"/>
      <c r="M430" s="1"/>
      <c r="N430" s="1"/>
      <c r="O430" s="1"/>
      <c r="P430" s="2"/>
      <c r="Q430" s="1"/>
      <c r="R430" s="1"/>
      <c r="S430" s="1"/>
      <c r="T430" s="1"/>
      <c r="U430" s="1"/>
      <c r="V430" s="1" t="s">
        <v>3890</v>
      </c>
      <c r="W430" s="1"/>
      <c r="X430" s="1"/>
      <c r="Y430" s="1"/>
      <c r="Z430" s="1"/>
      <c r="AA430" s="1"/>
      <c r="AB430" s="1" t="s">
        <v>588</v>
      </c>
      <c r="AC430" s="1"/>
      <c r="AD430" s="1"/>
      <c r="AE430" s="1"/>
      <c r="AF430" s="1"/>
      <c r="AG430" s="1"/>
      <c r="AH430" s="1"/>
      <c r="AI430" s="1"/>
      <c r="AJ430" s="1"/>
      <c r="AK430" s="1"/>
      <c r="AL430" s="1"/>
      <c r="AM430" s="1"/>
      <c r="AN430" s="1"/>
      <c r="AO430" s="1" t="s">
        <v>3066</v>
      </c>
      <c r="AP430" s="1"/>
      <c r="AQ430" s="1"/>
      <c r="AR430" s="1"/>
      <c r="AS430" s="1"/>
      <c r="AT430" s="1" t="s">
        <v>126</v>
      </c>
      <c r="AU430" s="3">
        <v>1999</v>
      </c>
      <c r="AV430" s="3">
        <v>127</v>
      </c>
      <c r="AW430" s="3">
        <v>7</v>
      </c>
      <c r="AX430" s="2"/>
      <c r="AY430" s="2"/>
      <c r="AZ430" s="1"/>
      <c r="BA430" s="2"/>
      <c r="BB430" s="3">
        <v>783</v>
      </c>
      <c r="BC430" s="3">
        <v>790</v>
      </c>
      <c r="BD430" s="2"/>
      <c r="BE430" s="1"/>
      <c r="BF430" s="1"/>
      <c r="BG430" s="1"/>
      <c r="BH430" s="1"/>
      <c r="BI430" s="1"/>
      <c r="BJ430" s="1"/>
      <c r="BK430" s="1"/>
      <c r="BL430" s="1"/>
      <c r="BM430" s="1"/>
      <c r="BN430" s="3">
        <v>10668285</v>
      </c>
      <c r="BO430" s="1"/>
      <c r="BP430" s="1"/>
      <c r="BQ430" s="1"/>
      <c r="BR430" s="1"/>
      <c r="BS430" s="1" t="s">
        <v>3891</v>
      </c>
      <c r="BT430" s="5">
        <f>HYPERLINK("https%3A%2F%2Fwww.webofscience.com%2Fwos%2Fwoscc%2Ffull-record%2FWOS:000082403600004","View Full Record in Web of Science")</f>
      </c>
    </row>
    <row x14ac:dyDescent="0.25" r="431" customHeight="1" ht="12.75">
      <c r="A431" s="1" t="s">
        <v>72</v>
      </c>
      <c r="B431" s="1" t="s">
        <v>3882</v>
      </c>
      <c r="C431" s="1"/>
      <c r="D431" s="1"/>
      <c r="E431" s="1"/>
      <c r="F431" s="1" t="s">
        <v>3882</v>
      </c>
      <c r="G431" s="1"/>
      <c r="H431" s="1"/>
      <c r="I431" s="1" t="s">
        <v>3892</v>
      </c>
      <c r="J431" s="1" t="s">
        <v>3884</v>
      </c>
      <c r="K431" s="1"/>
      <c r="L431" s="1"/>
      <c r="M431" s="1"/>
      <c r="N431" s="1"/>
      <c r="O431" s="1"/>
      <c r="P431" s="2"/>
      <c r="Q431" s="1"/>
      <c r="R431" s="1"/>
      <c r="S431" s="1"/>
      <c r="T431" s="1"/>
      <c r="U431" s="1"/>
      <c r="V431" s="1" t="s">
        <v>3893</v>
      </c>
      <c r="W431" s="1"/>
      <c r="X431" s="1"/>
      <c r="Y431" s="1"/>
      <c r="Z431" s="1"/>
      <c r="AA431" s="1"/>
      <c r="AB431" s="1"/>
      <c r="AC431" s="1"/>
      <c r="AD431" s="1"/>
      <c r="AE431" s="1"/>
      <c r="AF431" s="1"/>
      <c r="AG431" s="1"/>
      <c r="AH431" s="1"/>
      <c r="AI431" s="1"/>
      <c r="AJ431" s="1"/>
      <c r="AK431" s="1"/>
      <c r="AL431" s="1"/>
      <c r="AM431" s="1"/>
      <c r="AN431" s="1"/>
      <c r="AO431" s="1" t="s">
        <v>3885</v>
      </c>
      <c r="AP431" s="1"/>
      <c r="AQ431" s="1"/>
      <c r="AR431" s="1"/>
      <c r="AS431" s="1"/>
      <c r="AT431" s="1" t="s">
        <v>648</v>
      </c>
      <c r="AU431" s="3">
        <v>1999</v>
      </c>
      <c r="AV431" s="3">
        <v>39</v>
      </c>
      <c r="AW431" s="3">
        <v>3</v>
      </c>
      <c r="AX431" s="2"/>
      <c r="AY431" s="2"/>
      <c r="AZ431" s="1"/>
      <c r="BA431" s="2"/>
      <c r="BB431" s="3">
        <v>475</v>
      </c>
      <c r="BC431" s="3">
        <v>482</v>
      </c>
      <c r="BD431" s="2"/>
      <c r="BE431" s="1" t="s">
        <v>3894</v>
      </c>
      <c r="BF431" s="4">
        <f>HYPERLINK("http://dx.doi.org/10.1021/ci9700586","http://dx.doi.org/10.1021/ci9700586")</f>
      </c>
      <c r="BG431" s="1"/>
      <c r="BH431" s="1"/>
      <c r="BI431" s="1"/>
      <c r="BJ431" s="1"/>
      <c r="BK431" s="1"/>
      <c r="BL431" s="1"/>
      <c r="BM431" s="1"/>
      <c r="BN431" s="2"/>
      <c r="BO431" s="1"/>
      <c r="BP431" s="1"/>
      <c r="BQ431" s="1"/>
      <c r="BR431" s="1"/>
      <c r="BS431" s="1" t="s">
        <v>3895</v>
      </c>
      <c r="BT431" s="5">
        <f>HYPERLINK("https%3A%2F%2Fwww.webofscience.com%2Fwos%2Fwoscc%2Ffull-record%2FWOS:000080524900007","View Full Record in Web of Science")</f>
      </c>
    </row>
    <row x14ac:dyDescent="0.25" r="432" customHeight="1" ht="12.75">
      <c r="A432" s="1" t="s">
        <v>72</v>
      </c>
      <c r="B432" s="1" t="s">
        <v>3896</v>
      </c>
      <c r="C432" s="1"/>
      <c r="D432" s="1"/>
      <c r="E432" s="1"/>
      <c r="F432" s="1" t="s">
        <v>3896</v>
      </c>
      <c r="G432" s="1"/>
      <c r="H432" s="1"/>
      <c r="I432" s="1" t="s">
        <v>3897</v>
      </c>
      <c r="J432" s="1" t="s">
        <v>1609</v>
      </c>
      <c r="K432" s="1"/>
      <c r="L432" s="1"/>
      <c r="M432" s="1"/>
      <c r="N432" s="1"/>
      <c r="O432" s="1"/>
      <c r="P432" s="2"/>
      <c r="Q432" s="1"/>
      <c r="R432" s="1"/>
      <c r="S432" s="1"/>
      <c r="T432" s="1"/>
      <c r="U432" s="1"/>
      <c r="V432" s="1"/>
      <c r="W432" s="1"/>
      <c r="X432" s="1"/>
      <c r="Y432" s="1"/>
      <c r="Z432" s="1"/>
      <c r="AA432" s="1"/>
      <c r="AB432" s="1" t="s">
        <v>1610</v>
      </c>
      <c r="AC432" s="1"/>
      <c r="AD432" s="1"/>
      <c r="AE432" s="1"/>
      <c r="AF432" s="1"/>
      <c r="AG432" s="1"/>
      <c r="AH432" s="1"/>
      <c r="AI432" s="1"/>
      <c r="AJ432" s="1"/>
      <c r="AK432" s="1"/>
      <c r="AL432" s="1"/>
      <c r="AM432" s="1"/>
      <c r="AN432" s="1"/>
      <c r="AO432" s="1" t="s">
        <v>1611</v>
      </c>
      <c r="AP432" s="1"/>
      <c r="AQ432" s="1"/>
      <c r="AR432" s="1"/>
      <c r="AS432" s="1"/>
      <c r="AT432" s="1" t="s">
        <v>757</v>
      </c>
      <c r="AU432" s="3">
        <v>1998</v>
      </c>
      <c r="AV432" s="3">
        <v>26</v>
      </c>
      <c r="AW432" s="3">
        <v>4</v>
      </c>
      <c r="AX432" s="2"/>
      <c r="AY432" s="2"/>
      <c r="AZ432" s="1"/>
      <c r="BA432" s="2"/>
      <c r="BB432" s="3">
        <v>469</v>
      </c>
      <c r="BC432" s="3">
        <v>471</v>
      </c>
      <c r="BD432" s="2"/>
      <c r="BE432" s="1" t="s">
        <v>3898</v>
      </c>
      <c r="BF432" s="4">
        <f>HYPERLINK("http://dx.doi.org/10.1016/S0305-1978(97)00117-8","http://dx.doi.org/10.1016/S0305-1978(97)00117-8")</f>
      </c>
      <c r="BG432" s="1"/>
      <c r="BH432" s="1"/>
      <c r="BI432" s="1"/>
      <c r="BJ432" s="1"/>
      <c r="BK432" s="1"/>
      <c r="BL432" s="1"/>
      <c r="BM432" s="1"/>
      <c r="BN432" s="2"/>
      <c r="BO432" s="1"/>
      <c r="BP432" s="1"/>
      <c r="BQ432" s="1"/>
      <c r="BR432" s="1"/>
      <c r="BS432" s="1" t="s">
        <v>3899</v>
      </c>
      <c r="BT432" s="5">
        <f>HYPERLINK("https%3A%2F%2Fwww.webofscience.com%2Fwos%2Fwoscc%2Ffull-record%2FWOS:000074411700012","View Full Record in Web of Science")</f>
      </c>
    </row>
    <row x14ac:dyDescent="0.25" r="433" customHeight="1" ht="12.75">
      <c r="A433" s="1" t="s">
        <v>72</v>
      </c>
      <c r="B433" s="1" t="s">
        <v>3900</v>
      </c>
      <c r="C433" s="1"/>
      <c r="D433" s="1"/>
      <c r="E433" s="1"/>
      <c r="F433" s="1" t="s">
        <v>3900</v>
      </c>
      <c r="G433" s="1"/>
      <c r="H433" s="1"/>
      <c r="I433" s="1" t="s">
        <v>3901</v>
      </c>
      <c r="J433" s="1" t="s">
        <v>2255</v>
      </c>
      <c r="K433" s="1"/>
      <c r="L433" s="1"/>
      <c r="M433" s="1"/>
      <c r="N433" s="1"/>
      <c r="O433" s="1"/>
      <c r="P433" s="2"/>
      <c r="Q433" s="1"/>
      <c r="R433" s="1"/>
      <c r="S433" s="1"/>
      <c r="T433" s="1"/>
      <c r="U433" s="1"/>
      <c r="V433" s="1" t="s">
        <v>3902</v>
      </c>
      <c r="W433" s="1"/>
      <c r="X433" s="1"/>
      <c r="Y433" s="1"/>
      <c r="Z433" s="1"/>
      <c r="AA433" s="1" t="s">
        <v>3903</v>
      </c>
      <c r="AB433" s="1" t="s">
        <v>3904</v>
      </c>
      <c r="AC433" s="1"/>
      <c r="AD433" s="1"/>
      <c r="AE433" s="1"/>
      <c r="AF433" s="1"/>
      <c r="AG433" s="1"/>
      <c r="AH433" s="1"/>
      <c r="AI433" s="1"/>
      <c r="AJ433" s="1"/>
      <c r="AK433" s="1"/>
      <c r="AL433" s="1"/>
      <c r="AM433" s="1"/>
      <c r="AN433" s="1"/>
      <c r="AO433" s="1" t="s">
        <v>2259</v>
      </c>
      <c r="AP433" s="1" t="s">
        <v>2260</v>
      </c>
      <c r="AQ433" s="1"/>
      <c r="AR433" s="1"/>
      <c r="AS433" s="1"/>
      <c r="AT433" s="1"/>
      <c r="AU433" s="3">
        <v>1998</v>
      </c>
      <c r="AV433" s="3">
        <v>44</v>
      </c>
      <c r="AW433" s="2" t="s">
        <v>3905</v>
      </c>
      <c r="AX433" s="2"/>
      <c r="AY433" s="2"/>
      <c r="AZ433" s="1"/>
      <c r="BA433" s="2"/>
      <c r="BB433" s="3">
        <v>1349</v>
      </c>
      <c r="BC433" s="3">
        <v>1357</v>
      </c>
      <c r="BD433" s="2"/>
      <c r="BE433" s="1" t="s">
        <v>3906</v>
      </c>
      <c r="BF433" s="4">
        <f>HYPERLINK("http://dx.doi.org/10.1016/S0013-4686(98)00257-6","http://dx.doi.org/10.1016/S0013-4686(98)00257-6")</f>
      </c>
      <c r="BG433" s="1"/>
      <c r="BH433" s="1"/>
      <c r="BI433" s="1"/>
      <c r="BJ433" s="1"/>
      <c r="BK433" s="1"/>
      <c r="BL433" s="1"/>
      <c r="BM433" s="1"/>
      <c r="BN433" s="2"/>
      <c r="BO433" s="1"/>
      <c r="BP433" s="1"/>
      <c r="BQ433" s="1"/>
      <c r="BR433" s="1"/>
      <c r="BS433" s="1" t="s">
        <v>3907</v>
      </c>
      <c r="BT433" s="5">
        <f>HYPERLINK("https%3A%2F%2Fwww.webofscience.com%2Fwos%2Fwoscc%2Ffull-record%2FWOS:000077559300010","View Full Record in Web of Science")</f>
      </c>
    </row>
    <row x14ac:dyDescent="0.25" r="434" customHeight="1" ht="12.75">
      <c r="A434" s="1" t="s">
        <v>72</v>
      </c>
      <c r="B434" s="1" t="s">
        <v>3908</v>
      </c>
      <c r="C434" s="1"/>
      <c r="D434" s="1"/>
      <c r="E434" s="1"/>
      <c r="F434" s="1" t="s">
        <v>3908</v>
      </c>
      <c r="G434" s="1"/>
      <c r="H434" s="1"/>
      <c r="I434" s="1" t="s">
        <v>3909</v>
      </c>
      <c r="J434" s="1" t="s">
        <v>897</v>
      </c>
      <c r="K434" s="1"/>
      <c r="L434" s="1"/>
      <c r="M434" s="1"/>
      <c r="N434" s="1"/>
      <c r="O434" s="1"/>
      <c r="P434" s="2"/>
      <c r="Q434" s="1"/>
      <c r="R434" s="1"/>
      <c r="S434" s="1"/>
      <c r="T434" s="1"/>
      <c r="U434" s="1"/>
      <c r="V434" s="1" t="s">
        <v>3910</v>
      </c>
      <c r="W434" s="1"/>
      <c r="X434" s="1"/>
      <c r="Y434" s="1"/>
      <c r="Z434" s="1"/>
      <c r="AA434" s="1" t="s">
        <v>3911</v>
      </c>
      <c r="AB434" s="1"/>
      <c r="AC434" s="1"/>
      <c r="AD434" s="1"/>
      <c r="AE434" s="1"/>
      <c r="AF434" s="1"/>
      <c r="AG434" s="1"/>
      <c r="AH434" s="1"/>
      <c r="AI434" s="1"/>
      <c r="AJ434" s="1"/>
      <c r="AK434" s="1"/>
      <c r="AL434" s="1"/>
      <c r="AM434" s="1"/>
      <c r="AN434" s="1"/>
      <c r="AO434" s="1" t="s">
        <v>900</v>
      </c>
      <c r="AP434" s="1"/>
      <c r="AQ434" s="1"/>
      <c r="AR434" s="1"/>
      <c r="AS434" s="1"/>
      <c r="AT434" s="1" t="s">
        <v>605</v>
      </c>
      <c r="AU434" s="3">
        <v>1995</v>
      </c>
      <c r="AV434" s="3">
        <v>40</v>
      </c>
      <c r="AW434" s="3">
        <v>1</v>
      </c>
      <c r="AX434" s="2"/>
      <c r="AY434" s="2"/>
      <c r="AZ434" s="1"/>
      <c r="BA434" s="2"/>
      <c r="BB434" s="3">
        <v>33</v>
      </c>
      <c r="BC434" s="3">
        <v>40</v>
      </c>
      <c r="BD434" s="2"/>
      <c r="BE434" s="1"/>
      <c r="BF434" s="1"/>
      <c r="BG434" s="1"/>
      <c r="BH434" s="1"/>
      <c r="BI434" s="1"/>
      <c r="BJ434" s="1"/>
      <c r="BK434" s="1"/>
      <c r="BL434" s="1"/>
      <c r="BM434" s="1"/>
      <c r="BN434" s="2"/>
      <c r="BO434" s="1"/>
      <c r="BP434" s="1"/>
      <c r="BQ434" s="1"/>
      <c r="BR434" s="1"/>
      <c r="BS434" s="1" t="s">
        <v>3912</v>
      </c>
      <c r="BT434" s="5">
        <f>HYPERLINK("https%3A%2F%2Fwww.webofscience.com%2Fwos%2Fwoscc%2Ffull-record%2FWOS:A1995QV98900005","View Full Record in Web of Science")</f>
      </c>
    </row>
    <row x14ac:dyDescent="0.25" r="435" customHeight="1" ht="12.75">
      <c r="A435" s="1" t="s">
        <v>72</v>
      </c>
      <c r="B435" s="1" t="s">
        <v>3913</v>
      </c>
      <c r="C435" s="1"/>
      <c r="D435" s="1"/>
      <c r="E435" s="1"/>
      <c r="F435" s="1" t="s">
        <v>3913</v>
      </c>
      <c r="G435" s="1"/>
      <c r="H435" s="1"/>
      <c r="I435" s="1" t="s">
        <v>3914</v>
      </c>
      <c r="J435" s="1" t="s">
        <v>3915</v>
      </c>
      <c r="K435" s="1"/>
      <c r="L435" s="1"/>
      <c r="M435" s="1"/>
      <c r="N435" s="1"/>
      <c r="O435" s="1"/>
      <c r="P435" s="2"/>
      <c r="Q435" s="1"/>
      <c r="R435" s="1"/>
      <c r="S435" s="1"/>
      <c r="T435" s="1"/>
      <c r="U435" s="1"/>
      <c r="V435" s="1" t="s">
        <v>3916</v>
      </c>
      <c r="W435" s="1"/>
      <c r="X435" s="1"/>
      <c r="Y435" s="1"/>
      <c r="Z435" s="1"/>
      <c r="AA435" s="1" t="s">
        <v>905</v>
      </c>
      <c r="AB435" s="1"/>
      <c r="AC435" s="1"/>
      <c r="AD435" s="1"/>
      <c r="AE435" s="1"/>
      <c r="AF435" s="1"/>
      <c r="AG435" s="1"/>
      <c r="AH435" s="1"/>
      <c r="AI435" s="1"/>
      <c r="AJ435" s="1"/>
      <c r="AK435" s="1"/>
      <c r="AL435" s="1"/>
      <c r="AM435" s="1"/>
      <c r="AN435" s="1"/>
      <c r="AO435" s="1" t="s">
        <v>3917</v>
      </c>
      <c r="AP435" s="1" t="s">
        <v>3918</v>
      </c>
      <c r="AQ435" s="1"/>
      <c r="AR435" s="1"/>
      <c r="AS435" s="1"/>
      <c r="AT435" s="1" t="s">
        <v>137</v>
      </c>
      <c r="AU435" s="3">
        <v>1989</v>
      </c>
      <c r="AV435" s="3">
        <v>3</v>
      </c>
      <c r="AW435" s="3">
        <v>1</v>
      </c>
      <c r="AX435" s="2"/>
      <c r="AY435" s="2"/>
      <c r="AZ435" s="1"/>
      <c r="BA435" s="2"/>
      <c r="BB435" s="3">
        <v>113</v>
      </c>
      <c r="BC435" s="3">
        <v>122</v>
      </c>
      <c r="BD435" s="2"/>
      <c r="BE435" s="1" t="s">
        <v>3919</v>
      </c>
      <c r="BF435" s="4">
        <f>HYPERLINK("http://dx.doi.org/10.1016/1011-1344(89)80025-9","http://dx.doi.org/10.1016/1011-1344(89)80025-9")</f>
      </c>
      <c r="BG435" s="1"/>
      <c r="BH435" s="1"/>
      <c r="BI435" s="1"/>
      <c r="BJ435" s="1"/>
      <c r="BK435" s="1"/>
      <c r="BL435" s="1"/>
      <c r="BM435" s="1"/>
      <c r="BN435" s="2"/>
      <c r="BO435" s="1"/>
      <c r="BP435" s="1"/>
      <c r="BQ435" s="1"/>
      <c r="BR435" s="1"/>
      <c r="BS435" s="1" t="s">
        <v>3920</v>
      </c>
      <c r="BT435" s="5">
        <f>HYPERLINK("https%3A%2F%2Fwww.webofscience.com%2Fwos%2Fwoscc%2Ffull-record%2FWOS:A1989T643100011","View Full Record in Web of Science")</f>
      </c>
    </row>
    <row x14ac:dyDescent="0.25" r="436" customHeight="1" ht="12.75">
      <c r="A436" s="1" t="s">
        <v>72</v>
      </c>
      <c r="B436" s="1" t="s">
        <v>3921</v>
      </c>
      <c r="C436" s="1"/>
      <c r="D436" s="1"/>
      <c r="E436" s="1"/>
      <c r="F436" s="1" t="s">
        <v>3921</v>
      </c>
      <c r="G436" s="1"/>
      <c r="H436" s="1"/>
      <c r="I436" s="1" t="s">
        <v>3922</v>
      </c>
      <c r="J436" s="1" t="s">
        <v>3247</v>
      </c>
      <c r="K436" s="1"/>
      <c r="L436" s="1"/>
      <c r="M436" s="1"/>
      <c r="N436" s="1"/>
      <c r="O436" s="1"/>
      <c r="P436" s="2"/>
      <c r="Q436" s="1"/>
      <c r="R436" s="1"/>
      <c r="S436" s="1"/>
      <c r="T436" s="1"/>
      <c r="U436" s="1"/>
      <c r="V436" s="1"/>
      <c r="W436" s="1"/>
      <c r="X436" s="1"/>
      <c r="Y436" s="1"/>
      <c r="Z436" s="1"/>
      <c r="AA436" s="1" t="s">
        <v>899</v>
      </c>
      <c r="AB436" s="1"/>
      <c r="AC436" s="1"/>
      <c r="AD436" s="1"/>
      <c r="AE436" s="1"/>
      <c r="AF436" s="1"/>
      <c r="AG436" s="1"/>
      <c r="AH436" s="1"/>
      <c r="AI436" s="1"/>
      <c r="AJ436" s="1"/>
      <c r="AK436" s="1"/>
      <c r="AL436" s="1"/>
      <c r="AM436" s="1"/>
      <c r="AN436" s="1"/>
      <c r="AO436" s="1" t="s">
        <v>3249</v>
      </c>
      <c r="AP436" s="1" t="s">
        <v>3270</v>
      </c>
      <c r="AQ436" s="1"/>
      <c r="AR436" s="1"/>
      <c r="AS436" s="1"/>
      <c r="AT436" s="1" t="s">
        <v>605</v>
      </c>
      <c r="AU436" s="3">
        <v>1987</v>
      </c>
      <c r="AV436" s="3">
        <v>134</v>
      </c>
      <c r="AW436" s="3">
        <v>3</v>
      </c>
      <c r="AX436" s="2"/>
      <c r="AY436" s="2"/>
      <c r="AZ436" s="1"/>
      <c r="BA436" s="2"/>
      <c r="BB436" s="2" t="s">
        <v>3923</v>
      </c>
      <c r="BC436" s="2" t="s">
        <v>3923</v>
      </c>
      <c r="BD436" s="2"/>
      <c r="BE436" s="1"/>
      <c r="BF436" s="1"/>
      <c r="BG436" s="1"/>
      <c r="BH436" s="1"/>
      <c r="BI436" s="1"/>
      <c r="BJ436" s="1"/>
      <c r="BK436" s="1"/>
      <c r="BL436" s="1"/>
      <c r="BM436" s="1"/>
      <c r="BN436" s="2"/>
      <c r="BO436" s="1"/>
      <c r="BP436" s="1"/>
      <c r="BQ436" s="1"/>
      <c r="BR436" s="1"/>
      <c r="BS436" s="1" t="s">
        <v>3924</v>
      </c>
      <c r="BT436" s="5">
        <f>HYPERLINK("https%3A%2F%2Fwww.webofscience.com%2Fwos%2Fwoscc%2Ffull-record%2FWOS:A1987G410200446","View Full Record in Web of Science")</f>
      </c>
    </row>
    <row x14ac:dyDescent="0.25" r="437" customHeight="1" ht="12.75">
      <c r="A437" s="1" t="s">
        <v>72</v>
      </c>
      <c r="B437" s="1" t="s">
        <v>907</v>
      </c>
      <c r="C437" s="1"/>
      <c r="D437" s="1"/>
      <c r="E437" s="1"/>
      <c r="F437" s="1" t="s">
        <v>907</v>
      </c>
      <c r="G437" s="1"/>
      <c r="H437" s="1"/>
      <c r="I437" s="1" t="s">
        <v>3925</v>
      </c>
      <c r="J437" s="1" t="s">
        <v>3926</v>
      </c>
      <c r="K437" s="1"/>
      <c r="L437" s="1"/>
      <c r="M437" s="1"/>
      <c r="N437" s="1"/>
      <c r="O437" s="1"/>
      <c r="P437" s="2"/>
      <c r="Q437" s="1"/>
      <c r="R437" s="1"/>
      <c r="S437" s="1"/>
      <c r="T437" s="1"/>
      <c r="U437" s="1"/>
      <c r="V437" s="1"/>
      <c r="W437" s="1"/>
      <c r="X437" s="1"/>
      <c r="Y437" s="1"/>
      <c r="Z437" s="1"/>
      <c r="AA437" s="1"/>
      <c r="AB437" s="1" t="s">
        <v>1610</v>
      </c>
      <c r="AC437" s="1"/>
      <c r="AD437" s="1"/>
      <c r="AE437" s="1"/>
      <c r="AF437" s="1"/>
      <c r="AG437" s="1"/>
      <c r="AH437" s="1"/>
      <c r="AI437" s="1"/>
      <c r="AJ437" s="1"/>
      <c r="AK437" s="1"/>
      <c r="AL437" s="1"/>
      <c r="AM437" s="1"/>
      <c r="AN437" s="1"/>
      <c r="AO437" s="1" t="s">
        <v>3927</v>
      </c>
      <c r="AP437" s="1"/>
      <c r="AQ437" s="1"/>
      <c r="AR437" s="1"/>
      <c r="AS437" s="1"/>
      <c r="AT437" s="1" t="s">
        <v>3050</v>
      </c>
      <c r="AU437" s="3">
        <v>1986</v>
      </c>
      <c r="AV437" s="3">
        <v>49</v>
      </c>
      <c r="AW437" s="3">
        <v>5</v>
      </c>
      <c r="AX437" s="2"/>
      <c r="AY437" s="2"/>
      <c r="AZ437" s="1"/>
      <c r="BA437" s="2"/>
      <c r="BB437" s="3">
        <v>922</v>
      </c>
      <c r="BC437" s="3">
        <v>923</v>
      </c>
      <c r="BD437" s="2"/>
      <c r="BE437" s="1" t="s">
        <v>3928</v>
      </c>
      <c r="BF437" s="4">
        <f>HYPERLINK("http://dx.doi.org/10.1021/np50047a028","http://dx.doi.org/10.1021/np50047a028")</f>
      </c>
      <c r="BG437" s="1"/>
      <c r="BH437" s="1"/>
      <c r="BI437" s="1"/>
      <c r="BJ437" s="1"/>
      <c r="BK437" s="1"/>
      <c r="BL437" s="1"/>
      <c r="BM437" s="1"/>
      <c r="BN437" s="2"/>
      <c r="BO437" s="1"/>
      <c r="BP437" s="1"/>
      <c r="BQ437" s="1"/>
      <c r="BR437" s="1"/>
      <c r="BS437" s="1" t="s">
        <v>3929</v>
      </c>
      <c r="BT437" s="5">
        <f>HYPERLINK("https%3A%2F%2Fwww.webofscience.com%2Fwos%2Fwoscc%2Ffull-record%2FWOS:A1986F480600028","View Full Record in Web of Science")</f>
      </c>
    </row>
    <row x14ac:dyDescent="0.25" r="438" customHeight="1" ht="12.75">
      <c r="A438" s="1" t="s">
        <v>72</v>
      </c>
      <c r="B438" s="1" t="s">
        <v>3930</v>
      </c>
      <c r="C438" s="1"/>
      <c r="D438" s="1"/>
      <c r="E438" s="1"/>
      <c r="F438" s="1" t="s">
        <v>3930</v>
      </c>
      <c r="G438" s="1"/>
      <c r="H438" s="1"/>
      <c r="I438" s="1" t="s">
        <v>3931</v>
      </c>
      <c r="J438" s="1" t="s">
        <v>2255</v>
      </c>
      <c r="K438" s="1"/>
      <c r="L438" s="1"/>
      <c r="M438" s="1"/>
      <c r="N438" s="1"/>
      <c r="O438" s="1"/>
      <c r="P438" s="2"/>
      <c r="Q438" s="1"/>
      <c r="R438" s="1"/>
      <c r="S438" s="1"/>
      <c r="T438" s="1"/>
      <c r="U438" s="1"/>
      <c r="V438" s="1"/>
      <c r="W438" s="1"/>
      <c r="X438" s="1"/>
      <c r="Y438" s="1"/>
      <c r="Z438" s="1"/>
      <c r="AA438" s="1" t="s">
        <v>899</v>
      </c>
      <c r="AB438" s="1"/>
      <c r="AC438" s="1"/>
      <c r="AD438" s="1"/>
      <c r="AE438" s="1"/>
      <c r="AF438" s="1"/>
      <c r="AG438" s="1"/>
      <c r="AH438" s="1"/>
      <c r="AI438" s="1"/>
      <c r="AJ438" s="1"/>
      <c r="AK438" s="1"/>
      <c r="AL438" s="1"/>
      <c r="AM438" s="1"/>
      <c r="AN438" s="1"/>
      <c r="AO438" s="1" t="s">
        <v>2259</v>
      </c>
      <c r="AP438" s="1"/>
      <c r="AQ438" s="1"/>
      <c r="AR438" s="1"/>
      <c r="AS438" s="1"/>
      <c r="AT438" s="1"/>
      <c r="AU438" s="3">
        <v>1985</v>
      </c>
      <c r="AV438" s="3">
        <v>30</v>
      </c>
      <c r="AW438" s="3">
        <v>4</v>
      </c>
      <c r="AX438" s="2"/>
      <c r="AY438" s="2"/>
      <c r="AZ438" s="1"/>
      <c r="BA438" s="2"/>
      <c r="BB438" s="3">
        <v>449</v>
      </c>
      <c r="BC438" s="3">
        <v>454</v>
      </c>
      <c r="BD438" s="2"/>
      <c r="BE438" s="1" t="s">
        <v>3932</v>
      </c>
      <c r="BF438" s="4">
        <f>HYPERLINK("http://dx.doi.org/10.1016/0013-4686(85)80033-5","http://dx.doi.org/10.1016/0013-4686(85)80033-5")</f>
      </c>
      <c r="BG438" s="1"/>
      <c r="BH438" s="1"/>
      <c r="BI438" s="1"/>
      <c r="BJ438" s="1"/>
      <c r="BK438" s="1"/>
      <c r="BL438" s="1"/>
      <c r="BM438" s="1"/>
      <c r="BN438" s="2"/>
      <c r="BO438" s="1"/>
      <c r="BP438" s="1"/>
      <c r="BQ438" s="1"/>
      <c r="BR438" s="1"/>
      <c r="BS438" s="1" t="s">
        <v>3933</v>
      </c>
      <c r="BT438" s="5">
        <f>HYPERLINK("https%3A%2F%2Fwww.webofscience.com%2Fwos%2Fwoscc%2Ffull-record%2FWOS:A1985AHC8900005","View Full Record in Web of Science")</f>
      </c>
    </row>
    <row x14ac:dyDescent="0.25" r="439" customHeight="1" ht="12.75">
      <c r="A439" s="1" t="s">
        <v>72</v>
      </c>
      <c r="B439" s="1" t="s">
        <v>3934</v>
      </c>
      <c r="C439" s="1"/>
      <c r="D439" s="1"/>
      <c r="E439" s="1"/>
      <c r="F439" s="1" t="s">
        <v>3934</v>
      </c>
      <c r="G439" s="1"/>
      <c r="H439" s="1"/>
      <c r="I439" s="1" t="s">
        <v>3935</v>
      </c>
      <c r="J439" s="1" t="s">
        <v>3936</v>
      </c>
      <c r="K439" s="1"/>
      <c r="L439" s="1"/>
      <c r="M439" s="1"/>
      <c r="N439" s="1"/>
      <c r="O439" s="1"/>
      <c r="P439" s="2"/>
      <c r="Q439" s="1"/>
      <c r="R439" s="1"/>
      <c r="S439" s="1"/>
      <c r="T439" s="1"/>
      <c r="U439" s="1"/>
      <c r="V439" s="1"/>
      <c r="W439" s="1"/>
      <c r="X439" s="1"/>
      <c r="Y439" s="1"/>
      <c r="Z439" s="1"/>
      <c r="AA439" s="1" t="s">
        <v>3937</v>
      </c>
      <c r="AB439" s="1" t="s">
        <v>3938</v>
      </c>
      <c r="AC439" s="1"/>
      <c r="AD439" s="1"/>
      <c r="AE439" s="1"/>
      <c r="AF439" s="1"/>
      <c r="AG439" s="1"/>
      <c r="AH439" s="1"/>
      <c r="AI439" s="1"/>
      <c r="AJ439" s="1"/>
      <c r="AK439" s="1"/>
      <c r="AL439" s="1"/>
      <c r="AM439" s="1"/>
      <c r="AN439" s="1"/>
      <c r="AO439" s="1" t="s">
        <v>3939</v>
      </c>
      <c r="AP439" s="1"/>
      <c r="AQ439" s="1"/>
      <c r="AR439" s="1"/>
      <c r="AS439" s="1"/>
      <c r="AT439" s="1"/>
      <c r="AU439" s="3">
        <v>1984</v>
      </c>
      <c r="AV439" s="3">
        <v>17</v>
      </c>
      <c r="AW439" s="3">
        <v>10</v>
      </c>
      <c r="AX439" s="2"/>
      <c r="AY439" s="2"/>
      <c r="AZ439" s="1"/>
      <c r="BA439" s="2"/>
      <c r="BB439" s="2" t="s">
        <v>3940</v>
      </c>
      <c r="BC439" s="2" t="s">
        <v>3941</v>
      </c>
      <c r="BD439" s="2"/>
      <c r="BE439" s="1" t="s">
        <v>3942</v>
      </c>
      <c r="BF439" s="4">
        <f>HYPERLINK("http://dx.doi.org/10.1088/0305-4470/17/10/001","http://dx.doi.org/10.1088/0305-4470/17/10/001")</f>
      </c>
      <c r="BG439" s="1"/>
      <c r="BH439" s="1"/>
      <c r="BI439" s="1"/>
      <c r="BJ439" s="1"/>
      <c r="BK439" s="1"/>
      <c r="BL439" s="1"/>
      <c r="BM439" s="1"/>
      <c r="BN439" s="2"/>
      <c r="BO439" s="1"/>
      <c r="BP439" s="1"/>
      <c r="BQ439" s="1"/>
      <c r="BR439" s="1"/>
      <c r="BS439" s="1" t="s">
        <v>3943</v>
      </c>
      <c r="BT439" s="5">
        <f>HYPERLINK("https%3A%2F%2Fwww.webofscience.com%2Fwos%2Fwoscc%2Ffull-record%2FWOS:A1984TB67900001","View Full Record in Web of Science")</f>
      </c>
    </row>
    <row x14ac:dyDescent="0.25" r="440" customHeight="1" ht="12.75">
      <c r="A440" s="1" t="s">
        <v>72</v>
      </c>
      <c r="B440" s="1" t="s">
        <v>3944</v>
      </c>
      <c r="C440" s="1"/>
      <c r="D440" s="1"/>
      <c r="E440" s="1"/>
      <c r="F440" s="1" t="s">
        <v>3944</v>
      </c>
      <c r="G440" s="1"/>
      <c r="H440" s="1"/>
      <c r="I440" s="1" t="s">
        <v>3945</v>
      </c>
      <c r="J440" s="1" t="s">
        <v>3926</v>
      </c>
      <c r="K440" s="1"/>
      <c r="L440" s="1"/>
      <c r="M440" s="1"/>
      <c r="N440" s="1"/>
      <c r="O440" s="1"/>
      <c r="P440" s="2"/>
      <c r="Q440" s="1"/>
      <c r="R440" s="1"/>
      <c r="S440" s="1"/>
      <c r="T440" s="1"/>
      <c r="U440" s="1"/>
      <c r="V440" s="1"/>
      <c r="W440" s="1"/>
      <c r="X440" s="1"/>
      <c r="Y440" s="1"/>
      <c r="Z440" s="1"/>
      <c r="AA440" s="1" t="s">
        <v>3946</v>
      </c>
      <c r="AB440" s="1"/>
      <c r="AC440" s="1"/>
      <c r="AD440" s="1"/>
      <c r="AE440" s="1"/>
      <c r="AF440" s="1"/>
      <c r="AG440" s="1"/>
      <c r="AH440" s="1"/>
      <c r="AI440" s="1"/>
      <c r="AJ440" s="1"/>
      <c r="AK440" s="1"/>
      <c r="AL440" s="1"/>
      <c r="AM440" s="1"/>
      <c r="AN440" s="1"/>
      <c r="AO440" s="1" t="s">
        <v>3927</v>
      </c>
      <c r="AP440" s="1"/>
      <c r="AQ440" s="1"/>
      <c r="AR440" s="1"/>
      <c r="AS440" s="1"/>
      <c r="AT440" s="1"/>
      <c r="AU440" s="3">
        <v>1982</v>
      </c>
      <c r="AV440" s="3">
        <v>45</v>
      </c>
      <c r="AW440" s="3">
        <v>3</v>
      </c>
      <c r="AX440" s="2"/>
      <c r="AY440" s="2"/>
      <c r="AZ440" s="1"/>
      <c r="BA440" s="2"/>
      <c r="BB440" s="3">
        <v>367</v>
      </c>
      <c r="BC440" s="3">
        <v>369</v>
      </c>
      <c r="BD440" s="2"/>
      <c r="BE440" s="1" t="s">
        <v>3947</v>
      </c>
      <c r="BF440" s="4">
        <f>HYPERLINK("http://dx.doi.org/10.1021/np50021a023","http://dx.doi.org/10.1021/np50021a023")</f>
      </c>
      <c r="BG440" s="1"/>
      <c r="BH440" s="1"/>
      <c r="BI440" s="1"/>
      <c r="BJ440" s="1"/>
      <c r="BK440" s="1"/>
      <c r="BL440" s="1"/>
      <c r="BM440" s="1"/>
      <c r="BN440" s="2"/>
      <c r="BO440" s="1"/>
      <c r="BP440" s="1"/>
      <c r="BQ440" s="1"/>
      <c r="BR440" s="1"/>
      <c r="BS440" s="1" t="s">
        <v>3948</v>
      </c>
      <c r="BT440" s="5">
        <f>HYPERLINK("https%3A%2F%2Fwww.webofscience.com%2Fwos%2Fwoscc%2Ffull-record%2FWOS:A1982NY12100023","View Full Record in Web of Science")</f>
      </c>
    </row>
    <row x14ac:dyDescent="0.25" r="441" customHeight="1" ht="12.75">
      <c r="A441" s="1" t="s">
        <v>72</v>
      </c>
      <c r="B441" s="1" t="s">
        <v>3949</v>
      </c>
      <c r="C441" s="1"/>
      <c r="D441" s="1"/>
      <c r="E441" s="1"/>
      <c r="F441" s="1" t="s">
        <v>3949</v>
      </c>
      <c r="G441" s="1"/>
      <c r="H441" s="1"/>
      <c r="I441" s="1" t="s">
        <v>3950</v>
      </c>
      <c r="J441" s="1" t="s">
        <v>3247</v>
      </c>
      <c r="K441" s="1"/>
      <c r="L441" s="1"/>
      <c r="M441" s="1"/>
      <c r="N441" s="1"/>
      <c r="O441" s="1"/>
      <c r="P441" s="2"/>
      <c r="Q441" s="1"/>
      <c r="R441" s="1"/>
      <c r="S441" s="1"/>
      <c r="T441" s="1"/>
      <c r="U441" s="1"/>
      <c r="V441" s="1"/>
      <c r="W441" s="1"/>
      <c r="X441" s="1"/>
      <c r="Y441" s="1"/>
      <c r="Z441" s="1"/>
      <c r="AA441" s="1" t="s">
        <v>3951</v>
      </c>
      <c r="AB441" s="1"/>
      <c r="AC441" s="1"/>
      <c r="AD441" s="1"/>
      <c r="AE441" s="1"/>
      <c r="AF441" s="1"/>
      <c r="AG441" s="1"/>
      <c r="AH441" s="1"/>
      <c r="AI441" s="1"/>
      <c r="AJ441" s="1"/>
      <c r="AK441" s="1"/>
      <c r="AL441" s="1"/>
      <c r="AM441" s="1"/>
      <c r="AN441" s="1"/>
      <c r="AO441" s="1" t="s">
        <v>3249</v>
      </c>
      <c r="AP441" s="1"/>
      <c r="AQ441" s="1"/>
      <c r="AR441" s="1"/>
      <c r="AS441" s="1"/>
      <c r="AT441" s="1"/>
      <c r="AU441" s="3">
        <v>1981</v>
      </c>
      <c r="AV441" s="3">
        <v>128</v>
      </c>
      <c r="AW441" s="3">
        <v>3</v>
      </c>
      <c r="AX441" s="2"/>
      <c r="AY441" s="2"/>
      <c r="AZ441" s="1"/>
      <c r="BA441" s="2"/>
      <c r="BB441" s="2" t="s">
        <v>3952</v>
      </c>
      <c r="BC441" s="2" t="s">
        <v>3952</v>
      </c>
      <c r="BD441" s="2"/>
      <c r="BE441" s="1"/>
      <c r="BF441" s="1"/>
      <c r="BG441" s="1"/>
      <c r="BH441" s="1"/>
      <c r="BI441" s="1"/>
      <c r="BJ441" s="1"/>
      <c r="BK441" s="1"/>
      <c r="BL441" s="1"/>
      <c r="BM441" s="1"/>
      <c r="BN441" s="2"/>
      <c r="BO441" s="1"/>
      <c r="BP441" s="1"/>
      <c r="BQ441" s="1"/>
      <c r="BR441" s="1"/>
      <c r="BS441" s="1" t="s">
        <v>3953</v>
      </c>
      <c r="BT441" s="5">
        <f>HYPERLINK("https%3A%2F%2Fwww.webofscience.com%2Fwos%2Fwoscc%2Ffull-record%2FWOS:A1981LF08600580","View Full Record in Web of Science")</f>
      </c>
    </row>
    <row x14ac:dyDescent="0.25" r="442" customHeight="1" ht="12.75">
      <c r="A442" s="1" t="s">
        <v>72</v>
      </c>
      <c r="B442" s="1" t="s">
        <v>3954</v>
      </c>
      <c r="C442" s="1"/>
      <c r="D442" s="1"/>
      <c r="E442" s="1"/>
      <c r="F442" s="1" t="s">
        <v>3954</v>
      </c>
      <c r="G442" s="1"/>
      <c r="H442" s="1"/>
      <c r="I442" s="1" t="s">
        <v>3955</v>
      </c>
      <c r="J442" s="1" t="s">
        <v>3956</v>
      </c>
      <c r="K442" s="1"/>
      <c r="L442" s="1"/>
      <c r="M442" s="1"/>
      <c r="N442" s="1"/>
      <c r="O442" s="1"/>
      <c r="P442" s="2"/>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3">
        <v>1975</v>
      </c>
      <c r="AV442" s="3">
        <v>22</v>
      </c>
      <c r="AW442" s="3">
        <v>6</v>
      </c>
      <c r="AX442" s="2"/>
      <c r="AY442" s="2"/>
      <c r="AZ442" s="1"/>
      <c r="BA442" s="2"/>
      <c r="BB442" s="2" t="s">
        <v>3957</v>
      </c>
      <c r="BC442" s="2" t="s">
        <v>3957</v>
      </c>
      <c r="BD442" s="2"/>
      <c r="BE442" s="1"/>
      <c r="BF442" s="1"/>
      <c r="BG442" s="1"/>
      <c r="BH442" s="1"/>
      <c r="BI442" s="1"/>
      <c r="BJ442" s="1"/>
      <c r="BK442" s="1"/>
      <c r="BL442" s="1"/>
      <c r="BM442" s="1"/>
      <c r="BN442" s="2"/>
      <c r="BO442" s="1"/>
      <c r="BP442" s="1"/>
      <c r="BQ442" s="1"/>
      <c r="BR442" s="1"/>
      <c r="BS442" s="1" t="s">
        <v>3958</v>
      </c>
      <c r="BT442" s="5">
        <f>HYPERLINK("https%3A%2F%2Fwww.webofscience.com%2Fwos%2Fwoscc%2Ffull-record%2FWOS:A1975AR98100022","View Full Record in Web of Science")</f>
      </c>
    </row>
    <row x14ac:dyDescent="0.25" r="443" customHeight="1" ht="12.75">
      <c r="A443" s="1" t="s">
        <v>72</v>
      </c>
      <c r="B443" s="1" t="s">
        <v>3959</v>
      </c>
      <c r="C443" s="1"/>
      <c r="D443" s="1"/>
      <c r="E443" s="1"/>
      <c r="F443" s="1" t="s">
        <v>3960</v>
      </c>
      <c r="G443" s="1"/>
      <c r="H443" s="1"/>
      <c r="I443" s="1" t="s">
        <v>3961</v>
      </c>
      <c r="J443" s="1" t="s">
        <v>3962</v>
      </c>
      <c r="K443" s="1"/>
      <c r="L443" s="1"/>
      <c r="M443" s="1"/>
      <c r="N443" s="1"/>
      <c r="O443" s="1"/>
      <c r="P443" s="2"/>
      <c r="Q443" s="1"/>
      <c r="R443" s="1"/>
      <c r="S443" s="1"/>
      <c r="T443" s="1"/>
      <c r="U443" s="1"/>
      <c r="V443" s="1" t="s">
        <v>3963</v>
      </c>
      <c r="W443" s="1"/>
      <c r="X443" s="1"/>
      <c r="Y443" s="1"/>
      <c r="Z443" s="1"/>
      <c r="AA443" s="1" t="s">
        <v>3964</v>
      </c>
      <c r="AB443" s="1" t="s">
        <v>1331</v>
      </c>
      <c r="AC443" s="1"/>
      <c r="AD443" s="1"/>
      <c r="AE443" s="1"/>
      <c r="AF443" s="1"/>
      <c r="AG443" s="1"/>
      <c r="AH443" s="1"/>
      <c r="AI443" s="1"/>
      <c r="AJ443" s="1"/>
      <c r="AK443" s="1"/>
      <c r="AL443" s="1"/>
      <c r="AM443" s="1"/>
      <c r="AN443" s="1"/>
      <c r="AO443" s="1" t="s">
        <v>3965</v>
      </c>
      <c r="AP443" s="1" t="s">
        <v>3966</v>
      </c>
      <c r="AQ443" s="1"/>
      <c r="AR443" s="1"/>
      <c r="AS443" s="1"/>
      <c r="AT443" s="1" t="s">
        <v>137</v>
      </c>
      <c r="AU443" s="3">
        <v>2024</v>
      </c>
      <c r="AV443" s="3">
        <v>31</v>
      </c>
      <c r="AW443" s="3">
        <v>8</v>
      </c>
      <c r="AX443" s="2"/>
      <c r="AY443" s="2"/>
      <c r="AZ443" s="1"/>
      <c r="BA443" s="2"/>
      <c r="BB443" s="3">
        <v>12257</v>
      </c>
      <c r="BC443" s="3">
        <v>12270</v>
      </c>
      <c r="BD443" s="2"/>
      <c r="BE443" s="1" t="s">
        <v>3967</v>
      </c>
      <c r="BF443" s="4">
        <f>HYPERLINK("http://dx.doi.org/10.1007/s11356-024-31913-1","http://dx.doi.org/10.1007/s11356-024-31913-1")</f>
      </c>
      <c r="BG443" s="1"/>
      <c r="BH443" s="1" t="s">
        <v>3968</v>
      </c>
      <c r="BI443" s="1"/>
      <c r="BJ443" s="1"/>
      <c r="BK443" s="1"/>
      <c r="BL443" s="1"/>
      <c r="BM443" s="1"/>
      <c r="BN443" s="3">
        <v>38227262</v>
      </c>
      <c r="BO443" s="1"/>
      <c r="BP443" s="1"/>
      <c r="BQ443" s="1"/>
      <c r="BR443" s="1"/>
      <c r="BS443" s="1" t="s">
        <v>3969</v>
      </c>
      <c r="BT443" s="5">
        <f>HYPERLINK("https%3A%2F%2Fwww.webofscience.com%2Fwos%2Fwoscc%2Ffull-record%2FWOS:001153882900012","View Full Record in Web of Science")</f>
      </c>
    </row>
    <row x14ac:dyDescent="0.25" r="444" customHeight="1" ht="12.75">
      <c r="A444" s="1" t="s">
        <v>72</v>
      </c>
      <c r="B444" s="1" t="s">
        <v>3970</v>
      </c>
      <c r="C444" s="1"/>
      <c r="D444" s="1"/>
      <c r="E444" s="1"/>
      <c r="F444" s="1" t="s">
        <v>3971</v>
      </c>
      <c r="G444" s="1"/>
      <c r="H444" s="1"/>
      <c r="I444" s="1" t="s">
        <v>3972</v>
      </c>
      <c r="J444" s="1" t="s">
        <v>2660</v>
      </c>
      <c r="K444" s="1"/>
      <c r="L444" s="1"/>
      <c r="M444" s="1"/>
      <c r="N444" s="1"/>
      <c r="O444" s="1"/>
      <c r="P444" s="2"/>
      <c r="Q444" s="1"/>
      <c r="R444" s="1"/>
      <c r="S444" s="1"/>
      <c r="T444" s="1"/>
      <c r="U444" s="1"/>
      <c r="V444" s="1" t="s">
        <v>3973</v>
      </c>
      <c r="W444" s="1"/>
      <c r="X444" s="1"/>
      <c r="Y444" s="1"/>
      <c r="Z444" s="1"/>
      <c r="AA444" s="1"/>
      <c r="AB444" s="1"/>
      <c r="AC444" s="1"/>
      <c r="AD444" s="1"/>
      <c r="AE444" s="1"/>
      <c r="AF444" s="1"/>
      <c r="AG444" s="1"/>
      <c r="AH444" s="1"/>
      <c r="AI444" s="1"/>
      <c r="AJ444" s="1"/>
      <c r="AK444" s="1"/>
      <c r="AL444" s="1"/>
      <c r="AM444" s="1"/>
      <c r="AN444" s="1"/>
      <c r="AO444" s="1" t="s">
        <v>2662</v>
      </c>
      <c r="AP444" s="1"/>
      <c r="AQ444" s="1"/>
      <c r="AR444" s="1"/>
      <c r="AS444" s="1"/>
      <c r="AT444" s="1"/>
      <c r="AU444" s="3">
        <v>2024</v>
      </c>
      <c r="AV444" s="3">
        <v>12</v>
      </c>
      <c r="AW444" s="3">
        <v>23</v>
      </c>
      <c r="AX444" s="2"/>
      <c r="AY444" s="2"/>
      <c r="AZ444" s="1"/>
      <c r="BA444" s="2"/>
      <c r="BB444" s="3">
        <v>288</v>
      </c>
      <c r="BC444" s="3">
        <v>315</v>
      </c>
      <c r="BD444" s="2"/>
      <c r="BE444" s="1" t="s">
        <v>3974</v>
      </c>
      <c r="BF444" s="4">
        <f>HYPERLINK("http://dx.doi.org/10.5195/ct/2024.559","http://dx.doi.org/10.5195/ct/2024.559")</f>
      </c>
      <c r="BG444" s="1"/>
      <c r="BH444" s="1"/>
      <c r="BI444" s="1"/>
      <c r="BJ444" s="1"/>
      <c r="BK444" s="1"/>
      <c r="BL444" s="1"/>
      <c r="BM444" s="1"/>
      <c r="BN444" s="2"/>
      <c r="BO444" s="1"/>
      <c r="BP444" s="1"/>
      <c r="BQ444" s="1"/>
      <c r="BR444" s="1"/>
      <c r="BS444" s="1" t="s">
        <v>3975</v>
      </c>
      <c r="BT444" s="5">
        <f>HYPERLINK("https%3A%2F%2Fwww.webofscience.com%2Fwos%2Fwoscc%2Ffull-record%2FWOS:001411013300011","View Full Record in Web of Science")</f>
      </c>
    </row>
    <row x14ac:dyDescent="0.25" r="445" customHeight="1" ht="12.75">
      <c r="A445" s="1" t="s">
        <v>72</v>
      </c>
      <c r="B445" s="1" t="s">
        <v>3976</v>
      </c>
      <c r="C445" s="1"/>
      <c r="D445" s="1"/>
      <c r="E445" s="1"/>
      <c r="F445" s="1" t="s">
        <v>3977</v>
      </c>
      <c r="G445" s="1"/>
      <c r="H445" s="1"/>
      <c r="I445" s="1" t="s">
        <v>3978</v>
      </c>
      <c r="J445" s="1" t="s">
        <v>2629</v>
      </c>
      <c r="K445" s="1"/>
      <c r="L445" s="1"/>
      <c r="M445" s="1"/>
      <c r="N445" s="1"/>
      <c r="O445" s="1"/>
      <c r="P445" s="2"/>
      <c r="Q445" s="1"/>
      <c r="R445" s="1"/>
      <c r="S445" s="1"/>
      <c r="T445" s="1"/>
      <c r="U445" s="1"/>
      <c r="V445" s="1" t="s">
        <v>3979</v>
      </c>
      <c r="W445" s="1"/>
      <c r="X445" s="1"/>
      <c r="Y445" s="1"/>
      <c r="Z445" s="1"/>
      <c r="AA445" s="1" t="s">
        <v>201</v>
      </c>
      <c r="AB445" s="1" t="s">
        <v>3980</v>
      </c>
      <c r="AC445" s="1"/>
      <c r="AD445" s="1"/>
      <c r="AE445" s="1"/>
      <c r="AF445" s="1"/>
      <c r="AG445" s="1"/>
      <c r="AH445" s="1"/>
      <c r="AI445" s="1"/>
      <c r="AJ445" s="1"/>
      <c r="AK445" s="1"/>
      <c r="AL445" s="1"/>
      <c r="AM445" s="1"/>
      <c r="AN445" s="1"/>
      <c r="AO445" s="1"/>
      <c r="AP445" s="1" t="s">
        <v>2632</v>
      </c>
      <c r="AQ445" s="1"/>
      <c r="AR445" s="1"/>
      <c r="AS445" s="1"/>
      <c r="AT445" s="1" t="s">
        <v>204</v>
      </c>
      <c r="AU445" s="3">
        <v>2023</v>
      </c>
      <c r="AV445" s="3">
        <v>11</v>
      </c>
      <c r="AW445" s="3">
        <v>12</v>
      </c>
      <c r="AX445" s="2"/>
      <c r="AY445" s="2"/>
      <c r="AZ445" s="1"/>
      <c r="BA445" s="2"/>
      <c r="BB445" s="2"/>
      <c r="BC445" s="2"/>
      <c r="BD445" s="3">
        <v>3267</v>
      </c>
      <c r="BE445" s="1" t="s">
        <v>3981</v>
      </c>
      <c r="BF445" s="4">
        <f>HYPERLINK("http://dx.doi.org/10.3390/pr11123267","http://dx.doi.org/10.3390/pr11123267")</f>
      </c>
      <c r="BG445" s="1"/>
      <c r="BH445" s="1"/>
      <c r="BI445" s="1"/>
      <c r="BJ445" s="1"/>
      <c r="BK445" s="1"/>
      <c r="BL445" s="1"/>
      <c r="BM445" s="1"/>
      <c r="BN445" s="2"/>
      <c r="BO445" s="1"/>
      <c r="BP445" s="1"/>
      <c r="BQ445" s="1"/>
      <c r="BR445" s="1"/>
      <c r="BS445" s="1" t="s">
        <v>3982</v>
      </c>
      <c r="BT445" s="5">
        <f>HYPERLINK("https%3A%2F%2Fwww.webofscience.com%2Fwos%2Fwoscc%2Ffull-record%2FWOS:001131353800001","View Full Record in Web of Science")</f>
      </c>
    </row>
    <row x14ac:dyDescent="0.25" r="446" customHeight="1" ht="12.75">
      <c r="A446" s="1" t="s">
        <v>72</v>
      </c>
      <c r="B446" s="1" t="s">
        <v>3983</v>
      </c>
      <c r="C446" s="1"/>
      <c r="D446" s="1"/>
      <c r="E446" s="1"/>
      <c r="F446" s="1" t="s">
        <v>3984</v>
      </c>
      <c r="G446" s="1"/>
      <c r="H446" s="1"/>
      <c r="I446" s="1" t="s">
        <v>3985</v>
      </c>
      <c r="J446" s="1" t="s">
        <v>1013</v>
      </c>
      <c r="K446" s="1"/>
      <c r="L446" s="1"/>
      <c r="M446" s="1"/>
      <c r="N446" s="1"/>
      <c r="O446" s="1"/>
      <c r="P446" s="2"/>
      <c r="Q446" s="1"/>
      <c r="R446" s="1"/>
      <c r="S446" s="1"/>
      <c r="T446" s="1"/>
      <c r="U446" s="1"/>
      <c r="V446" s="1" t="s">
        <v>3986</v>
      </c>
      <c r="W446" s="1"/>
      <c r="X446" s="1"/>
      <c r="Y446" s="1"/>
      <c r="Z446" s="1"/>
      <c r="AA446" s="1"/>
      <c r="AB446" s="1" t="s">
        <v>3987</v>
      </c>
      <c r="AC446" s="1"/>
      <c r="AD446" s="1"/>
      <c r="AE446" s="1"/>
      <c r="AF446" s="1"/>
      <c r="AG446" s="1"/>
      <c r="AH446" s="1"/>
      <c r="AI446" s="1"/>
      <c r="AJ446" s="1"/>
      <c r="AK446" s="1"/>
      <c r="AL446" s="1"/>
      <c r="AM446" s="1"/>
      <c r="AN446" s="1"/>
      <c r="AO446" s="1" t="s">
        <v>1016</v>
      </c>
      <c r="AP446" s="1" t="s">
        <v>1017</v>
      </c>
      <c r="AQ446" s="1"/>
      <c r="AR446" s="1"/>
      <c r="AS446" s="1"/>
      <c r="AT446" s="1" t="s">
        <v>292</v>
      </c>
      <c r="AU446" s="3">
        <v>2023</v>
      </c>
      <c r="AV446" s="3">
        <v>23</v>
      </c>
      <c r="AW446" s="3">
        <v>3</v>
      </c>
      <c r="AX446" s="2"/>
      <c r="AY446" s="2"/>
      <c r="AZ446" s="1" t="s">
        <v>170</v>
      </c>
      <c r="BA446" s="2"/>
      <c r="BB446" s="3">
        <v>905</v>
      </c>
      <c r="BC446" s="3">
        <v>925</v>
      </c>
      <c r="BD446" s="2"/>
      <c r="BE446" s="1" t="s">
        <v>3988</v>
      </c>
      <c r="BF446" s="4">
        <f>HYPERLINK("http://dx.doi.org/10.1007/s11115-023-00716-2","http://dx.doi.org/10.1007/s11115-023-00716-2")</f>
      </c>
      <c r="BG446" s="1"/>
      <c r="BH446" s="1" t="s">
        <v>3989</v>
      </c>
      <c r="BI446" s="1"/>
      <c r="BJ446" s="1"/>
      <c r="BK446" s="1"/>
      <c r="BL446" s="1"/>
      <c r="BM446" s="1"/>
      <c r="BN446" s="2"/>
      <c r="BO446" s="1"/>
      <c r="BP446" s="1"/>
      <c r="BQ446" s="1"/>
      <c r="BR446" s="1"/>
      <c r="BS446" s="1" t="s">
        <v>3990</v>
      </c>
      <c r="BT446" s="5">
        <f>HYPERLINK("https%3A%2F%2Fwww.webofscience.com%2Fwos%2Fwoscc%2Ffull-record%2FWOS:001026345100001","View Full Record in Web of Science")</f>
      </c>
    </row>
    <row x14ac:dyDescent="0.25" r="447" customHeight="1" ht="12.75">
      <c r="A447" s="1" t="s">
        <v>72</v>
      </c>
      <c r="B447" s="1" t="s">
        <v>3991</v>
      </c>
      <c r="C447" s="1"/>
      <c r="D447" s="1"/>
      <c r="E447" s="1"/>
      <c r="F447" s="1" t="s">
        <v>3992</v>
      </c>
      <c r="G447" s="1"/>
      <c r="H447" s="1"/>
      <c r="I447" s="1" t="s">
        <v>3993</v>
      </c>
      <c r="J447" s="1" t="s">
        <v>3994</v>
      </c>
      <c r="K447" s="1"/>
      <c r="L447" s="1"/>
      <c r="M447" s="1"/>
      <c r="N447" s="1"/>
      <c r="O447" s="1"/>
      <c r="P447" s="2"/>
      <c r="Q447" s="1"/>
      <c r="R447" s="1"/>
      <c r="S447" s="1"/>
      <c r="T447" s="1"/>
      <c r="U447" s="1"/>
      <c r="V447" s="1" t="s">
        <v>3995</v>
      </c>
      <c r="W447" s="1"/>
      <c r="X447" s="1"/>
      <c r="Y447" s="1"/>
      <c r="Z447" s="1"/>
      <c r="AA447" s="1" t="s">
        <v>3996</v>
      </c>
      <c r="AB447" s="1"/>
      <c r="AC447" s="1"/>
      <c r="AD447" s="1"/>
      <c r="AE447" s="1"/>
      <c r="AF447" s="1"/>
      <c r="AG447" s="1"/>
      <c r="AH447" s="1"/>
      <c r="AI447" s="1"/>
      <c r="AJ447" s="1"/>
      <c r="AK447" s="1"/>
      <c r="AL447" s="1"/>
      <c r="AM447" s="1"/>
      <c r="AN447" s="1"/>
      <c r="AO447" s="1" t="s">
        <v>3997</v>
      </c>
      <c r="AP447" s="1" t="s">
        <v>3998</v>
      </c>
      <c r="AQ447" s="1"/>
      <c r="AR447" s="1"/>
      <c r="AS447" s="1"/>
      <c r="AT447" s="1" t="s">
        <v>292</v>
      </c>
      <c r="AU447" s="3">
        <v>2023</v>
      </c>
      <c r="AV447" s="3">
        <v>151</v>
      </c>
      <c r="AW447" s="3">
        <v>9</v>
      </c>
      <c r="AX447" s="2"/>
      <c r="AY447" s="2"/>
      <c r="AZ447" s="1"/>
      <c r="BA447" s="2"/>
      <c r="BB447" s="3">
        <v>3839</v>
      </c>
      <c r="BC447" s="3">
        <v>3843</v>
      </c>
      <c r="BD447" s="2"/>
      <c r="BE447" s="1" t="s">
        <v>3999</v>
      </c>
      <c r="BF447" s="4">
        <f>HYPERLINK("http://dx.doi.org/10.1090/proc/16379","http://dx.doi.org/10.1090/proc/16379")</f>
      </c>
      <c r="BG447" s="1"/>
      <c r="BH447" s="1" t="s">
        <v>1031</v>
      </c>
      <c r="BI447" s="1"/>
      <c r="BJ447" s="1"/>
      <c r="BK447" s="1"/>
      <c r="BL447" s="1"/>
      <c r="BM447" s="1"/>
      <c r="BN447" s="2"/>
      <c r="BO447" s="1"/>
      <c r="BP447" s="1"/>
      <c r="BQ447" s="1"/>
      <c r="BR447" s="1"/>
      <c r="BS447" s="1" t="s">
        <v>4000</v>
      </c>
      <c r="BT447" s="5">
        <f>HYPERLINK("https%3A%2F%2Fwww.webofscience.com%2Fwos%2Fwoscc%2Ffull-record%2FWOS:001004285200001","View Full Record in Web of Science")</f>
      </c>
    </row>
    <row x14ac:dyDescent="0.25" r="448" customHeight="1" ht="12.75">
      <c r="A448" s="1" t="s">
        <v>72</v>
      </c>
      <c r="B448" s="1" t="s">
        <v>4001</v>
      </c>
      <c r="C448" s="1"/>
      <c r="D448" s="1"/>
      <c r="E448" s="1"/>
      <c r="F448" s="1" t="s">
        <v>4002</v>
      </c>
      <c r="G448" s="1"/>
      <c r="H448" s="1"/>
      <c r="I448" s="1" t="s">
        <v>4003</v>
      </c>
      <c r="J448" s="1" t="s">
        <v>4004</v>
      </c>
      <c r="K448" s="1"/>
      <c r="L448" s="1"/>
      <c r="M448" s="1"/>
      <c r="N448" s="1"/>
      <c r="O448" s="1"/>
      <c r="P448" s="2"/>
      <c r="Q448" s="1"/>
      <c r="R448" s="1"/>
      <c r="S448" s="1"/>
      <c r="T448" s="1"/>
      <c r="U448" s="1"/>
      <c r="V448" s="1" t="s">
        <v>4005</v>
      </c>
      <c r="W448" s="1"/>
      <c r="X448" s="1"/>
      <c r="Y448" s="1"/>
      <c r="Z448" s="1"/>
      <c r="AA448" s="1" t="s">
        <v>4006</v>
      </c>
      <c r="AB448" s="1" t="s">
        <v>4007</v>
      </c>
      <c r="AC448" s="1"/>
      <c r="AD448" s="1"/>
      <c r="AE448" s="1"/>
      <c r="AF448" s="1"/>
      <c r="AG448" s="1"/>
      <c r="AH448" s="1"/>
      <c r="AI448" s="1"/>
      <c r="AJ448" s="1"/>
      <c r="AK448" s="1"/>
      <c r="AL448" s="1"/>
      <c r="AM448" s="1"/>
      <c r="AN448" s="1"/>
      <c r="AO448" s="1"/>
      <c r="AP448" s="1" t="s">
        <v>4008</v>
      </c>
      <c r="AQ448" s="1"/>
      <c r="AR448" s="1"/>
      <c r="AS448" s="1"/>
      <c r="AT448" s="1" t="s">
        <v>103</v>
      </c>
      <c r="AU448" s="3">
        <v>2023</v>
      </c>
      <c r="AV448" s="3">
        <v>13</v>
      </c>
      <c r="AW448" s="3">
        <v>1</v>
      </c>
      <c r="AX448" s="2"/>
      <c r="AY448" s="2"/>
      <c r="AZ448" s="1"/>
      <c r="BA448" s="2"/>
      <c r="BB448" s="2"/>
      <c r="BC448" s="2"/>
      <c r="BD448" s="3">
        <v>187</v>
      </c>
      <c r="BE448" s="1" t="s">
        <v>4009</v>
      </c>
      <c r="BF448" s="4">
        <f>HYPERLINK("http://dx.doi.org/10.3390/buildings13010187","http://dx.doi.org/10.3390/buildings13010187")</f>
      </c>
      <c r="BG448" s="1"/>
      <c r="BH448" s="1"/>
      <c r="BI448" s="1"/>
      <c r="BJ448" s="1"/>
      <c r="BK448" s="1"/>
      <c r="BL448" s="1"/>
      <c r="BM448" s="1"/>
      <c r="BN448" s="2"/>
      <c r="BO448" s="1"/>
      <c r="BP448" s="1"/>
      <c r="BQ448" s="1"/>
      <c r="BR448" s="1"/>
      <c r="BS448" s="1" t="s">
        <v>4010</v>
      </c>
      <c r="BT448" s="5">
        <f>HYPERLINK("https%3A%2F%2Fwww.webofscience.com%2Fwos%2Fwoscc%2Ffull-record%2FWOS:000917436800001","View Full Record in Web of Science")</f>
      </c>
    </row>
    <row x14ac:dyDescent="0.25" r="449" customHeight="1" ht="12.75">
      <c r="A449" s="1" t="s">
        <v>72</v>
      </c>
      <c r="B449" s="1" t="s">
        <v>4011</v>
      </c>
      <c r="C449" s="1"/>
      <c r="D449" s="1"/>
      <c r="E449" s="1"/>
      <c r="F449" s="1" t="s">
        <v>4012</v>
      </c>
      <c r="G449" s="1"/>
      <c r="H449" s="1"/>
      <c r="I449" s="1" t="s">
        <v>4013</v>
      </c>
      <c r="J449" s="1" t="s">
        <v>343</v>
      </c>
      <c r="K449" s="1"/>
      <c r="L449" s="1"/>
      <c r="M449" s="1"/>
      <c r="N449" s="1"/>
      <c r="O449" s="1"/>
      <c r="P449" s="2"/>
      <c r="Q449" s="1"/>
      <c r="R449" s="1"/>
      <c r="S449" s="1"/>
      <c r="T449" s="1"/>
      <c r="U449" s="1"/>
      <c r="V449" s="1" t="s">
        <v>4014</v>
      </c>
      <c r="W449" s="1"/>
      <c r="X449" s="1"/>
      <c r="Y449" s="1"/>
      <c r="Z449" s="1"/>
      <c r="AA449" s="1"/>
      <c r="AB449" s="1"/>
      <c r="AC449" s="1"/>
      <c r="AD449" s="1"/>
      <c r="AE449" s="1"/>
      <c r="AF449" s="1"/>
      <c r="AG449" s="1"/>
      <c r="AH449" s="1"/>
      <c r="AI449" s="1"/>
      <c r="AJ449" s="1"/>
      <c r="AK449" s="1"/>
      <c r="AL449" s="1"/>
      <c r="AM449" s="1"/>
      <c r="AN449" s="1"/>
      <c r="AO449" s="1" t="s">
        <v>345</v>
      </c>
      <c r="AP449" s="1" t="s">
        <v>4015</v>
      </c>
      <c r="AQ449" s="1"/>
      <c r="AR449" s="1"/>
      <c r="AS449" s="1"/>
      <c r="AT449" s="1"/>
      <c r="AU449" s="3">
        <v>2023</v>
      </c>
      <c r="AV449" s="3">
        <v>72</v>
      </c>
      <c r="AW449" s="3">
        <v>183</v>
      </c>
      <c r="AX449" s="2"/>
      <c r="AY449" s="2"/>
      <c r="AZ449" s="1"/>
      <c r="BA449" s="2"/>
      <c r="BB449" s="3">
        <v>121</v>
      </c>
      <c r="BC449" s="3">
        <v>143</v>
      </c>
      <c r="BD449" s="2"/>
      <c r="BE449" s="1" t="s">
        <v>4016</v>
      </c>
      <c r="BF449" s="4">
        <f>HYPERLINK("http://dx.doi.org/10.15446/ideasyvalores.v72n183.91210","http://dx.doi.org/10.15446/ideasyvalores.v72n183.91210")</f>
      </c>
      <c r="BG449" s="1"/>
      <c r="BH449" s="1"/>
      <c r="BI449" s="1"/>
      <c r="BJ449" s="1"/>
      <c r="BK449" s="1"/>
      <c r="BL449" s="1"/>
      <c r="BM449" s="1"/>
      <c r="BN449" s="2"/>
      <c r="BO449" s="1"/>
      <c r="BP449" s="1"/>
      <c r="BQ449" s="1"/>
      <c r="BR449" s="1"/>
      <c r="BS449" s="1" t="s">
        <v>4017</v>
      </c>
      <c r="BT449" s="5">
        <f>HYPERLINK("https%3A%2F%2Fwww.webofscience.com%2Fwos%2Fwoscc%2Ffull-record%2FWOS:001190409700014","View Full Record in Web of Science")</f>
      </c>
    </row>
    <row x14ac:dyDescent="0.25" r="450" customHeight="1" ht="12.75">
      <c r="A450" s="1" t="s">
        <v>72</v>
      </c>
      <c r="B450" s="1" t="s">
        <v>4018</v>
      </c>
      <c r="C450" s="1"/>
      <c r="D450" s="1"/>
      <c r="E450" s="1"/>
      <c r="F450" s="1" t="s">
        <v>4019</v>
      </c>
      <c r="G450" s="1"/>
      <c r="H450" s="1"/>
      <c r="I450" s="1" t="s">
        <v>4020</v>
      </c>
      <c r="J450" s="1" t="s">
        <v>1864</v>
      </c>
      <c r="K450" s="1"/>
      <c r="L450" s="1"/>
      <c r="M450" s="1"/>
      <c r="N450" s="1"/>
      <c r="O450" s="1"/>
      <c r="P450" s="2"/>
      <c r="Q450" s="1"/>
      <c r="R450" s="1"/>
      <c r="S450" s="1"/>
      <c r="T450" s="1"/>
      <c r="U450" s="1"/>
      <c r="V450" s="1" t="s">
        <v>4021</v>
      </c>
      <c r="W450" s="1"/>
      <c r="X450" s="1"/>
      <c r="Y450" s="1"/>
      <c r="Z450" s="1"/>
      <c r="AA450" s="1"/>
      <c r="AB450" s="1"/>
      <c r="AC450" s="1"/>
      <c r="AD450" s="1"/>
      <c r="AE450" s="1"/>
      <c r="AF450" s="1"/>
      <c r="AG450" s="1"/>
      <c r="AH450" s="1"/>
      <c r="AI450" s="1"/>
      <c r="AJ450" s="1"/>
      <c r="AK450" s="1"/>
      <c r="AL450" s="1"/>
      <c r="AM450" s="1"/>
      <c r="AN450" s="1"/>
      <c r="AO450" s="1" t="s">
        <v>1866</v>
      </c>
      <c r="AP450" s="1" t="s">
        <v>1867</v>
      </c>
      <c r="AQ450" s="1"/>
      <c r="AR450" s="1"/>
      <c r="AS450" s="1"/>
      <c r="AT450" s="1" t="s">
        <v>4022</v>
      </c>
      <c r="AU450" s="3">
        <v>2022</v>
      </c>
      <c r="AV450" s="3">
        <v>37</v>
      </c>
      <c r="AW450" s="2" t="s">
        <v>4023</v>
      </c>
      <c r="AX450" s="2"/>
      <c r="AY450" s="2"/>
      <c r="AZ450" s="1"/>
      <c r="BA450" s="2"/>
      <c r="BB450" s="2"/>
      <c r="BC450" s="2"/>
      <c r="BD450" s="2"/>
      <c r="BE450" s="1" t="s">
        <v>4024</v>
      </c>
      <c r="BF450" s="4">
        <f>HYPERLINK("http://dx.doi.org/10.1142/S0217751X22501822","http://dx.doi.org/10.1142/S0217751X22501822")</f>
      </c>
      <c r="BG450" s="1"/>
      <c r="BH450" s="1" t="s">
        <v>194</v>
      </c>
      <c r="BI450" s="1"/>
      <c r="BJ450" s="1"/>
      <c r="BK450" s="1"/>
      <c r="BL450" s="1"/>
      <c r="BM450" s="1"/>
      <c r="BN450" s="2"/>
      <c r="BO450" s="1"/>
      <c r="BP450" s="1"/>
      <c r="BQ450" s="1"/>
      <c r="BR450" s="1"/>
      <c r="BS450" s="1" t="s">
        <v>4025</v>
      </c>
      <c r="BT450" s="5">
        <f>HYPERLINK("https%3A%2F%2Fwww.webofscience.com%2Fwos%2Fwoscc%2Ffull-record%2FWOS:000894448800001","View Full Record in Web of Science")</f>
      </c>
    </row>
    <row x14ac:dyDescent="0.25" r="451" customHeight="1" ht="12.75">
      <c r="A451" s="1" t="s">
        <v>72</v>
      </c>
      <c r="B451" s="1" t="s">
        <v>4026</v>
      </c>
      <c r="C451" s="1"/>
      <c r="D451" s="1"/>
      <c r="E451" s="1"/>
      <c r="F451" s="1" t="s">
        <v>4027</v>
      </c>
      <c r="G451" s="1"/>
      <c r="H451" s="1"/>
      <c r="I451" s="1" t="s">
        <v>4028</v>
      </c>
      <c r="J451" s="1" t="s">
        <v>4029</v>
      </c>
      <c r="K451" s="1"/>
      <c r="L451" s="1"/>
      <c r="M451" s="1"/>
      <c r="N451" s="1"/>
      <c r="O451" s="1"/>
      <c r="P451" s="2"/>
      <c r="Q451" s="1"/>
      <c r="R451" s="1"/>
      <c r="S451" s="1"/>
      <c r="T451" s="1"/>
      <c r="U451" s="1"/>
      <c r="V451" s="1" t="s">
        <v>4030</v>
      </c>
      <c r="W451" s="1"/>
      <c r="X451" s="1"/>
      <c r="Y451" s="1"/>
      <c r="Z451" s="1"/>
      <c r="AA451" s="1"/>
      <c r="AB451" s="1"/>
      <c r="AC451" s="1"/>
      <c r="AD451" s="1"/>
      <c r="AE451" s="1"/>
      <c r="AF451" s="1"/>
      <c r="AG451" s="1"/>
      <c r="AH451" s="1"/>
      <c r="AI451" s="1"/>
      <c r="AJ451" s="1"/>
      <c r="AK451" s="1"/>
      <c r="AL451" s="1"/>
      <c r="AM451" s="1"/>
      <c r="AN451" s="1"/>
      <c r="AO451" s="1" t="s">
        <v>4031</v>
      </c>
      <c r="AP451" s="1" t="s">
        <v>4032</v>
      </c>
      <c r="AQ451" s="1"/>
      <c r="AR451" s="1"/>
      <c r="AS451" s="1"/>
      <c r="AT451" s="1" t="s">
        <v>204</v>
      </c>
      <c r="AU451" s="3">
        <v>2022</v>
      </c>
      <c r="AV451" s="3">
        <v>79</v>
      </c>
      <c r="AW451" s="3">
        <v>2</v>
      </c>
      <c r="AX451" s="2"/>
      <c r="AY451" s="2"/>
      <c r="AZ451" s="1"/>
      <c r="BA451" s="2"/>
      <c r="BB451" s="3">
        <v>147</v>
      </c>
      <c r="BC451" s="3">
        <v>150</v>
      </c>
      <c r="BD451" s="2"/>
      <c r="BE451" s="1"/>
      <c r="BF451" s="1"/>
      <c r="BG451" s="1"/>
      <c r="BH451" s="1"/>
      <c r="BI451" s="1"/>
      <c r="BJ451" s="1"/>
      <c r="BK451" s="1"/>
      <c r="BL451" s="1"/>
      <c r="BM451" s="1"/>
      <c r="BN451" s="2"/>
      <c r="BO451" s="1"/>
      <c r="BP451" s="1"/>
      <c r="BQ451" s="1"/>
      <c r="BR451" s="1"/>
      <c r="BS451" s="1" t="s">
        <v>4033</v>
      </c>
      <c r="BT451" s="5">
        <f>HYPERLINK("https%3A%2F%2Fwww.webofscience.com%2Fwos%2Fwoscc%2Ffull-record%2FWOS:000976641300002","View Full Record in Web of Science")</f>
      </c>
    </row>
    <row x14ac:dyDescent="0.25" r="452" customHeight="1" ht="12.75">
      <c r="A452" s="1" t="s">
        <v>72</v>
      </c>
      <c r="B452" s="1" t="s">
        <v>247</v>
      </c>
      <c r="C452" s="1"/>
      <c r="D452" s="1"/>
      <c r="E452" s="1"/>
      <c r="F452" s="1" t="s">
        <v>248</v>
      </c>
      <c r="G452" s="1"/>
      <c r="H452" s="1"/>
      <c r="I452" s="1" t="s">
        <v>4034</v>
      </c>
      <c r="J452" s="1" t="s">
        <v>250</v>
      </c>
      <c r="K452" s="1"/>
      <c r="L452" s="1"/>
      <c r="M452" s="1"/>
      <c r="N452" s="1"/>
      <c r="O452" s="1"/>
      <c r="P452" s="2"/>
      <c r="Q452" s="1"/>
      <c r="R452" s="1"/>
      <c r="S452" s="1"/>
      <c r="T452" s="1"/>
      <c r="U452" s="1"/>
      <c r="V452" s="1" t="s">
        <v>4035</v>
      </c>
      <c r="W452" s="1"/>
      <c r="X452" s="1"/>
      <c r="Y452" s="1"/>
      <c r="Z452" s="1"/>
      <c r="AA452" s="1"/>
      <c r="AB452" s="1"/>
      <c r="AC452" s="1"/>
      <c r="AD452" s="1"/>
      <c r="AE452" s="1"/>
      <c r="AF452" s="1"/>
      <c r="AG452" s="1"/>
      <c r="AH452" s="1"/>
      <c r="AI452" s="1"/>
      <c r="AJ452" s="1"/>
      <c r="AK452" s="1"/>
      <c r="AL452" s="1"/>
      <c r="AM452" s="1"/>
      <c r="AN452" s="1"/>
      <c r="AO452" s="1" t="s">
        <v>252</v>
      </c>
      <c r="AP452" s="1" t="s">
        <v>253</v>
      </c>
      <c r="AQ452" s="1"/>
      <c r="AR452" s="1"/>
      <c r="AS452" s="1"/>
      <c r="AT452" s="1" t="s">
        <v>4036</v>
      </c>
      <c r="AU452" s="3">
        <v>2022</v>
      </c>
      <c r="AV452" s="3">
        <v>355</v>
      </c>
      <c r="AW452" s="2"/>
      <c r="AX452" s="2"/>
      <c r="AY452" s="2"/>
      <c r="AZ452" s="1"/>
      <c r="BA452" s="2"/>
      <c r="BB452" s="2"/>
      <c r="BC452" s="2"/>
      <c r="BD452" s="3">
        <v>118786</v>
      </c>
      <c r="BE452" s="1" t="s">
        <v>4037</v>
      </c>
      <c r="BF452" s="4">
        <f>HYPERLINK("http://dx.doi.org/10.1016/j.molliq.2022.118786","http://dx.doi.org/10.1016/j.molliq.2022.118786")</f>
      </c>
      <c r="BG452" s="1"/>
      <c r="BH452" s="1" t="s">
        <v>2697</v>
      </c>
      <c r="BI452" s="1"/>
      <c r="BJ452" s="1"/>
      <c r="BK452" s="1"/>
      <c r="BL452" s="1"/>
      <c r="BM452" s="1"/>
      <c r="BN452" s="2"/>
      <c r="BO452" s="1"/>
      <c r="BP452" s="1"/>
      <c r="BQ452" s="1"/>
      <c r="BR452" s="1"/>
      <c r="BS452" s="1" t="s">
        <v>4038</v>
      </c>
      <c r="BT452" s="5">
        <f>HYPERLINK("https%3A%2F%2Fwww.webofscience.com%2Fwos%2Fwoscc%2Ffull-record%2FWOS:000798811500001","View Full Record in Web of Science")</f>
      </c>
    </row>
    <row x14ac:dyDescent="0.25" r="453" customHeight="1" ht="12.75">
      <c r="A453" s="1" t="s">
        <v>72</v>
      </c>
      <c r="B453" s="1" t="s">
        <v>4039</v>
      </c>
      <c r="C453" s="1"/>
      <c r="D453" s="1"/>
      <c r="E453" s="1"/>
      <c r="F453" s="1" t="s">
        <v>4040</v>
      </c>
      <c r="G453" s="1"/>
      <c r="H453" s="1"/>
      <c r="I453" s="1" t="s">
        <v>4041</v>
      </c>
      <c r="J453" s="1" t="s">
        <v>210</v>
      </c>
      <c r="K453" s="1"/>
      <c r="L453" s="1"/>
      <c r="M453" s="1"/>
      <c r="N453" s="1"/>
      <c r="O453" s="1"/>
      <c r="P453" s="2"/>
      <c r="Q453" s="1"/>
      <c r="R453" s="1"/>
      <c r="S453" s="1"/>
      <c r="T453" s="1"/>
      <c r="U453" s="1"/>
      <c r="V453" s="1" t="s">
        <v>4042</v>
      </c>
      <c r="W453" s="1"/>
      <c r="X453" s="1"/>
      <c r="Y453" s="1"/>
      <c r="Z453" s="1"/>
      <c r="AA453" s="1" t="s">
        <v>4043</v>
      </c>
      <c r="AB453" s="1" t="s">
        <v>4044</v>
      </c>
      <c r="AC453" s="1"/>
      <c r="AD453" s="1"/>
      <c r="AE453" s="1"/>
      <c r="AF453" s="1"/>
      <c r="AG453" s="1"/>
      <c r="AH453" s="1"/>
      <c r="AI453" s="1"/>
      <c r="AJ453" s="1"/>
      <c r="AK453" s="1"/>
      <c r="AL453" s="1"/>
      <c r="AM453" s="1"/>
      <c r="AN453" s="1"/>
      <c r="AO453" s="1"/>
      <c r="AP453" s="1" t="s">
        <v>214</v>
      </c>
      <c r="AQ453" s="1"/>
      <c r="AR453" s="1"/>
      <c r="AS453" s="1"/>
      <c r="AT453" s="1" t="s">
        <v>605</v>
      </c>
      <c r="AU453" s="3">
        <v>2022</v>
      </c>
      <c r="AV453" s="3">
        <v>14</v>
      </c>
      <c r="AW453" s="3">
        <v>6</v>
      </c>
      <c r="AX453" s="2"/>
      <c r="AY453" s="2"/>
      <c r="AZ453" s="1"/>
      <c r="BA453" s="2"/>
      <c r="BB453" s="2"/>
      <c r="BC453" s="2"/>
      <c r="BD453" s="3">
        <v>3614</v>
      </c>
      <c r="BE453" s="1" t="s">
        <v>4045</v>
      </c>
      <c r="BF453" s="4">
        <f>HYPERLINK("http://dx.doi.org/10.3390/su14063614","http://dx.doi.org/10.3390/su14063614")</f>
      </c>
      <c r="BG453" s="1"/>
      <c r="BH453" s="1"/>
      <c r="BI453" s="1"/>
      <c r="BJ453" s="1"/>
      <c r="BK453" s="1"/>
      <c r="BL453" s="1"/>
      <c r="BM453" s="1"/>
      <c r="BN453" s="2"/>
      <c r="BO453" s="1"/>
      <c r="BP453" s="1"/>
      <c r="BQ453" s="1"/>
      <c r="BR453" s="1"/>
      <c r="BS453" s="1" t="s">
        <v>4046</v>
      </c>
      <c r="BT453" s="5">
        <f>HYPERLINK("https%3A%2F%2Fwww.webofscience.com%2Fwos%2Fwoscc%2Ffull-record%2FWOS:000774292400001","View Full Record in Web of Science")</f>
      </c>
    </row>
    <row x14ac:dyDescent="0.25" r="454" customHeight="1" ht="12.75">
      <c r="A454" s="1" t="s">
        <v>72</v>
      </c>
      <c r="B454" s="1" t="s">
        <v>4047</v>
      </c>
      <c r="C454" s="1"/>
      <c r="D454" s="1"/>
      <c r="E454" s="1"/>
      <c r="F454" s="1" t="s">
        <v>4048</v>
      </c>
      <c r="G454" s="1"/>
      <c r="H454" s="1"/>
      <c r="I454" s="1" t="s">
        <v>4049</v>
      </c>
      <c r="J454" s="1" t="s">
        <v>2098</v>
      </c>
      <c r="K454" s="1"/>
      <c r="L454" s="1"/>
      <c r="M454" s="1"/>
      <c r="N454" s="1"/>
      <c r="O454" s="1"/>
      <c r="P454" s="2"/>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t="s">
        <v>2102</v>
      </c>
      <c r="AP454" s="1" t="s">
        <v>2103</v>
      </c>
      <c r="AQ454" s="1"/>
      <c r="AR454" s="1"/>
      <c r="AS454" s="1"/>
      <c r="AT454" s="1" t="s">
        <v>605</v>
      </c>
      <c r="AU454" s="3">
        <v>2022</v>
      </c>
      <c r="AV454" s="2"/>
      <c r="AW454" s="3">
        <v>55</v>
      </c>
      <c r="AX454" s="2"/>
      <c r="AY454" s="2"/>
      <c r="AZ454" s="1"/>
      <c r="BA454" s="2"/>
      <c r="BB454" s="3">
        <v>195</v>
      </c>
      <c r="BC454" s="3">
        <v>198</v>
      </c>
      <c r="BD454" s="2"/>
      <c r="BE454" s="1" t="s">
        <v>4050</v>
      </c>
      <c r="BF454" s="4">
        <f>HYPERLINK("http://dx.doi.org/10.7764/onomazein.55.14","http://dx.doi.org/10.7764/onomazein.55.14")</f>
      </c>
      <c r="BG454" s="1"/>
      <c r="BH454" s="1"/>
      <c r="BI454" s="1"/>
      <c r="BJ454" s="1"/>
      <c r="BK454" s="1"/>
      <c r="BL454" s="1"/>
      <c r="BM454" s="1"/>
      <c r="BN454" s="2"/>
      <c r="BO454" s="1"/>
      <c r="BP454" s="1"/>
      <c r="BQ454" s="1"/>
      <c r="BR454" s="1"/>
      <c r="BS454" s="1" t="s">
        <v>4051</v>
      </c>
      <c r="BT454" s="5">
        <f>HYPERLINK("https%3A%2F%2Fwww.webofscience.com%2Fwos%2Fwoscc%2Ffull-record%2FWOS:000792304000001","View Full Record in Web of Science")</f>
      </c>
    </row>
    <row x14ac:dyDescent="0.25" r="455" customHeight="1" ht="12.75">
      <c r="A455" s="1" t="s">
        <v>72</v>
      </c>
      <c r="B455" s="1" t="s">
        <v>4052</v>
      </c>
      <c r="C455" s="1"/>
      <c r="D455" s="1"/>
      <c r="E455" s="1"/>
      <c r="F455" s="1" t="s">
        <v>4053</v>
      </c>
      <c r="G455" s="1"/>
      <c r="H455" s="1"/>
      <c r="I455" s="1" t="s">
        <v>4054</v>
      </c>
      <c r="J455" s="1" t="s">
        <v>4055</v>
      </c>
      <c r="K455" s="1"/>
      <c r="L455" s="1"/>
      <c r="M455" s="1"/>
      <c r="N455" s="1"/>
      <c r="O455" s="1"/>
      <c r="P455" s="2"/>
      <c r="Q455" s="1"/>
      <c r="R455" s="1"/>
      <c r="S455" s="1"/>
      <c r="T455" s="1"/>
      <c r="U455" s="1"/>
      <c r="V455" s="1" t="s">
        <v>4056</v>
      </c>
      <c r="W455" s="1"/>
      <c r="X455" s="1"/>
      <c r="Y455" s="1"/>
      <c r="Z455" s="1"/>
      <c r="AA455" s="1" t="s">
        <v>4057</v>
      </c>
      <c r="AB455" s="1"/>
      <c r="AC455" s="1"/>
      <c r="AD455" s="1"/>
      <c r="AE455" s="1"/>
      <c r="AF455" s="1"/>
      <c r="AG455" s="1"/>
      <c r="AH455" s="1"/>
      <c r="AI455" s="1"/>
      <c r="AJ455" s="1"/>
      <c r="AK455" s="1"/>
      <c r="AL455" s="1"/>
      <c r="AM455" s="1"/>
      <c r="AN455" s="1"/>
      <c r="AO455" s="1" t="s">
        <v>4058</v>
      </c>
      <c r="AP455" s="1" t="s">
        <v>4059</v>
      </c>
      <c r="AQ455" s="1"/>
      <c r="AR455" s="1"/>
      <c r="AS455" s="1"/>
      <c r="AT455" s="1" t="s">
        <v>4060</v>
      </c>
      <c r="AU455" s="3">
        <v>2022</v>
      </c>
      <c r="AV455" s="3">
        <v>288</v>
      </c>
      <c r="AW455" s="2"/>
      <c r="AX455" s="2"/>
      <c r="AY455" s="2"/>
      <c r="AZ455" s="1"/>
      <c r="BA455" s="2"/>
      <c r="BB455" s="2"/>
      <c r="BC455" s="2"/>
      <c r="BD455" s="3">
        <v>120715</v>
      </c>
      <c r="BE455" s="1" t="s">
        <v>4061</v>
      </c>
      <c r="BF455" s="4">
        <f>HYPERLINK("http://dx.doi.org/10.1016/j.seppur.2022.120715","http://dx.doi.org/10.1016/j.seppur.2022.120715")</f>
      </c>
      <c r="BG455" s="1"/>
      <c r="BH455" s="1" t="s">
        <v>4062</v>
      </c>
      <c r="BI455" s="1"/>
      <c r="BJ455" s="1"/>
      <c r="BK455" s="1"/>
      <c r="BL455" s="1"/>
      <c r="BM455" s="1"/>
      <c r="BN455" s="2"/>
      <c r="BO455" s="1"/>
      <c r="BP455" s="1"/>
      <c r="BQ455" s="1"/>
      <c r="BR455" s="1"/>
      <c r="BS455" s="1" t="s">
        <v>4063</v>
      </c>
      <c r="BT455" s="5">
        <f>HYPERLINK("https%3A%2F%2Fwww.webofscience.com%2Fwos%2Fwoscc%2Ffull-record%2FWOS:000780429600002","View Full Record in Web of Science")</f>
      </c>
    </row>
    <row x14ac:dyDescent="0.25" r="456" customHeight="1" ht="12.75">
      <c r="A456" s="1" t="s">
        <v>72</v>
      </c>
      <c r="B456" s="1" t="s">
        <v>4064</v>
      </c>
      <c r="C456" s="1"/>
      <c r="D456" s="1"/>
      <c r="E456" s="1"/>
      <c r="F456" s="1" t="s">
        <v>4065</v>
      </c>
      <c r="G456" s="1"/>
      <c r="H456" s="1"/>
      <c r="I456" s="1" t="s">
        <v>4066</v>
      </c>
      <c r="J456" s="1" t="s">
        <v>4067</v>
      </c>
      <c r="K456" s="1"/>
      <c r="L456" s="1"/>
      <c r="M456" s="1"/>
      <c r="N456" s="1"/>
      <c r="O456" s="1"/>
      <c r="P456" s="2"/>
      <c r="Q456" s="1"/>
      <c r="R456" s="1"/>
      <c r="S456" s="1"/>
      <c r="T456" s="1"/>
      <c r="U456" s="1"/>
      <c r="V456" s="1" t="s">
        <v>4068</v>
      </c>
      <c r="W456" s="1"/>
      <c r="X456" s="1"/>
      <c r="Y456" s="1"/>
      <c r="Z456" s="1"/>
      <c r="AA456" s="1" t="s">
        <v>4069</v>
      </c>
      <c r="AB456" s="1" t="s">
        <v>4070</v>
      </c>
      <c r="AC456" s="1"/>
      <c r="AD456" s="1"/>
      <c r="AE456" s="1"/>
      <c r="AF456" s="1"/>
      <c r="AG456" s="1"/>
      <c r="AH456" s="1"/>
      <c r="AI456" s="1"/>
      <c r="AJ456" s="1"/>
      <c r="AK456" s="1"/>
      <c r="AL456" s="1"/>
      <c r="AM456" s="1"/>
      <c r="AN456" s="1"/>
      <c r="AO456" s="1" t="s">
        <v>4071</v>
      </c>
      <c r="AP456" s="1"/>
      <c r="AQ456" s="1"/>
      <c r="AR456" s="1"/>
      <c r="AS456" s="1"/>
      <c r="AT456" s="1" t="s">
        <v>4072</v>
      </c>
      <c r="AU456" s="3">
        <v>2022</v>
      </c>
      <c r="AV456" s="3">
        <v>8</v>
      </c>
      <c r="AW456" s="2"/>
      <c r="AX456" s="2"/>
      <c r="AY456" s="2"/>
      <c r="AZ456" s="1"/>
      <c r="BA456" s="2"/>
      <c r="BB456" s="2"/>
      <c r="BC456" s="2"/>
      <c r="BD456" s="3">
        <v>799779</v>
      </c>
      <c r="BE456" s="1" t="s">
        <v>4073</v>
      </c>
      <c r="BF456" s="4">
        <f>HYPERLINK("http://dx.doi.org/10.3389/fnut.2021.799779","http://dx.doi.org/10.3389/fnut.2021.799779")</f>
      </c>
      <c r="BG456" s="1"/>
      <c r="BH456" s="1"/>
      <c r="BI456" s="1"/>
      <c r="BJ456" s="1"/>
      <c r="BK456" s="1"/>
      <c r="BL456" s="1"/>
      <c r="BM456" s="1"/>
      <c r="BN456" s="3">
        <v>35059427</v>
      </c>
      <c r="BO456" s="1"/>
      <c r="BP456" s="1"/>
      <c r="BQ456" s="1"/>
      <c r="BR456" s="1"/>
      <c r="BS456" s="1" t="s">
        <v>4074</v>
      </c>
      <c r="BT456" s="5">
        <f>HYPERLINK("https%3A%2F%2Fwww.webofscience.com%2Fwos%2Fwoscc%2Ffull-record%2FWOS:000745713600001","View Full Record in Web of Science")</f>
      </c>
    </row>
    <row x14ac:dyDescent="0.25" r="457" customHeight="1" ht="12.75">
      <c r="A457" s="1" t="s">
        <v>72</v>
      </c>
      <c r="B457" s="1" t="s">
        <v>4075</v>
      </c>
      <c r="C457" s="1"/>
      <c r="D457" s="1"/>
      <c r="E457" s="1"/>
      <c r="F457" s="1" t="s">
        <v>4076</v>
      </c>
      <c r="G457" s="1"/>
      <c r="H457" s="1"/>
      <c r="I457" s="1" t="s">
        <v>4077</v>
      </c>
      <c r="J457" s="1" t="s">
        <v>1884</v>
      </c>
      <c r="K457" s="1"/>
      <c r="L457" s="1"/>
      <c r="M457" s="1"/>
      <c r="N457" s="1"/>
      <c r="O457" s="1"/>
      <c r="P457" s="2"/>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t="s">
        <v>1885</v>
      </c>
      <c r="AP457" s="1" t="s">
        <v>1886</v>
      </c>
      <c r="AQ457" s="1"/>
      <c r="AR457" s="1"/>
      <c r="AS457" s="1"/>
      <c r="AT457" s="1" t="s">
        <v>204</v>
      </c>
      <c r="AU457" s="3">
        <v>2021</v>
      </c>
      <c r="AV457" s="2"/>
      <c r="AW457" s="3">
        <v>35</v>
      </c>
      <c r="AX457" s="2"/>
      <c r="AY457" s="2"/>
      <c r="AZ457" s="1"/>
      <c r="BA457" s="2"/>
      <c r="BB457" s="2"/>
      <c r="BC457" s="2"/>
      <c r="BD457" s="2"/>
      <c r="BE457" s="1"/>
      <c r="BF457" s="1"/>
      <c r="BG457" s="1"/>
      <c r="BH457" s="1"/>
      <c r="BI457" s="1"/>
      <c r="BJ457" s="1"/>
      <c r="BK457" s="1"/>
      <c r="BL457" s="1"/>
      <c r="BM457" s="1"/>
      <c r="BN457" s="2"/>
      <c r="BO457" s="1"/>
      <c r="BP457" s="1"/>
      <c r="BQ457" s="1"/>
      <c r="BR457" s="1"/>
      <c r="BS457" s="1" t="s">
        <v>4078</v>
      </c>
      <c r="BT457" s="5">
        <f>HYPERLINK("https%3A%2F%2Fwww.webofscience.com%2Fwos%2Fwoscc%2Ffull-record%2FWOS:000740026400001","View Full Record in Web of Science")</f>
      </c>
    </row>
    <row x14ac:dyDescent="0.25" r="458" customHeight="1" ht="12.75">
      <c r="A458" s="1" t="s">
        <v>72</v>
      </c>
      <c r="B458" s="1" t="s">
        <v>4079</v>
      </c>
      <c r="C458" s="1"/>
      <c r="D458" s="1"/>
      <c r="E458" s="1"/>
      <c r="F458" s="1" t="s">
        <v>4080</v>
      </c>
      <c r="G458" s="1"/>
      <c r="H458" s="1"/>
      <c r="I458" s="1" t="s">
        <v>4081</v>
      </c>
      <c r="J458" s="1" t="s">
        <v>980</v>
      </c>
      <c r="K458" s="1"/>
      <c r="L458" s="1"/>
      <c r="M458" s="1"/>
      <c r="N458" s="1"/>
      <c r="O458" s="1"/>
      <c r="P458" s="2"/>
      <c r="Q458" s="1"/>
      <c r="R458" s="1"/>
      <c r="S458" s="1"/>
      <c r="T458" s="1"/>
      <c r="U458" s="1"/>
      <c r="V458" s="1" t="s">
        <v>4082</v>
      </c>
      <c r="W458" s="1"/>
      <c r="X458" s="1"/>
      <c r="Y458" s="1"/>
      <c r="Z458" s="1"/>
      <c r="AA458" s="1"/>
      <c r="AB458" s="1"/>
      <c r="AC458" s="1"/>
      <c r="AD458" s="1"/>
      <c r="AE458" s="1"/>
      <c r="AF458" s="1"/>
      <c r="AG458" s="1"/>
      <c r="AH458" s="1"/>
      <c r="AI458" s="1"/>
      <c r="AJ458" s="1"/>
      <c r="AK458" s="1"/>
      <c r="AL458" s="1"/>
      <c r="AM458" s="1"/>
      <c r="AN458" s="1"/>
      <c r="AO458" s="1" t="s">
        <v>983</v>
      </c>
      <c r="AP458" s="1" t="s">
        <v>984</v>
      </c>
      <c r="AQ458" s="1"/>
      <c r="AR458" s="1"/>
      <c r="AS458" s="1"/>
      <c r="AT458" s="1" t="s">
        <v>158</v>
      </c>
      <c r="AU458" s="3">
        <v>2021</v>
      </c>
      <c r="AV458" s="3">
        <v>21</v>
      </c>
      <c r="AW458" s="3">
        <v>2</v>
      </c>
      <c r="AX458" s="2"/>
      <c r="AY458" s="2"/>
      <c r="AZ458" s="1"/>
      <c r="BA458" s="2"/>
      <c r="BB458" s="3">
        <v>203</v>
      </c>
      <c r="BC458" s="3">
        <v>224</v>
      </c>
      <c r="BD458" s="2"/>
      <c r="BE458" s="1"/>
      <c r="BF458" s="1"/>
      <c r="BG458" s="1"/>
      <c r="BH458" s="1"/>
      <c r="BI458" s="1"/>
      <c r="BJ458" s="1"/>
      <c r="BK458" s="1"/>
      <c r="BL458" s="1"/>
      <c r="BM458" s="1"/>
      <c r="BN458" s="2"/>
      <c r="BO458" s="1"/>
      <c r="BP458" s="1"/>
      <c r="BQ458" s="1"/>
      <c r="BR458" s="1"/>
      <c r="BS458" s="1" t="s">
        <v>4083</v>
      </c>
      <c r="BT458" s="5">
        <f>HYPERLINK("https%3A%2F%2Fwww.webofscience.com%2Fwos%2Fwoscc%2Ffull-record%2FWOS:000741082700009","View Full Record in Web of Science")</f>
      </c>
    </row>
    <row x14ac:dyDescent="0.25" r="459" customHeight="1" ht="12.75">
      <c r="A459" s="1" t="s">
        <v>72</v>
      </c>
      <c r="B459" s="1" t="s">
        <v>2598</v>
      </c>
      <c r="C459" s="1"/>
      <c r="D459" s="1"/>
      <c r="E459" s="1"/>
      <c r="F459" s="1" t="s">
        <v>2599</v>
      </c>
      <c r="G459" s="1"/>
      <c r="H459" s="1"/>
      <c r="I459" s="1" t="s">
        <v>4084</v>
      </c>
      <c r="J459" s="1" t="s">
        <v>4085</v>
      </c>
      <c r="K459" s="1"/>
      <c r="L459" s="1"/>
      <c r="M459" s="1"/>
      <c r="N459" s="1"/>
      <c r="O459" s="1"/>
      <c r="P459" s="2"/>
      <c r="Q459" s="1"/>
      <c r="R459" s="1"/>
      <c r="S459" s="1"/>
      <c r="T459" s="1"/>
      <c r="U459" s="1"/>
      <c r="V459" s="1" t="s">
        <v>4086</v>
      </c>
      <c r="W459" s="1"/>
      <c r="X459" s="1"/>
      <c r="Y459" s="1"/>
      <c r="Z459" s="1"/>
      <c r="AA459" s="1"/>
      <c r="AB459" s="1" t="s">
        <v>2603</v>
      </c>
      <c r="AC459" s="1"/>
      <c r="AD459" s="1"/>
      <c r="AE459" s="1"/>
      <c r="AF459" s="1"/>
      <c r="AG459" s="1"/>
      <c r="AH459" s="1"/>
      <c r="AI459" s="1"/>
      <c r="AJ459" s="1"/>
      <c r="AK459" s="1"/>
      <c r="AL459" s="1"/>
      <c r="AM459" s="1"/>
      <c r="AN459" s="1"/>
      <c r="AO459" s="1" t="s">
        <v>4087</v>
      </c>
      <c r="AP459" s="1" t="s">
        <v>4088</v>
      </c>
      <c r="AQ459" s="1"/>
      <c r="AR459" s="1"/>
      <c r="AS459" s="1"/>
      <c r="AT459" s="1" t="s">
        <v>683</v>
      </c>
      <c r="AU459" s="3">
        <v>2021</v>
      </c>
      <c r="AV459" s="3">
        <v>41</v>
      </c>
      <c r="AW459" s="3">
        <v>1</v>
      </c>
      <c r="AX459" s="2"/>
      <c r="AY459" s="2"/>
      <c r="AZ459" s="1"/>
      <c r="BA459" s="2"/>
      <c r="BB459" s="3">
        <v>91</v>
      </c>
      <c r="BC459" s="3">
        <v>117</v>
      </c>
      <c r="BD459" s="2"/>
      <c r="BE459" s="1" t="s">
        <v>4089</v>
      </c>
      <c r="BF459" s="4">
        <f>HYPERLINK("http://dx.doi.org/10.36446/af.2021.357","http://dx.doi.org/10.36446/af.2021.357")</f>
      </c>
      <c r="BG459" s="1"/>
      <c r="BH459" s="1"/>
      <c r="BI459" s="1"/>
      <c r="BJ459" s="1"/>
      <c r="BK459" s="1"/>
      <c r="BL459" s="1"/>
      <c r="BM459" s="1"/>
      <c r="BN459" s="2"/>
      <c r="BO459" s="1"/>
      <c r="BP459" s="1"/>
      <c r="BQ459" s="1"/>
      <c r="BR459" s="1"/>
      <c r="BS459" s="1" t="s">
        <v>4090</v>
      </c>
      <c r="BT459" s="5">
        <f>HYPERLINK("https%3A%2F%2Fwww.webofscience.com%2Fwos%2Fwoscc%2Ffull-record%2FWOS:000672813100004","View Full Record in Web of Science")</f>
      </c>
    </row>
    <row x14ac:dyDescent="0.25" r="460" customHeight="1" ht="12.75">
      <c r="A460" s="1" t="s">
        <v>72</v>
      </c>
      <c r="B460" s="1" t="s">
        <v>4091</v>
      </c>
      <c r="C460" s="1"/>
      <c r="D460" s="1"/>
      <c r="E460" s="1"/>
      <c r="F460" s="1" t="s">
        <v>4092</v>
      </c>
      <c r="G460" s="1"/>
      <c r="H460" s="1"/>
      <c r="I460" s="1" t="s">
        <v>4093</v>
      </c>
      <c r="J460" s="1" t="s">
        <v>972</v>
      </c>
      <c r="K460" s="1"/>
      <c r="L460" s="1"/>
      <c r="M460" s="1"/>
      <c r="N460" s="1"/>
      <c r="O460" s="1"/>
      <c r="P460" s="2"/>
      <c r="Q460" s="1"/>
      <c r="R460" s="1"/>
      <c r="S460" s="1"/>
      <c r="T460" s="1"/>
      <c r="U460" s="1"/>
      <c r="V460" s="1" t="s">
        <v>4094</v>
      </c>
      <c r="W460" s="1"/>
      <c r="X460" s="1"/>
      <c r="Y460" s="1"/>
      <c r="Z460" s="1"/>
      <c r="AA460" s="1"/>
      <c r="AB460" s="1"/>
      <c r="AC460" s="1"/>
      <c r="AD460" s="1"/>
      <c r="AE460" s="1"/>
      <c r="AF460" s="1"/>
      <c r="AG460" s="1"/>
      <c r="AH460" s="1"/>
      <c r="AI460" s="1"/>
      <c r="AJ460" s="1"/>
      <c r="AK460" s="1"/>
      <c r="AL460" s="1"/>
      <c r="AM460" s="1"/>
      <c r="AN460" s="1"/>
      <c r="AO460" s="1" t="s">
        <v>974</v>
      </c>
      <c r="AP460" s="1"/>
      <c r="AQ460" s="1"/>
      <c r="AR460" s="1"/>
      <c r="AS460" s="1"/>
      <c r="AT460" s="1"/>
      <c r="AU460" s="3">
        <v>2021</v>
      </c>
      <c r="AV460" s="2"/>
      <c r="AW460" s="3">
        <v>17</v>
      </c>
      <c r="AX460" s="2"/>
      <c r="AY460" s="2"/>
      <c r="AZ460" s="1" t="s">
        <v>170</v>
      </c>
      <c r="BA460" s="2"/>
      <c r="BB460" s="3">
        <v>43</v>
      </c>
      <c r="BC460" s="3">
        <v>67</v>
      </c>
      <c r="BD460" s="2"/>
      <c r="BE460" s="1" t="s">
        <v>4095</v>
      </c>
      <c r="BF460" s="4">
        <f>HYPERLINK("http://dx.doi.org/10.7203/KAM.17.17628","http://dx.doi.org/10.7203/KAM.17.17628")</f>
      </c>
      <c r="BG460" s="1"/>
      <c r="BH460" s="1"/>
      <c r="BI460" s="1"/>
      <c r="BJ460" s="1"/>
      <c r="BK460" s="1"/>
      <c r="BL460" s="1"/>
      <c r="BM460" s="1"/>
      <c r="BN460" s="2"/>
      <c r="BO460" s="1"/>
      <c r="BP460" s="1"/>
      <c r="BQ460" s="1"/>
      <c r="BR460" s="1"/>
      <c r="BS460" s="1" t="s">
        <v>4096</v>
      </c>
      <c r="BT460" s="5">
        <f>HYPERLINK("https%3A%2F%2Fwww.webofscience.com%2Fwos%2Fwoscc%2Ffull-record%2FWOS:000680725300003","View Full Record in Web of Science")</f>
      </c>
    </row>
    <row x14ac:dyDescent="0.25" r="461" customHeight="1" ht="12.75">
      <c r="A461" s="1" t="s">
        <v>303</v>
      </c>
      <c r="B461" s="1" t="s">
        <v>4097</v>
      </c>
      <c r="C461" s="1"/>
      <c r="D461" s="1" t="s">
        <v>4098</v>
      </c>
      <c r="E461" s="1"/>
      <c r="F461" s="1" t="s">
        <v>4099</v>
      </c>
      <c r="G461" s="1"/>
      <c r="H461" s="1"/>
      <c r="I461" s="1" t="s">
        <v>4100</v>
      </c>
      <c r="J461" s="1" t="s">
        <v>4101</v>
      </c>
      <c r="K461" s="1" t="s">
        <v>4102</v>
      </c>
      <c r="L461" s="1"/>
      <c r="M461" s="1"/>
      <c r="N461" s="1"/>
      <c r="O461" s="1" t="s">
        <v>4103</v>
      </c>
      <c r="P461" s="2" t="s">
        <v>4104</v>
      </c>
      <c r="Q461" s="1" t="s">
        <v>1218</v>
      </c>
      <c r="R461" s="1"/>
      <c r="S461" s="1"/>
      <c r="T461" s="1"/>
      <c r="U461" s="1"/>
      <c r="V461" s="1" t="s">
        <v>4105</v>
      </c>
      <c r="W461" s="1"/>
      <c r="X461" s="1"/>
      <c r="Y461" s="1"/>
      <c r="Z461" s="1"/>
      <c r="AA461" s="1"/>
      <c r="AB461" s="1"/>
      <c r="AC461" s="1"/>
      <c r="AD461" s="1"/>
      <c r="AE461" s="1"/>
      <c r="AF461" s="1"/>
      <c r="AG461" s="1"/>
      <c r="AH461" s="1"/>
      <c r="AI461" s="1"/>
      <c r="AJ461" s="1"/>
      <c r="AK461" s="1"/>
      <c r="AL461" s="1"/>
      <c r="AM461" s="1"/>
      <c r="AN461" s="1"/>
      <c r="AO461" s="1" t="s">
        <v>4106</v>
      </c>
      <c r="AP461" s="1" t="s">
        <v>4107</v>
      </c>
      <c r="AQ461" s="1" t="s">
        <v>4108</v>
      </c>
      <c r="AR461" s="1"/>
      <c r="AS461" s="1"/>
      <c r="AT461" s="1"/>
      <c r="AU461" s="3">
        <v>2021</v>
      </c>
      <c r="AV461" s="3">
        <v>284</v>
      </c>
      <c r="AW461" s="2"/>
      <c r="AX461" s="2"/>
      <c r="AY461" s="2"/>
      <c r="AZ461" s="1"/>
      <c r="BA461" s="2"/>
      <c r="BB461" s="3">
        <v>371</v>
      </c>
      <c r="BC461" s="3">
        <v>377</v>
      </c>
      <c r="BD461" s="2"/>
      <c r="BE461" s="1" t="s">
        <v>4109</v>
      </c>
      <c r="BF461" s="4">
        <f>HYPERLINK("http://dx.doi.org/10.1007/978-3-030-80126-7_28","http://dx.doi.org/10.1007/978-3-030-80126-7_28")</f>
      </c>
      <c r="BG461" s="1"/>
      <c r="BH461" s="1"/>
      <c r="BI461" s="1"/>
      <c r="BJ461" s="1"/>
      <c r="BK461" s="1"/>
      <c r="BL461" s="1"/>
      <c r="BM461" s="1"/>
      <c r="BN461" s="2"/>
      <c r="BO461" s="1"/>
      <c r="BP461" s="1"/>
      <c r="BQ461" s="1"/>
      <c r="BR461" s="1"/>
      <c r="BS461" s="1" t="s">
        <v>4110</v>
      </c>
      <c r="BT461" s="5">
        <f>HYPERLINK("https%3A%2F%2Fwww.webofscience.com%2Fwos%2Fwoscc%2Ffull-record%2FWOS:000839363100028","View Full Record in Web of Science")</f>
      </c>
    </row>
    <row x14ac:dyDescent="0.25" r="462" customHeight="1" ht="12.75">
      <c r="A462" s="1" t="s">
        <v>72</v>
      </c>
      <c r="B462" s="1" t="s">
        <v>4111</v>
      </c>
      <c r="C462" s="1"/>
      <c r="D462" s="1"/>
      <c r="E462" s="1"/>
      <c r="F462" s="1" t="s">
        <v>4112</v>
      </c>
      <c r="G462" s="1"/>
      <c r="H462" s="1"/>
      <c r="I462" s="1" t="s">
        <v>4113</v>
      </c>
      <c r="J462" s="1" t="s">
        <v>551</v>
      </c>
      <c r="K462" s="1"/>
      <c r="L462" s="1"/>
      <c r="M462" s="1"/>
      <c r="N462" s="1"/>
      <c r="O462" s="1"/>
      <c r="P462" s="2"/>
      <c r="Q462" s="1"/>
      <c r="R462" s="1"/>
      <c r="S462" s="1"/>
      <c r="T462" s="1"/>
      <c r="U462" s="1"/>
      <c r="V462" s="1" t="s">
        <v>4114</v>
      </c>
      <c r="W462" s="1"/>
      <c r="X462" s="1"/>
      <c r="Y462" s="1"/>
      <c r="Z462" s="1"/>
      <c r="AA462" s="1"/>
      <c r="AB462" s="1"/>
      <c r="AC462" s="1"/>
      <c r="AD462" s="1"/>
      <c r="AE462" s="1"/>
      <c r="AF462" s="1"/>
      <c r="AG462" s="1"/>
      <c r="AH462" s="1"/>
      <c r="AI462" s="1"/>
      <c r="AJ462" s="1"/>
      <c r="AK462" s="1"/>
      <c r="AL462" s="1"/>
      <c r="AM462" s="1"/>
      <c r="AN462" s="1"/>
      <c r="AO462" s="1" t="s">
        <v>553</v>
      </c>
      <c r="AP462" s="1"/>
      <c r="AQ462" s="1"/>
      <c r="AR462" s="1"/>
      <c r="AS462" s="1"/>
      <c r="AT462" s="1" t="s">
        <v>204</v>
      </c>
      <c r="AU462" s="3">
        <v>2020</v>
      </c>
      <c r="AV462" s="2"/>
      <c r="AW462" s="3">
        <v>522</v>
      </c>
      <c r="AX462" s="2"/>
      <c r="AY462" s="2"/>
      <c r="AZ462" s="1"/>
      <c r="BA462" s="2"/>
      <c r="BB462" s="3">
        <v>153</v>
      </c>
      <c r="BC462" s="3">
        <v>169</v>
      </c>
      <c r="BD462" s="2"/>
      <c r="BE462" s="1" t="s">
        <v>4115</v>
      </c>
      <c r="BF462" s="4">
        <f>HYPERLINK("http://dx.doi.org/10.29393/At522-101UDJS10101","http://dx.doi.org/10.29393/At522-101UDJS10101")</f>
      </c>
      <c r="BG462" s="1"/>
      <c r="BH462" s="1"/>
      <c r="BI462" s="1"/>
      <c r="BJ462" s="1"/>
      <c r="BK462" s="1"/>
      <c r="BL462" s="1"/>
      <c r="BM462" s="1"/>
      <c r="BN462" s="2"/>
      <c r="BO462" s="1"/>
      <c r="BP462" s="1"/>
      <c r="BQ462" s="1"/>
      <c r="BR462" s="1"/>
      <c r="BS462" s="1" t="s">
        <v>4116</v>
      </c>
      <c r="BT462" s="5">
        <f>HYPERLINK("https%3A%2F%2Fwww.webofscience.com%2Fwos%2Fwoscc%2Ffull-record%2FWOS:000604274300009","View Full Record in Web of Science")</f>
      </c>
    </row>
    <row x14ac:dyDescent="0.25" r="463" customHeight="1" ht="12.75">
      <c r="A463" s="1" t="s">
        <v>72</v>
      </c>
      <c r="B463" s="1" t="s">
        <v>4117</v>
      </c>
      <c r="C463" s="1"/>
      <c r="D463" s="1"/>
      <c r="E463" s="1"/>
      <c r="F463" s="1" t="s">
        <v>4118</v>
      </c>
      <c r="G463" s="1"/>
      <c r="H463" s="1"/>
      <c r="I463" s="1" t="s">
        <v>4119</v>
      </c>
      <c r="J463" s="1" t="s">
        <v>1884</v>
      </c>
      <c r="K463" s="1"/>
      <c r="L463" s="1"/>
      <c r="M463" s="1"/>
      <c r="N463" s="1"/>
      <c r="O463" s="1"/>
      <c r="P463" s="2"/>
      <c r="Q463" s="1"/>
      <c r="R463" s="1"/>
      <c r="S463" s="1"/>
      <c r="T463" s="1"/>
      <c r="U463" s="1"/>
      <c r="V463" s="1" t="s">
        <v>4120</v>
      </c>
      <c r="W463" s="1"/>
      <c r="X463" s="1"/>
      <c r="Y463" s="1"/>
      <c r="Z463" s="1"/>
      <c r="AA463" s="1"/>
      <c r="AB463" s="1"/>
      <c r="AC463" s="1"/>
      <c r="AD463" s="1"/>
      <c r="AE463" s="1"/>
      <c r="AF463" s="1"/>
      <c r="AG463" s="1"/>
      <c r="AH463" s="1"/>
      <c r="AI463" s="1"/>
      <c r="AJ463" s="1"/>
      <c r="AK463" s="1"/>
      <c r="AL463" s="1"/>
      <c r="AM463" s="1"/>
      <c r="AN463" s="1"/>
      <c r="AO463" s="1" t="s">
        <v>1885</v>
      </c>
      <c r="AP463" s="1" t="s">
        <v>1886</v>
      </c>
      <c r="AQ463" s="1"/>
      <c r="AR463" s="1"/>
      <c r="AS463" s="1"/>
      <c r="AT463" s="1" t="s">
        <v>431</v>
      </c>
      <c r="AU463" s="3">
        <v>2020</v>
      </c>
      <c r="AV463" s="2"/>
      <c r="AW463" s="3">
        <v>33</v>
      </c>
      <c r="AX463" s="2"/>
      <c r="AY463" s="2"/>
      <c r="AZ463" s="1"/>
      <c r="BA463" s="2"/>
      <c r="BB463" s="3">
        <v>15</v>
      </c>
      <c r="BC463" s="3">
        <v>27</v>
      </c>
      <c r="BD463" s="2"/>
      <c r="BE463" s="1" t="s">
        <v>4121</v>
      </c>
      <c r="BF463" s="4">
        <f>HYPERLINK("http://dx.doi.org/10.35588/rea.v1i33.4667","http://dx.doi.org/10.35588/rea.v1i33.4667")</f>
      </c>
      <c r="BG463" s="1"/>
      <c r="BH463" s="1"/>
      <c r="BI463" s="1"/>
      <c r="BJ463" s="1"/>
      <c r="BK463" s="1"/>
      <c r="BL463" s="1"/>
      <c r="BM463" s="1"/>
      <c r="BN463" s="2"/>
      <c r="BO463" s="1"/>
      <c r="BP463" s="1"/>
      <c r="BQ463" s="1"/>
      <c r="BR463" s="1"/>
      <c r="BS463" s="1" t="s">
        <v>4122</v>
      </c>
      <c r="BT463" s="5">
        <f>HYPERLINK("https%3A%2F%2Fwww.webofscience.com%2Fwos%2Fwoscc%2Ffull-record%2FWOS:000581929300002","View Full Record in Web of Science")</f>
      </c>
    </row>
    <row x14ac:dyDescent="0.25" r="464" customHeight="1" ht="12.75">
      <c r="A464" s="1" t="s">
        <v>72</v>
      </c>
      <c r="B464" s="1" t="s">
        <v>4123</v>
      </c>
      <c r="C464" s="1"/>
      <c r="D464" s="1"/>
      <c r="E464" s="1"/>
      <c r="F464" s="1" t="s">
        <v>4124</v>
      </c>
      <c r="G464" s="1"/>
      <c r="H464" s="1"/>
      <c r="I464" s="1" t="s">
        <v>4125</v>
      </c>
      <c r="J464" s="1" t="s">
        <v>4126</v>
      </c>
      <c r="K464" s="1"/>
      <c r="L464" s="1"/>
      <c r="M464" s="1"/>
      <c r="N464" s="1"/>
      <c r="O464" s="1"/>
      <c r="P464" s="2"/>
      <c r="Q464" s="1"/>
      <c r="R464" s="1"/>
      <c r="S464" s="1"/>
      <c r="T464" s="1"/>
      <c r="U464" s="1"/>
      <c r="V464" s="1" t="s">
        <v>4127</v>
      </c>
      <c r="W464" s="1"/>
      <c r="X464" s="1"/>
      <c r="Y464" s="1"/>
      <c r="Z464" s="1"/>
      <c r="AA464" s="1"/>
      <c r="AB464" s="1"/>
      <c r="AC464" s="1"/>
      <c r="AD464" s="1"/>
      <c r="AE464" s="1"/>
      <c r="AF464" s="1"/>
      <c r="AG464" s="1"/>
      <c r="AH464" s="1"/>
      <c r="AI464" s="1"/>
      <c r="AJ464" s="1"/>
      <c r="AK464" s="1"/>
      <c r="AL464" s="1"/>
      <c r="AM464" s="1"/>
      <c r="AN464" s="1"/>
      <c r="AO464" s="1" t="s">
        <v>4128</v>
      </c>
      <c r="AP464" s="1" t="s">
        <v>4129</v>
      </c>
      <c r="AQ464" s="1"/>
      <c r="AR464" s="1"/>
      <c r="AS464" s="1"/>
      <c r="AT464" s="1" t="s">
        <v>126</v>
      </c>
      <c r="AU464" s="3">
        <v>2020</v>
      </c>
      <c r="AV464" s="3">
        <v>51</v>
      </c>
      <c r="AW464" s="3">
        <v>4</v>
      </c>
      <c r="AX464" s="2"/>
      <c r="AY464" s="2"/>
      <c r="AZ464" s="1"/>
      <c r="BA464" s="2"/>
      <c r="BB464" s="3">
        <v>583</v>
      </c>
      <c r="BC464" s="3">
        <v>588</v>
      </c>
      <c r="BD464" s="2"/>
      <c r="BE464" s="1" t="s">
        <v>4130</v>
      </c>
      <c r="BF464" s="4">
        <f>HYPERLINK("http://dx.doi.org/10.1134/S1063779620040589","http://dx.doi.org/10.1134/S1063779620040589")</f>
      </c>
      <c r="BG464" s="1"/>
      <c r="BH464" s="1"/>
      <c r="BI464" s="1"/>
      <c r="BJ464" s="1"/>
      <c r="BK464" s="1"/>
      <c r="BL464" s="1"/>
      <c r="BM464" s="1"/>
      <c r="BN464" s="2"/>
      <c r="BO464" s="1"/>
      <c r="BP464" s="1"/>
      <c r="BQ464" s="1"/>
      <c r="BR464" s="1"/>
      <c r="BS464" s="1" t="s">
        <v>4131</v>
      </c>
      <c r="BT464" s="5">
        <f>HYPERLINK("https%3A%2F%2Fwww.webofscience.com%2Fwos%2Fwoscc%2Ffull-record%2FWOS:000570213600037","View Full Record in Web of Science")</f>
      </c>
    </row>
    <row x14ac:dyDescent="0.25" r="465" customHeight="1" ht="12.75">
      <c r="A465" s="1" t="s">
        <v>72</v>
      </c>
      <c r="B465" s="1" t="s">
        <v>4132</v>
      </c>
      <c r="C465" s="1"/>
      <c r="D465" s="1"/>
      <c r="E465" s="1"/>
      <c r="F465" s="1" t="s">
        <v>4133</v>
      </c>
      <c r="G465" s="1"/>
      <c r="H465" s="1"/>
      <c r="I465" s="1" t="s">
        <v>4134</v>
      </c>
      <c r="J465" s="1" t="s">
        <v>4135</v>
      </c>
      <c r="K465" s="1"/>
      <c r="L465" s="1"/>
      <c r="M465" s="1"/>
      <c r="N465" s="1"/>
      <c r="O465" s="1"/>
      <c r="P465" s="2"/>
      <c r="Q465" s="1"/>
      <c r="R465" s="1"/>
      <c r="S465" s="1"/>
      <c r="T465" s="1"/>
      <c r="U465" s="1"/>
      <c r="V465" s="1" t="s">
        <v>4136</v>
      </c>
      <c r="W465" s="1"/>
      <c r="X465" s="1"/>
      <c r="Y465" s="1"/>
      <c r="Z465" s="1"/>
      <c r="AA465" s="1" t="s">
        <v>4137</v>
      </c>
      <c r="AB465" s="1"/>
      <c r="AC465" s="1"/>
      <c r="AD465" s="1"/>
      <c r="AE465" s="1"/>
      <c r="AF465" s="1"/>
      <c r="AG465" s="1"/>
      <c r="AH465" s="1"/>
      <c r="AI465" s="1"/>
      <c r="AJ465" s="1"/>
      <c r="AK465" s="1"/>
      <c r="AL465" s="1"/>
      <c r="AM465" s="1"/>
      <c r="AN465" s="1"/>
      <c r="AO465" s="1" t="s">
        <v>4138</v>
      </c>
      <c r="AP465" s="1" t="s">
        <v>4139</v>
      </c>
      <c r="AQ465" s="1"/>
      <c r="AR465" s="1"/>
      <c r="AS465" s="1"/>
      <c r="AT465" s="1" t="s">
        <v>605</v>
      </c>
      <c r="AU465" s="3">
        <v>2020</v>
      </c>
      <c r="AV465" s="3">
        <v>161</v>
      </c>
      <c r="AW465" s="2"/>
      <c r="AX465" s="2"/>
      <c r="AY465" s="2"/>
      <c r="AZ465" s="1"/>
      <c r="BA465" s="2"/>
      <c r="BB465" s="2"/>
      <c r="BC465" s="2"/>
      <c r="BD465" s="3">
        <v>110894</v>
      </c>
      <c r="BE465" s="1" t="s">
        <v>4140</v>
      </c>
      <c r="BF465" s="4">
        <f>HYPERLINK("http://dx.doi.org/10.1016/j.postharvbio.2019.04.020","http://dx.doi.org/10.1016/j.postharvbio.2019.04.020")</f>
      </c>
      <c r="BG465" s="1"/>
      <c r="BH465" s="1"/>
      <c r="BI465" s="1"/>
      <c r="BJ465" s="1"/>
      <c r="BK465" s="1"/>
      <c r="BL465" s="1"/>
      <c r="BM465" s="1"/>
      <c r="BN465" s="2"/>
      <c r="BO465" s="1"/>
      <c r="BP465" s="1"/>
      <c r="BQ465" s="1"/>
      <c r="BR465" s="1"/>
      <c r="BS465" s="1" t="s">
        <v>4141</v>
      </c>
      <c r="BT465" s="5">
        <f>HYPERLINK("https%3A%2F%2Fwww.webofscience.com%2Fwos%2Fwoscc%2Ffull-record%2FWOS:000508912000006","View Full Record in Web of Science")</f>
      </c>
    </row>
    <row x14ac:dyDescent="0.25" r="466" customHeight="1" ht="12.75">
      <c r="A466" s="1" t="s">
        <v>72</v>
      </c>
      <c r="B466" s="1" t="s">
        <v>4142</v>
      </c>
      <c r="C466" s="1"/>
      <c r="D466" s="1"/>
      <c r="E466" s="1"/>
      <c r="F466" s="1" t="s">
        <v>4143</v>
      </c>
      <c r="G466" s="1"/>
      <c r="H466" s="1"/>
      <c r="I466" s="1" t="s">
        <v>4144</v>
      </c>
      <c r="J466" s="1" t="s">
        <v>230</v>
      </c>
      <c r="K466" s="1"/>
      <c r="L466" s="1"/>
      <c r="M466" s="1"/>
      <c r="N466" s="1"/>
      <c r="O466" s="1"/>
      <c r="P466" s="2"/>
      <c r="Q466" s="1"/>
      <c r="R466" s="1"/>
      <c r="S466" s="1"/>
      <c r="T466" s="1"/>
      <c r="U466" s="1"/>
      <c r="V466" s="1" t="s">
        <v>4145</v>
      </c>
      <c r="W466" s="1"/>
      <c r="X466" s="1"/>
      <c r="Y466" s="1"/>
      <c r="Z466" s="1"/>
      <c r="AA466" s="1" t="s">
        <v>4146</v>
      </c>
      <c r="AB466" s="1" t="s">
        <v>4147</v>
      </c>
      <c r="AC466" s="1"/>
      <c r="AD466" s="1"/>
      <c r="AE466" s="1"/>
      <c r="AF466" s="1"/>
      <c r="AG466" s="1"/>
      <c r="AH466" s="1"/>
      <c r="AI466" s="1"/>
      <c r="AJ466" s="1"/>
      <c r="AK466" s="1"/>
      <c r="AL466" s="1"/>
      <c r="AM466" s="1"/>
      <c r="AN466" s="1"/>
      <c r="AO466" s="1"/>
      <c r="AP466" s="1" t="s">
        <v>233</v>
      </c>
      <c r="AQ466" s="1"/>
      <c r="AR466" s="1"/>
      <c r="AS466" s="1"/>
      <c r="AT466" s="1" t="s">
        <v>4148</v>
      </c>
      <c r="AU466" s="3">
        <v>2020</v>
      </c>
      <c r="AV466" s="3">
        <v>25</v>
      </c>
      <c r="AW466" s="3">
        <v>4</v>
      </c>
      <c r="AX466" s="2"/>
      <c r="AY466" s="2"/>
      <c r="AZ466" s="1"/>
      <c r="BA466" s="2"/>
      <c r="BB466" s="2"/>
      <c r="BC466" s="2"/>
      <c r="BD466" s="3">
        <v>772</v>
      </c>
      <c r="BE466" s="1" t="s">
        <v>4149</v>
      </c>
      <c r="BF466" s="4">
        <f>HYPERLINK("http://dx.doi.org/10.3390/molecules25040772","http://dx.doi.org/10.3390/molecules25040772")</f>
      </c>
      <c r="BG466" s="1"/>
      <c r="BH466" s="1"/>
      <c r="BI466" s="1"/>
      <c r="BJ466" s="1"/>
      <c r="BK466" s="1"/>
      <c r="BL466" s="1"/>
      <c r="BM466" s="1"/>
      <c r="BN466" s="3">
        <v>32054008</v>
      </c>
      <c r="BO466" s="1"/>
      <c r="BP466" s="1"/>
      <c r="BQ466" s="1"/>
      <c r="BR466" s="1"/>
      <c r="BS466" s="1" t="s">
        <v>4150</v>
      </c>
      <c r="BT466" s="5">
        <f>HYPERLINK("https%3A%2F%2Fwww.webofscience.com%2Fwos%2Fwoscc%2Ffull-record%2FWOS:000522454500008","View Full Record in Web of Science")</f>
      </c>
    </row>
    <row x14ac:dyDescent="0.25" r="467" customHeight="1" ht="12.75">
      <c r="A467" s="1" t="s">
        <v>72</v>
      </c>
      <c r="B467" s="1" t="s">
        <v>4151</v>
      </c>
      <c r="C467" s="1"/>
      <c r="D467" s="1"/>
      <c r="E467" s="1"/>
      <c r="F467" s="1" t="s">
        <v>4152</v>
      </c>
      <c r="G467" s="1"/>
      <c r="H467" s="1"/>
      <c r="I467" s="1" t="s">
        <v>4153</v>
      </c>
      <c r="J467" s="1" t="s">
        <v>4154</v>
      </c>
      <c r="K467" s="1"/>
      <c r="L467" s="1"/>
      <c r="M467" s="1"/>
      <c r="N467" s="1"/>
      <c r="O467" s="1"/>
      <c r="P467" s="2"/>
      <c r="Q467" s="1"/>
      <c r="R467" s="1"/>
      <c r="S467" s="1"/>
      <c r="T467" s="1"/>
      <c r="U467" s="1"/>
      <c r="V467" s="1" t="s">
        <v>4155</v>
      </c>
      <c r="W467" s="1"/>
      <c r="X467" s="1"/>
      <c r="Y467" s="1"/>
      <c r="Z467" s="1"/>
      <c r="AA467" s="1" t="s">
        <v>4156</v>
      </c>
      <c r="AB467" s="1" t="s">
        <v>2216</v>
      </c>
      <c r="AC467" s="1"/>
      <c r="AD467" s="1"/>
      <c r="AE467" s="1"/>
      <c r="AF467" s="1"/>
      <c r="AG467" s="1"/>
      <c r="AH467" s="1"/>
      <c r="AI467" s="1"/>
      <c r="AJ467" s="1"/>
      <c r="AK467" s="1"/>
      <c r="AL467" s="1"/>
      <c r="AM467" s="1"/>
      <c r="AN467" s="1"/>
      <c r="AO467" s="1" t="s">
        <v>4157</v>
      </c>
      <c r="AP467" s="1" t="s">
        <v>4158</v>
      </c>
      <c r="AQ467" s="1"/>
      <c r="AR467" s="1"/>
      <c r="AS467" s="1"/>
      <c r="AT467" s="1" t="s">
        <v>292</v>
      </c>
      <c r="AU467" s="3">
        <v>2019</v>
      </c>
      <c r="AV467" s="3">
        <v>37</v>
      </c>
      <c r="AW467" s="3">
        <v>2</v>
      </c>
      <c r="AX467" s="2"/>
      <c r="AY467" s="2"/>
      <c r="AZ467" s="1"/>
      <c r="BA467" s="2"/>
      <c r="BB467" s="3">
        <v>239</v>
      </c>
      <c r="BC467" s="3">
        <v>270</v>
      </c>
      <c r="BD467" s="2" t="s">
        <v>4159</v>
      </c>
      <c r="BE467" s="1" t="s">
        <v>4160</v>
      </c>
      <c r="BF467" s="4">
        <f>HYPERLINK("http://dx.doi.org/10.1017/S0212610918000198","http://dx.doi.org/10.1017/S0212610918000198")</f>
      </c>
      <c r="BG467" s="1"/>
      <c r="BH467" s="1"/>
      <c r="BI467" s="1"/>
      <c r="BJ467" s="1"/>
      <c r="BK467" s="1"/>
      <c r="BL467" s="1"/>
      <c r="BM467" s="1"/>
      <c r="BN467" s="2"/>
      <c r="BO467" s="1"/>
      <c r="BP467" s="1"/>
      <c r="BQ467" s="1"/>
      <c r="BR467" s="1"/>
      <c r="BS467" s="1" t="s">
        <v>4161</v>
      </c>
      <c r="BT467" s="5">
        <f>HYPERLINK("https%3A%2F%2Fwww.webofscience.com%2Fwos%2Fwoscc%2Ffull-record%2FWOS:000484280000003","View Full Record in Web of Science")</f>
      </c>
    </row>
    <row x14ac:dyDescent="0.25" r="468" customHeight="1" ht="12.75">
      <c r="A468" s="1" t="s">
        <v>72</v>
      </c>
      <c r="B468" s="1" t="s">
        <v>4162</v>
      </c>
      <c r="C468" s="1"/>
      <c r="D468" s="1"/>
      <c r="E468" s="1"/>
      <c r="F468" s="1" t="s">
        <v>4163</v>
      </c>
      <c r="G468" s="1"/>
      <c r="H468" s="1"/>
      <c r="I468" s="1" t="s">
        <v>4164</v>
      </c>
      <c r="J468" s="1" t="s">
        <v>4165</v>
      </c>
      <c r="K468" s="1"/>
      <c r="L468" s="1"/>
      <c r="M468" s="1"/>
      <c r="N468" s="1"/>
      <c r="O468" s="1"/>
      <c r="P468" s="2"/>
      <c r="Q468" s="1"/>
      <c r="R468" s="1"/>
      <c r="S468" s="1"/>
      <c r="T468" s="1"/>
      <c r="U468" s="1"/>
      <c r="V468" s="1" t="s">
        <v>4166</v>
      </c>
      <c r="W468" s="1"/>
      <c r="X468" s="1"/>
      <c r="Y468" s="1"/>
      <c r="Z468" s="1"/>
      <c r="AA468" s="1"/>
      <c r="AB468" s="1" t="s">
        <v>4167</v>
      </c>
      <c r="AC468" s="1"/>
      <c r="AD468" s="1"/>
      <c r="AE468" s="1"/>
      <c r="AF468" s="1"/>
      <c r="AG468" s="1"/>
      <c r="AH468" s="1"/>
      <c r="AI468" s="1"/>
      <c r="AJ468" s="1"/>
      <c r="AK468" s="1"/>
      <c r="AL468" s="1"/>
      <c r="AM468" s="1"/>
      <c r="AN468" s="1"/>
      <c r="AO468" s="1" t="s">
        <v>4168</v>
      </c>
      <c r="AP468" s="1" t="s">
        <v>4169</v>
      </c>
      <c r="AQ468" s="1"/>
      <c r="AR468" s="1"/>
      <c r="AS468" s="1"/>
      <c r="AT468" s="1"/>
      <c r="AU468" s="3">
        <v>2019</v>
      </c>
      <c r="AV468" s="3">
        <v>13</v>
      </c>
      <c r="AW468" s="3">
        <v>3</v>
      </c>
      <c r="AX468" s="2"/>
      <c r="AY468" s="2"/>
      <c r="AZ468" s="1"/>
      <c r="BA468" s="2"/>
      <c r="BB468" s="3">
        <v>821</v>
      </c>
      <c r="BC468" s="3">
        <v>839</v>
      </c>
      <c r="BD468" s="2"/>
      <c r="BE468" s="1" t="s">
        <v>4170</v>
      </c>
      <c r="BF468" s="4">
        <f>HYPERLINK("http://dx.doi.org/10.4171/GGD/506","http://dx.doi.org/10.4171/GGD/506")</f>
      </c>
      <c r="BG468" s="1"/>
      <c r="BH468" s="1"/>
      <c r="BI468" s="1"/>
      <c r="BJ468" s="1"/>
      <c r="BK468" s="1"/>
      <c r="BL468" s="1"/>
      <c r="BM468" s="1"/>
      <c r="BN468" s="2"/>
      <c r="BO468" s="1"/>
      <c r="BP468" s="1"/>
      <c r="BQ468" s="1"/>
      <c r="BR468" s="1"/>
      <c r="BS468" s="1" t="s">
        <v>4171</v>
      </c>
      <c r="BT468" s="5">
        <f>HYPERLINK("https%3A%2F%2Fwww.webofscience.com%2Fwos%2Fwoscc%2Ffull-record%2FWOS:000484372000003","View Full Record in Web of Science")</f>
      </c>
    </row>
    <row x14ac:dyDescent="0.25" r="469" customHeight="1" ht="12.75">
      <c r="A469" s="1" t="s">
        <v>303</v>
      </c>
      <c r="B469" s="1" t="s">
        <v>4172</v>
      </c>
      <c r="C469" s="1"/>
      <c r="D469" s="1"/>
      <c r="E469" s="1" t="s">
        <v>305</v>
      </c>
      <c r="F469" s="1" t="s">
        <v>4173</v>
      </c>
      <c r="G469" s="1"/>
      <c r="H469" s="1"/>
      <c r="I469" s="1" t="s">
        <v>4174</v>
      </c>
      <c r="J469" s="1" t="s">
        <v>4175</v>
      </c>
      <c r="K469" s="1" t="s">
        <v>2020</v>
      </c>
      <c r="L469" s="1"/>
      <c r="M469" s="1"/>
      <c r="N469" s="1"/>
      <c r="O469" s="1" t="s">
        <v>4176</v>
      </c>
      <c r="P469" s="2" t="s">
        <v>4177</v>
      </c>
      <c r="Q469" s="1" t="s">
        <v>4178</v>
      </c>
      <c r="R469" s="1" t="s">
        <v>4179</v>
      </c>
      <c r="S469" s="1" t="s">
        <v>4180</v>
      </c>
      <c r="T469" s="1"/>
      <c r="U469" s="1"/>
      <c r="V469" s="1" t="s">
        <v>4181</v>
      </c>
      <c r="W469" s="1"/>
      <c r="X469" s="1"/>
      <c r="Y469" s="1"/>
      <c r="Z469" s="1"/>
      <c r="AA469" s="1" t="s">
        <v>4182</v>
      </c>
      <c r="AB469" s="1"/>
      <c r="AC469" s="1"/>
      <c r="AD469" s="1"/>
      <c r="AE469" s="1"/>
      <c r="AF469" s="1"/>
      <c r="AG469" s="1"/>
      <c r="AH469" s="1"/>
      <c r="AI469" s="1"/>
      <c r="AJ469" s="1"/>
      <c r="AK469" s="1"/>
      <c r="AL469" s="1"/>
      <c r="AM469" s="1"/>
      <c r="AN469" s="1"/>
      <c r="AO469" s="1" t="s">
        <v>2028</v>
      </c>
      <c r="AP469" s="1"/>
      <c r="AQ469" s="1" t="s">
        <v>4183</v>
      </c>
      <c r="AR469" s="1"/>
      <c r="AS469" s="1"/>
      <c r="AT469" s="1"/>
      <c r="AU469" s="3">
        <v>2019</v>
      </c>
      <c r="AV469" s="2"/>
      <c r="AW469" s="2"/>
      <c r="AX469" s="2"/>
      <c r="AY469" s="2"/>
      <c r="AZ469" s="1"/>
      <c r="BA469" s="2"/>
      <c r="BB469" s="2"/>
      <c r="BC469" s="2"/>
      <c r="BD469" s="2"/>
      <c r="BE469" s="1" t="s">
        <v>4184</v>
      </c>
      <c r="BF469" s="4">
        <f>HYPERLINK("http://dx.doi.org/10.1109/sccc49216.2019.8966442","http://dx.doi.org/10.1109/sccc49216.2019.8966442")</f>
      </c>
      <c r="BG469" s="1"/>
      <c r="BH469" s="1"/>
      <c r="BI469" s="1"/>
      <c r="BJ469" s="1"/>
      <c r="BK469" s="1"/>
      <c r="BL469" s="1"/>
      <c r="BM469" s="1"/>
      <c r="BN469" s="2"/>
      <c r="BO469" s="1"/>
      <c r="BP469" s="1"/>
      <c r="BQ469" s="1"/>
      <c r="BR469" s="1"/>
      <c r="BS469" s="1" t="s">
        <v>4185</v>
      </c>
      <c r="BT469" s="5">
        <f>HYPERLINK("https%3A%2F%2Fwww.webofscience.com%2Fwos%2Fwoscc%2Ffull-record%2FWOS:000540055800050","View Full Record in Web of Science")</f>
      </c>
    </row>
    <row x14ac:dyDescent="0.25" r="470" customHeight="1" ht="12.75">
      <c r="A470" s="1" t="s">
        <v>72</v>
      </c>
      <c r="B470" s="1" t="s">
        <v>4186</v>
      </c>
      <c r="C470" s="1"/>
      <c r="D470" s="1"/>
      <c r="E470" s="1"/>
      <c r="F470" s="1" t="s">
        <v>4187</v>
      </c>
      <c r="G470" s="1"/>
      <c r="H470" s="1"/>
      <c r="I470" s="1" t="s">
        <v>4188</v>
      </c>
      <c r="J470" s="1" t="s">
        <v>4189</v>
      </c>
      <c r="K470" s="1"/>
      <c r="L470" s="1"/>
      <c r="M470" s="1"/>
      <c r="N470" s="1"/>
      <c r="O470" s="1"/>
      <c r="P470" s="2"/>
      <c r="Q470" s="1"/>
      <c r="R470" s="1"/>
      <c r="S470" s="1"/>
      <c r="T470" s="1"/>
      <c r="U470" s="1"/>
      <c r="V470" s="1" t="s">
        <v>4190</v>
      </c>
      <c r="W470" s="1"/>
      <c r="X470" s="1"/>
      <c r="Y470" s="1"/>
      <c r="Z470" s="1"/>
      <c r="AA470" s="1"/>
      <c r="AB470" s="1"/>
      <c r="AC470" s="1"/>
      <c r="AD470" s="1"/>
      <c r="AE470" s="1"/>
      <c r="AF470" s="1"/>
      <c r="AG470" s="1"/>
      <c r="AH470" s="1"/>
      <c r="AI470" s="1"/>
      <c r="AJ470" s="1"/>
      <c r="AK470" s="1"/>
      <c r="AL470" s="1"/>
      <c r="AM470" s="1"/>
      <c r="AN470" s="1"/>
      <c r="AO470" s="1" t="s">
        <v>4191</v>
      </c>
      <c r="AP470" s="1"/>
      <c r="AQ470" s="1"/>
      <c r="AR470" s="1"/>
      <c r="AS470" s="1"/>
      <c r="AT470" s="1"/>
      <c r="AU470" s="3">
        <v>2019</v>
      </c>
      <c r="AV470" s="2"/>
      <c r="AW470" s="3">
        <v>113</v>
      </c>
      <c r="AX470" s="2"/>
      <c r="AY470" s="2"/>
      <c r="AZ470" s="1"/>
      <c r="BA470" s="2"/>
      <c r="BB470" s="3">
        <v>275</v>
      </c>
      <c r="BC470" s="3">
        <v>300</v>
      </c>
      <c r="BD470" s="2"/>
      <c r="BE470" s="1"/>
      <c r="BF470" s="1"/>
      <c r="BG470" s="1"/>
      <c r="BH470" s="1"/>
      <c r="BI470" s="1"/>
      <c r="BJ470" s="1"/>
      <c r="BK470" s="1"/>
      <c r="BL470" s="1"/>
      <c r="BM470" s="1"/>
      <c r="BN470" s="2"/>
      <c r="BO470" s="1"/>
      <c r="BP470" s="1"/>
      <c r="BQ470" s="1"/>
      <c r="BR470" s="1"/>
      <c r="BS470" s="1" t="s">
        <v>4192</v>
      </c>
      <c r="BT470" s="5">
        <f>HYPERLINK("https%3A%2F%2Fwww.webofscience.com%2Fwos%2Fwoscc%2Ffull-record%2FWOS:000462946000011","View Full Record in Web of Science")</f>
      </c>
    </row>
    <row x14ac:dyDescent="0.25" r="471" customHeight="1" ht="12.75">
      <c r="A471" s="1" t="s">
        <v>72</v>
      </c>
      <c r="B471" s="1" t="s">
        <v>4193</v>
      </c>
      <c r="C471" s="1"/>
      <c r="D471" s="1"/>
      <c r="E471" s="1"/>
      <c r="F471" s="1" t="s">
        <v>4194</v>
      </c>
      <c r="G471" s="1"/>
      <c r="H471" s="1"/>
      <c r="I471" s="1" t="s">
        <v>4195</v>
      </c>
      <c r="J471" s="1" t="s">
        <v>3381</v>
      </c>
      <c r="K471" s="1"/>
      <c r="L471" s="1"/>
      <c r="M471" s="1"/>
      <c r="N471" s="1"/>
      <c r="O471" s="1"/>
      <c r="P471" s="2"/>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t="s">
        <v>3384</v>
      </c>
      <c r="AP471" s="1" t="s">
        <v>3385</v>
      </c>
      <c r="AQ471" s="1"/>
      <c r="AR471" s="1"/>
      <c r="AS471" s="1"/>
      <c r="AT471" s="1" t="s">
        <v>158</v>
      </c>
      <c r="AU471" s="3">
        <v>2018</v>
      </c>
      <c r="AV471" s="3">
        <v>72</v>
      </c>
      <c r="AW471" s="3">
        <v>230</v>
      </c>
      <c r="AX471" s="2"/>
      <c r="AY471" s="2"/>
      <c r="AZ471" s="1"/>
      <c r="BA471" s="2"/>
      <c r="BB471" s="3">
        <v>181</v>
      </c>
      <c r="BC471" s="3">
        <v>182</v>
      </c>
      <c r="BD471" s="2"/>
      <c r="BE471" s="1"/>
      <c r="BF471" s="1"/>
      <c r="BG471" s="1"/>
      <c r="BH471" s="1"/>
      <c r="BI471" s="1"/>
      <c r="BJ471" s="1"/>
      <c r="BK471" s="1"/>
      <c r="BL471" s="1"/>
      <c r="BM471" s="1"/>
      <c r="BN471" s="2"/>
      <c r="BO471" s="1"/>
      <c r="BP471" s="1"/>
      <c r="BQ471" s="1"/>
      <c r="BR471" s="1"/>
      <c r="BS471" s="1" t="s">
        <v>4196</v>
      </c>
      <c r="BT471" s="5">
        <f>HYPERLINK("https%3A%2F%2Fwww.webofscience.com%2Fwos%2Fwoscc%2Ffull-record%2FWOS:000456285600017","View Full Record in Web of Science")</f>
      </c>
    </row>
    <row x14ac:dyDescent="0.25" r="472" customHeight="1" ht="12.75">
      <c r="A472" s="1" t="s">
        <v>267</v>
      </c>
      <c r="B472" s="1" t="s">
        <v>4197</v>
      </c>
      <c r="C472" s="1"/>
      <c r="D472" s="1"/>
      <c r="E472" s="1" t="s">
        <v>370</v>
      </c>
      <c r="F472" s="1" t="s">
        <v>4198</v>
      </c>
      <c r="G472" s="1"/>
      <c r="H472" s="1"/>
      <c r="I472" s="1" t="s">
        <v>4199</v>
      </c>
      <c r="J472" s="1" t="s">
        <v>373</v>
      </c>
      <c r="K472" s="1"/>
      <c r="L472" s="1"/>
      <c r="M472" s="1"/>
      <c r="N472" s="1"/>
      <c r="O472" s="1"/>
      <c r="P472" s="2"/>
      <c r="Q472" s="1"/>
      <c r="R472" s="1"/>
      <c r="S472" s="1"/>
      <c r="T472" s="1"/>
      <c r="U472" s="1"/>
      <c r="V472" s="1" t="s">
        <v>4200</v>
      </c>
      <c r="W472" s="1"/>
      <c r="X472" s="1"/>
      <c r="Y472" s="1"/>
      <c r="Z472" s="1"/>
      <c r="AA472" s="1"/>
      <c r="AB472" s="1"/>
      <c r="AC472" s="1"/>
      <c r="AD472" s="1"/>
      <c r="AE472" s="1"/>
      <c r="AF472" s="1"/>
      <c r="AG472" s="1"/>
      <c r="AH472" s="1"/>
      <c r="AI472" s="1"/>
      <c r="AJ472" s="1"/>
      <c r="AK472" s="1"/>
      <c r="AL472" s="1"/>
      <c r="AM472" s="1"/>
      <c r="AN472" s="1"/>
      <c r="AO472" s="1"/>
      <c r="AP472" s="1"/>
      <c r="AQ472" s="1" t="s">
        <v>376</v>
      </c>
      <c r="AR472" s="1"/>
      <c r="AS472" s="1"/>
      <c r="AT472" s="1"/>
      <c r="AU472" s="3">
        <v>2018</v>
      </c>
      <c r="AV472" s="2"/>
      <c r="AW472" s="2"/>
      <c r="AX472" s="2"/>
      <c r="AY472" s="2"/>
      <c r="AZ472" s="1"/>
      <c r="BA472" s="2"/>
      <c r="BB472" s="3">
        <v>214</v>
      </c>
      <c r="BC472" s="3">
        <v>222</v>
      </c>
      <c r="BD472" s="2"/>
      <c r="BE472" s="1"/>
      <c r="BF472" s="1"/>
      <c r="BG472" s="1"/>
      <c r="BH472" s="1"/>
      <c r="BI472" s="1"/>
      <c r="BJ472" s="1"/>
      <c r="BK472" s="1"/>
      <c r="BL472" s="1"/>
      <c r="BM472" s="1"/>
      <c r="BN472" s="2"/>
      <c r="BO472" s="1"/>
      <c r="BP472" s="1"/>
      <c r="BQ472" s="1"/>
      <c r="BR472" s="1"/>
      <c r="BS472" s="1" t="s">
        <v>4201</v>
      </c>
      <c r="BT472" s="5">
        <f>HYPERLINK("https%3A%2F%2Fwww.webofscience.com%2Fwos%2Fwoscc%2Ffull-record%2FWOS:000480327100015","View Full Record in Web of Science")</f>
      </c>
    </row>
    <row x14ac:dyDescent="0.25" r="473" customHeight="1" ht="12.75">
      <c r="A473" s="1" t="s">
        <v>72</v>
      </c>
      <c r="B473" s="1" t="s">
        <v>4202</v>
      </c>
      <c r="C473" s="1"/>
      <c r="D473" s="1"/>
      <c r="E473" s="1"/>
      <c r="F473" s="1" t="s">
        <v>4203</v>
      </c>
      <c r="G473" s="1"/>
      <c r="H473" s="1"/>
      <c r="I473" s="1" t="s">
        <v>4204</v>
      </c>
      <c r="J473" s="1" t="s">
        <v>4205</v>
      </c>
      <c r="K473" s="1"/>
      <c r="L473" s="1"/>
      <c r="M473" s="1"/>
      <c r="N473" s="1"/>
      <c r="O473" s="1"/>
      <c r="P473" s="2"/>
      <c r="Q473" s="1"/>
      <c r="R473" s="1"/>
      <c r="S473" s="1"/>
      <c r="T473" s="1"/>
      <c r="U473" s="1"/>
      <c r="V473" s="1" t="s">
        <v>4206</v>
      </c>
      <c r="W473" s="1"/>
      <c r="X473" s="1"/>
      <c r="Y473" s="1"/>
      <c r="Z473" s="1"/>
      <c r="AA473" s="1" t="s">
        <v>1143</v>
      </c>
      <c r="AB473" s="1" t="s">
        <v>4207</v>
      </c>
      <c r="AC473" s="1"/>
      <c r="AD473" s="1"/>
      <c r="AE473" s="1"/>
      <c r="AF473" s="1"/>
      <c r="AG473" s="1"/>
      <c r="AH473" s="1"/>
      <c r="AI473" s="1"/>
      <c r="AJ473" s="1"/>
      <c r="AK473" s="1"/>
      <c r="AL473" s="1"/>
      <c r="AM473" s="1"/>
      <c r="AN473" s="1"/>
      <c r="AO473" s="1" t="s">
        <v>4208</v>
      </c>
      <c r="AP473" s="1" t="s">
        <v>4209</v>
      </c>
      <c r="AQ473" s="1"/>
      <c r="AR473" s="1"/>
      <c r="AS473" s="1"/>
      <c r="AT473" s="1" t="s">
        <v>683</v>
      </c>
      <c r="AU473" s="3">
        <v>2017</v>
      </c>
      <c r="AV473" s="3">
        <v>52</v>
      </c>
      <c r="AW473" s="2"/>
      <c r="AX473" s="2"/>
      <c r="AY473" s="2"/>
      <c r="AZ473" s="1"/>
      <c r="BA473" s="2"/>
      <c r="BB473" s="3">
        <v>10</v>
      </c>
      <c r="BC473" s="3">
        <v>24</v>
      </c>
      <c r="BD473" s="2"/>
      <c r="BE473" s="1" t="s">
        <v>4210</v>
      </c>
      <c r="BF473" s="4">
        <f>HYPERLINK("http://dx.doi.org/10.1016/j.csi.2016.12.004","http://dx.doi.org/10.1016/j.csi.2016.12.004")</f>
      </c>
      <c r="BG473" s="1"/>
      <c r="BH473" s="1"/>
      <c r="BI473" s="1"/>
      <c r="BJ473" s="1"/>
      <c r="BK473" s="1"/>
      <c r="BL473" s="1"/>
      <c r="BM473" s="1"/>
      <c r="BN473" s="2"/>
      <c r="BO473" s="1"/>
      <c r="BP473" s="1"/>
      <c r="BQ473" s="1"/>
      <c r="BR473" s="1"/>
      <c r="BS473" s="1" t="s">
        <v>4211</v>
      </c>
      <c r="BT473" s="5">
        <f>HYPERLINK("https%3A%2F%2Fwww.webofscience.com%2Fwos%2Fwoscc%2Ffull-record%2FWOS:000396947200002","View Full Record in Web of Science")</f>
      </c>
    </row>
    <row x14ac:dyDescent="0.25" r="474" customHeight="1" ht="12.75">
      <c r="A474" s="1" t="s">
        <v>72</v>
      </c>
      <c r="B474" s="1" t="s">
        <v>4212</v>
      </c>
      <c r="C474" s="1"/>
      <c r="D474" s="1"/>
      <c r="E474" s="1"/>
      <c r="F474" s="1" t="s">
        <v>4213</v>
      </c>
      <c r="G474" s="1"/>
      <c r="H474" s="1"/>
      <c r="I474" s="1" t="s">
        <v>4214</v>
      </c>
      <c r="J474" s="1" t="s">
        <v>4215</v>
      </c>
      <c r="K474" s="1"/>
      <c r="L474" s="1"/>
      <c r="M474" s="1"/>
      <c r="N474" s="1"/>
      <c r="O474" s="1"/>
      <c r="P474" s="2"/>
      <c r="Q474" s="1"/>
      <c r="R474" s="1"/>
      <c r="S474" s="1"/>
      <c r="T474" s="1"/>
      <c r="U474" s="1"/>
      <c r="V474" s="1" t="s">
        <v>4216</v>
      </c>
      <c r="W474" s="1"/>
      <c r="X474" s="1"/>
      <c r="Y474" s="1"/>
      <c r="Z474" s="1"/>
      <c r="AA474" s="1" t="s">
        <v>4217</v>
      </c>
      <c r="AB474" s="1" t="s">
        <v>4218</v>
      </c>
      <c r="AC474" s="1"/>
      <c r="AD474" s="1"/>
      <c r="AE474" s="1"/>
      <c r="AF474" s="1"/>
      <c r="AG474" s="1"/>
      <c r="AH474" s="1"/>
      <c r="AI474" s="1"/>
      <c r="AJ474" s="1"/>
      <c r="AK474" s="1"/>
      <c r="AL474" s="1"/>
      <c r="AM474" s="1"/>
      <c r="AN474" s="1"/>
      <c r="AO474" s="1" t="s">
        <v>4219</v>
      </c>
      <c r="AP474" s="1" t="s">
        <v>4220</v>
      </c>
      <c r="AQ474" s="1"/>
      <c r="AR474" s="1"/>
      <c r="AS474" s="1"/>
      <c r="AT474" s="1" t="s">
        <v>4221</v>
      </c>
      <c r="AU474" s="3">
        <v>2017</v>
      </c>
      <c r="AV474" s="3">
        <v>155</v>
      </c>
      <c r="AW474" s="2"/>
      <c r="AX474" s="2"/>
      <c r="AY474" s="2"/>
      <c r="AZ474" s="1"/>
      <c r="BA474" s="2"/>
      <c r="BB474" s="3">
        <v>182</v>
      </c>
      <c r="BC474" s="3">
        <v>191</v>
      </c>
      <c r="BD474" s="2"/>
      <c r="BE474" s="1" t="s">
        <v>4222</v>
      </c>
      <c r="BF474" s="4">
        <f>HYPERLINK("http://dx.doi.org/10.1016/j.carbpol.2016.08.079","http://dx.doi.org/10.1016/j.carbpol.2016.08.079")</f>
      </c>
      <c r="BG474" s="1"/>
      <c r="BH474" s="1"/>
      <c r="BI474" s="1"/>
      <c r="BJ474" s="1"/>
      <c r="BK474" s="1"/>
      <c r="BL474" s="1"/>
      <c r="BM474" s="1"/>
      <c r="BN474" s="3">
        <v>27702502</v>
      </c>
      <c r="BO474" s="1"/>
      <c r="BP474" s="1"/>
      <c r="BQ474" s="1"/>
      <c r="BR474" s="1"/>
      <c r="BS474" s="1" t="s">
        <v>4223</v>
      </c>
      <c r="BT474" s="5">
        <f>HYPERLINK("https%3A%2F%2Fwww.webofscience.com%2Fwos%2Fwoscc%2Ffull-record%2FWOS:000386402600020","View Full Record in Web of Science")</f>
      </c>
    </row>
    <row x14ac:dyDescent="0.25" r="475" customHeight="1" ht="12.75">
      <c r="A475" s="1" t="s">
        <v>303</v>
      </c>
      <c r="B475" s="1" t="s">
        <v>4224</v>
      </c>
      <c r="C475" s="1"/>
      <c r="D475" s="1"/>
      <c r="E475" s="1" t="s">
        <v>305</v>
      </c>
      <c r="F475" s="1" t="s">
        <v>4225</v>
      </c>
      <c r="G475" s="1"/>
      <c r="H475" s="1"/>
      <c r="I475" s="1" t="s">
        <v>4226</v>
      </c>
      <c r="J475" s="1" t="s">
        <v>481</v>
      </c>
      <c r="K475" s="1"/>
      <c r="L475" s="1"/>
      <c r="M475" s="1"/>
      <c r="N475" s="1"/>
      <c r="O475" s="1" t="s">
        <v>482</v>
      </c>
      <c r="P475" s="2" t="s">
        <v>483</v>
      </c>
      <c r="Q475" s="1" t="s">
        <v>484</v>
      </c>
      <c r="R475" s="1" t="s">
        <v>485</v>
      </c>
      <c r="S475" s="1"/>
      <c r="T475" s="1"/>
      <c r="U475" s="1"/>
      <c r="V475" s="1" t="s">
        <v>4227</v>
      </c>
      <c r="W475" s="1"/>
      <c r="X475" s="1"/>
      <c r="Y475" s="1"/>
      <c r="Z475" s="1"/>
      <c r="AA475" s="1"/>
      <c r="AB475" s="1"/>
      <c r="AC475" s="1"/>
      <c r="AD475" s="1"/>
      <c r="AE475" s="1"/>
      <c r="AF475" s="1"/>
      <c r="AG475" s="1"/>
      <c r="AH475" s="1"/>
      <c r="AI475" s="1"/>
      <c r="AJ475" s="1"/>
      <c r="AK475" s="1"/>
      <c r="AL475" s="1"/>
      <c r="AM475" s="1"/>
      <c r="AN475" s="1"/>
      <c r="AO475" s="1"/>
      <c r="AP475" s="1"/>
      <c r="AQ475" s="1" t="s">
        <v>488</v>
      </c>
      <c r="AR475" s="1"/>
      <c r="AS475" s="1"/>
      <c r="AT475" s="1"/>
      <c r="AU475" s="3">
        <v>2017</v>
      </c>
      <c r="AV475" s="2"/>
      <c r="AW475" s="2"/>
      <c r="AX475" s="2"/>
      <c r="AY475" s="2"/>
      <c r="AZ475" s="1"/>
      <c r="BA475" s="2"/>
      <c r="BB475" s="2"/>
      <c r="BC475" s="2"/>
      <c r="BD475" s="2"/>
      <c r="BE475" s="1"/>
      <c r="BF475" s="1"/>
      <c r="BG475" s="1"/>
      <c r="BH475" s="1"/>
      <c r="BI475" s="1"/>
      <c r="BJ475" s="1"/>
      <c r="BK475" s="1"/>
      <c r="BL475" s="1"/>
      <c r="BM475" s="1"/>
      <c r="BN475" s="2"/>
      <c r="BO475" s="1"/>
      <c r="BP475" s="1"/>
      <c r="BQ475" s="1"/>
      <c r="BR475" s="1"/>
      <c r="BS475" s="1" t="s">
        <v>4228</v>
      </c>
      <c r="BT475" s="5">
        <f>HYPERLINK("https%3A%2F%2Fwww.webofscience.com%2Fwos%2Fwoscc%2Ffull-record%2FWOS:000425925000053","View Full Record in Web of Science")</f>
      </c>
    </row>
    <row x14ac:dyDescent="0.25" r="476" customHeight="1" ht="12.75">
      <c r="A476" s="1" t="s">
        <v>303</v>
      </c>
      <c r="B476" s="1" t="s">
        <v>4229</v>
      </c>
      <c r="C476" s="1"/>
      <c r="D476" s="1"/>
      <c r="E476" s="1" t="s">
        <v>305</v>
      </c>
      <c r="F476" s="1" t="s">
        <v>4230</v>
      </c>
      <c r="G476" s="1"/>
      <c r="H476" s="1"/>
      <c r="I476" s="1" t="s">
        <v>4231</v>
      </c>
      <c r="J476" s="1" t="s">
        <v>2120</v>
      </c>
      <c r="K476" s="1" t="s">
        <v>2020</v>
      </c>
      <c r="L476" s="1"/>
      <c r="M476" s="1"/>
      <c r="N476" s="1"/>
      <c r="O476" s="1" t="s">
        <v>2121</v>
      </c>
      <c r="P476" s="2" t="s">
        <v>2122</v>
      </c>
      <c r="Q476" s="1" t="s">
        <v>2123</v>
      </c>
      <c r="R476" s="1" t="s">
        <v>2124</v>
      </c>
      <c r="S476" s="1"/>
      <c r="T476" s="1"/>
      <c r="U476" s="1"/>
      <c r="V476" s="1" t="s">
        <v>4232</v>
      </c>
      <c r="W476" s="1"/>
      <c r="X476" s="1"/>
      <c r="Y476" s="1"/>
      <c r="Z476" s="1"/>
      <c r="AA476" s="1" t="s">
        <v>4233</v>
      </c>
      <c r="AB476" s="1" t="s">
        <v>4234</v>
      </c>
      <c r="AC476" s="1"/>
      <c r="AD476" s="1"/>
      <c r="AE476" s="1"/>
      <c r="AF476" s="1"/>
      <c r="AG476" s="1"/>
      <c r="AH476" s="1"/>
      <c r="AI476" s="1"/>
      <c r="AJ476" s="1"/>
      <c r="AK476" s="1"/>
      <c r="AL476" s="1"/>
      <c r="AM476" s="1"/>
      <c r="AN476" s="1"/>
      <c r="AO476" s="1" t="s">
        <v>2028</v>
      </c>
      <c r="AP476" s="1"/>
      <c r="AQ476" s="1" t="s">
        <v>2127</v>
      </c>
      <c r="AR476" s="1"/>
      <c r="AS476" s="1"/>
      <c r="AT476" s="1"/>
      <c r="AU476" s="3">
        <v>2017</v>
      </c>
      <c r="AV476" s="2"/>
      <c r="AW476" s="2"/>
      <c r="AX476" s="2"/>
      <c r="AY476" s="2"/>
      <c r="AZ476" s="1"/>
      <c r="BA476" s="2"/>
      <c r="BB476" s="2"/>
      <c r="BC476" s="2"/>
      <c r="BD476" s="2"/>
      <c r="BE476" s="1"/>
      <c r="BF476" s="1"/>
      <c r="BG476" s="1"/>
      <c r="BH476" s="1"/>
      <c r="BI476" s="1"/>
      <c r="BJ476" s="1"/>
      <c r="BK476" s="1"/>
      <c r="BL476" s="1"/>
      <c r="BM476" s="1"/>
      <c r="BN476" s="2"/>
      <c r="BO476" s="1"/>
      <c r="BP476" s="1"/>
      <c r="BQ476" s="1"/>
      <c r="BR476" s="1"/>
      <c r="BS476" s="1" t="s">
        <v>4235</v>
      </c>
      <c r="BT476" s="5">
        <f>HYPERLINK("https%3A%2F%2Fwww.webofscience.com%2Fwos%2Fwoscc%2Ffull-record%2FWOS:000455184200034","View Full Record in Web of Science")</f>
      </c>
    </row>
    <row x14ac:dyDescent="0.25" r="477" customHeight="1" ht="12.75">
      <c r="A477" s="1" t="s">
        <v>72</v>
      </c>
      <c r="B477" s="1" t="s">
        <v>4236</v>
      </c>
      <c r="C477" s="1"/>
      <c r="D477" s="1"/>
      <c r="E477" s="1"/>
      <c r="F477" s="1" t="s">
        <v>4237</v>
      </c>
      <c r="G477" s="1"/>
      <c r="H477" s="1"/>
      <c r="I477" s="1" t="s">
        <v>4238</v>
      </c>
      <c r="J477" s="1" t="s">
        <v>4239</v>
      </c>
      <c r="K477" s="1"/>
      <c r="L477" s="1"/>
      <c r="M477" s="1"/>
      <c r="N477" s="1"/>
      <c r="O477" s="1"/>
      <c r="P477" s="2"/>
      <c r="Q477" s="1"/>
      <c r="R477" s="1"/>
      <c r="S477" s="1"/>
      <c r="T477" s="1"/>
      <c r="U477" s="1"/>
      <c r="V477" s="1" t="s">
        <v>4240</v>
      </c>
      <c r="W477" s="1"/>
      <c r="X477" s="1"/>
      <c r="Y477" s="1"/>
      <c r="Z477" s="1"/>
      <c r="AA477" s="1" t="s">
        <v>4241</v>
      </c>
      <c r="AB477" s="1" t="s">
        <v>4242</v>
      </c>
      <c r="AC477" s="1"/>
      <c r="AD477" s="1"/>
      <c r="AE477" s="1"/>
      <c r="AF477" s="1"/>
      <c r="AG477" s="1"/>
      <c r="AH477" s="1"/>
      <c r="AI477" s="1"/>
      <c r="AJ477" s="1"/>
      <c r="AK477" s="1"/>
      <c r="AL477" s="1"/>
      <c r="AM477" s="1"/>
      <c r="AN477" s="1"/>
      <c r="AO477" s="1" t="s">
        <v>4243</v>
      </c>
      <c r="AP477" s="1" t="s">
        <v>4244</v>
      </c>
      <c r="AQ477" s="1"/>
      <c r="AR477" s="1"/>
      <c r="AS477" s="1"/>
      <c r="AT477" s="1" t="s">
        <v>292</v>
      </c>
      <c r="AU477" s="3">
        <v>2016</v>
      </c>
      <c r="AV477" s="3">
        <v>22</v>
      </c>
      <c r="AW477" s="2"/>
      <c r="AX477" s="2"/>
      <c r="AY477" s="2"/>
      <c r="AZ477" s="1"/>
      <c r="BA477" s="2"/>
      <c r="BB477" s="3">
        <v>190</v>
      </c>
      <c r="BC477" s="3">
        <v>200</v>
      </c>
      <c r="BD477" s="2"/>
      <c r="BE477" s="1" t="s">
        <v>4245</v>
      </c>
      <c r="BF477" s="4">
        <f>HYPERLINK("http://dx.doi.org/10.1016/j.ehb.2016.05.002","http://dx.doi.org/10.1016/j.ehb.2016.05.002")</f>
      </c>
      <c r="BG477" s="1"/>
      <c r="BH477" s="1"/>
      <c r="BI477" s="1"/>
      <c r="BJ477" s="1"/>
      <c r="BK477" s="1"/>
      <c r="BL477" s="1"/>
      <c r="BM477" s="1"/>
      <c r="BN477" s="3">
        <v>27239730</v>
      </c>
      <c r="BO477" s="1"/>
      <c r="BP477" s="1"/>
      <c r="BQ477" s="1"/>
      <c r="BR477" s="1"/>
      <c r="BS477" s="1" t="s">
        <v>4246</v>
      </c>
      <c r="BT477" s="5">
        <f>HYPERLINK("https%3A%2F%2Fwww.webofscience.com%2Fwos%2Fwoscc%2Ffull-record%2FWOS:000382597000016","View Full Record in Web of Science")</f>
      </c>
    </row>
    <row x14ac:dyDescent="0.25" r="478" customHeight="1" ht="12.75">
      <c r="A478" s="1" t="s">
        <v>72</v>
      </c>
      <c r="B478" s="1" t="s">
        <v>4247</v>
      </c>
      <c r="C478" s="1"/>
      <c r="D478" s="1"/>
      <c r="E478" s="1"/>
      <c r="F478" s="1" t="s">
        <v>4248</v>
      </c>
      <c r="G478" s="1"/>
      <c r="H478" s="1"/>
      <c r="I478" s="1" t="s">
        <v>4249</v>
      </c>
      <c r="J478" s="1" t="s">
        <v>120</v>
      </c>
      <c r="K478" s="1"/>
      <c r="L478" s="1"/>
      <c r="M478" s="1"/>
      <c r="N478" s="1"/>
      <c r="O478" s="1"/>
      <c r="P478" s="2"/>
      <c r="Q478" s="1"/>
      <c r="R478" s="1"/>
      <c r="S478" s="1"/>
      <c r="T478" s="1"/>
      <c r="U478" s="1"/>
      <c r="V478" s="1" t="s">
        <v>4250</v>
      </c>
      <c r="W478" s="1"/>
      <c r="X478" s="1"/>
      <c r="Y478" s="1"/>
      <c r="Z478" s="1"/>
      <c r="AA478" s="1"/>
      <c r="AB478" s="1" t="s">
        <v>112</v>
      </c>
      <c r="AC478" s="1"/>
      <c r="AD478" s="1"/>
      <c r="AE478" s="1"/>
      <c r="AF478" s="1"/>
      <c r="AG478" s="1"/>
      <c r="AH478" s="1"/>
      <c r="AI478" s="1"/>
      <c r="AJ478" s="1"/>
      <c r="AK478" s="1"/>
      <c r="AL478" s="1"/>
      <c r="AM478" s="1"/>
      <c r="AN478" s="1"/>
      <c r="AO478" s="1"/>
      <c r="AP478" s="1" t="s">
        <v>125</v>
      </c>
      <c r="AQ478" s="1"/>
      <c r="AR478" s="1"/>
      <c r="AS478" s="1"/>
      <c r="AT478" s="1" t="s">
        <v>126</v>
      </c>
      <c r="AU478" s="3">
        <v>2016</v>
      </c>
      <c r="AV478" s="3">
        <v>17</v>
      </c>
      <c r="AW478" s="3">
        <v>7</v>
      </c>
      <c r="AX478" s="2"/>
      <c r="AY478" s="2"/>
      <c r="AZ478" s="1"/>
      <c r="BA478" s="2"/>
      <c r="BB478" s="2"/>
      <c r="BC478" s="2"/>
      <c r="BD478" s="3">
        <v>1059</v>
      </c>
      <c r="BE478" s="1" t="s">
        <v>4251</v>
      </c>
      <c r="BF478" s="4">
        <f>HYPERLINK("http://dx.doi.org/10.3390/ijms17071059","http://dx.doi.org/10.3390/ijms17071059")</f>
      </c>
      <c r="BG478" s="1"/>
      <c r="BH478" s="1"/>
      <c r="BI478" s="1"/>
      <c r="BJ478" s="1"/>
      <c r="BK478" s="1"/>
      <c r="BL478" s="1"/>
      <c r="BM478" s="1"/>
      <c r="BN478" s="3">
        <v>27384555</v>
      </c>
      <c r="BO478" s="1"/>
      <c r="BP478" s="1"/>
      <c r="BQ478" s="1"/>
      <c r="BR478" s="1"/>
      <c r="BS478" s="1" t="s">
        <v>4252</v>
      </c>
      <c r="BT478" s="5">
        <f>HYPERLINK("https%3A%2F%2Fwww.webofscience.com%2Fwos%2Fwoscc%2Ffull-record%2FWOS:000381500900074","View Full Record in Web of Science")</f>
      </c>
    </row>
    <row x14ac:dyDescent="0.25" r="479" customHeight="1" ht="12.75">
      <c r="A479" s="1" t="s">
        <v>72</v>
      </c>
      <c r="B479" s="1" t="s">
        <v>987</v>
      </c>
      <c r="C479" s="1"/>
      <c r="D479" s="1"/>
      <c r="E479" s="1"/>
      <c r="F479" s="1" t="s">
        <v>988</v>
      </c>
      <c r="G479" s="1"/>
      <c r="H479" s="1"/>
      <c r="I479" s="1" t="s">
        <v>4253</v>
      </c>
      <c r="J479" s="1" t="s">
        <v>4254</v>
      </c>
      <c r="K479" s="1"/>
      <c r="L479" s="1"/>
      <c r="M479" s="1"/>
      <c r="N479" s="1"/>
      <c r="O479" s="1"/>
      <c r="P479" s="2"/>
      <c r="Q479" s="1"/>
      <c r="R479" s="1"/>
      <c r="S479" s="1"/>
      <c r="T479" s="1"/>
      <c r="U479" s="1"/>
      <c r="V479" s="1" t="s">
        <v>4255</v>
      </c>
      <c r="W479" s="1"/>
      <c r="X479" s="1"/>
      <c r="Y479" s="1"/>
      <c r="Z479" s="1"/>
      <c r="AA479" s="1" t="s">
        <v>992</v>
      </c>
      <c r="AB479" s="1" t="s">
        <v>993</v>
      </c>
      <c r="AC479" s="1"/>
      <c r="AD479" s="1"/>
      <c r="AE479" s="1"/>
      <c r="AF479" s="1"/>
      <c r="AG479" s="1"/>
      <c r="AH479" s="1"/>
      <c r="AI479" s="1"/>
      <c r="AJ479" s="1"/>
      <c r="AK479" s="1"/>
      <c r="AL479" s="1"/>
      <c r="AM479" s="1"/>
      <c r="AN479" s="1"/>
      <c r="AO479" s="1" t="s">
        <v>4256</v>
      </c>
      <c r="AP479" s="1" t="s">
        <v>4257</v>
      </c>
      <c r="AQ479" s="1"/>
      <c r="AR479" s="1"/>
      <c r="AS479" s="1"/>
      <c r="AT479" s="1" t="s">
        <v>2540</v>
      </c>
      <c r="AU479" s="3">
        <v>2016</v>
      </c>
      <c r="AV479" s="3">
        <v>72</v>
      </c>
      <c r="AW479" s="3">
        <v>271</v>
      </c>
      <c r="AX479" s="2"/>
      <c r="AY479" s="2"/>
      <c r="AZ479" s="1"/>
      <c r="BA479" s="2"/>
      <c r="BB479" s="3">
        <v>371</v>
      </c>
      <c r="BC479" s="3">
        <v>393</v>
      </c>
      <c r="BD479" s="2"/>
      <c r="BE479" s="1" t="s">
        <v>4258</v>
      </c>
      <c r="BF479" s="4">
        <f>HYPERLINK("http://dx.doi.org/10.14422/pen.v72.i271.y2016.008","http://dx.doi.org/10.14422/pen.v72.i271.y2016.008")</f>
      </c>
      <c r="BG479" s="1"/>
      <c r="BH479" s="1"/>
      <c r="BI479" s="1"/>
      <c r="BJ479" s="1"/>
      <c r="BK479" s="1"/>
      <c r="BL479" s="1"/>
      <c r="BM479" s="1"/>
      <c r="BN479" s="2"/>
      <c r="BO479" s="1"/>
      <c r="BP479" s="1"/>
      <c r="BQ479" s="1"/>
      <c r="BR479" s="1"/>
      <c r="BS479" s="1" t="s">
        <v>4259</v>
      </c>
      <c r="BT479" s="5">
        <f>HYPERLINK("https%3A%2F%2Fwww.webofscience.com%2Fwos%2Fwoscc%2Ffull-record%2FWOS:000383815700009","View Full Record in Web of Science")</f>
      </c>
    </row>
    <row x14ac:dyDescent="0.25" r="480" customHeight="1" ht="12.75">
      <c r="A480" s="1" t="s">
        <v>72</v>
      </c>
      <c r="B480" s="1" t="s">
        <v>4260</v>
      </c>
      <c r="C480" s="1"/>
      <c r="D480" s="1"/>
      <c r="E480" s="1"/>
      <c r="F480" s="1" t="s">
        <v>4261</v>
      </c>
      <c r="G480" s="1"/>
      <c r="H480" s="1"/>
      <c r="I480" s="1" t="s">
        <v>4262</v>
      </c>
      <c r="J480" s="1" t="s">
        <v>2132</v>
      </c>
      <c r="K480" s="1"/>
      <c r="L480" s="1"/>
      <c r="M480" s="1"/>
      <c r="N480" s="1"/>
      <c r="O480" s="1"/>
      <c r="P480" s="2"/>
      <c r="Q480" s="1"/>
      <c r="R480" s="1"/>
      <c r="S480" s="1"/>
      <c r="T480" s="1"/>
      <c r="U480" s="1"/>
      <c r="V480" s="1" t="s">
        <v>4263</v>
      </c>
      <c r="W480" s="1"/>
      <c r="X480" s="1"/>
      <c r="Y480" s="1"/>
      <c r="Z480" s="1"/>
      <c r="AA480" s="1" t="s">
        <v>4264</v>
      </c>
      <c r="AB480" s="1" t="s">
        <v>4265</v>
      </c>
      <c r="AC480" s="1"/>
      <c r="AD480" s="1"/>
      <c r="AE480" s="1"/>
      <c r="AF480" s="1"/>
      <c r="AG480" s="1"/>
      <c r="AH480" s="1"/>
      <c r="AI480" s="1"/>
      <c r="AJ480" s="1"/>
      <c r="AK480" s="1"/>
      <c r="AL480" s="1"/>
      <c r="AM480" s="1"/>
      <c r="AN480" s="1"/>
      <c r="AO480" s="1" t="s">
        <v>2136</v>
      </c>
      <c r="AP480" s="1" t="s">
        <v>2137</v>
      </c>
      <c r="AQ480" s="1"/>
      <c r="AR480" s="1"/>
      <c r="AS480" s="1"/>
      <c r="AT480" s="1" t="s">
        <v>567</v>
      </c>
      <c r="AU480" s="3">
        <v>2016</v>
      </c>
      <c r="AV480" s="3">
        <v>20</v>
      </c>
      <c r="AW480" s="3">
        <v>4</v>
      </c>
      <c r="AX480" s="2"/>
      <c r="AY480" s="2"/>
      <c r="AZ480" s="1" t="s">
        <v>170</v>
      </c>
      <c r="BA480" s="2"/>
      <c r="BB480" s="3">
        <v>1175</v>
      </c>
      <c r="BC480" s="3">
        <v>1180</v>
      </c>
      <c r="BD480" s="2"/>
      <c r="BE480" s="1" t="s">
        <v>4266</v>
      </c>
      <c r="BF480" s="4">
        <f>HYPERLINK("http://dx.doi.org/10.1007/s10008-015-2944-2","http://dx.doi.org/10.1007/s10008-015-2944-2")</f>
      </c>
      <c r="BG480" s="1"/>
      <c r="BH480" s="1"/>
      <c r="BI480" s="1"/>
      <c r="BJ480" s="1"/>
      <c r="BK480" s="1"/>
      <c r="BL480" s="1"/>
      <c r="BM480" s="1"/>
      <c r="BN480" s="2"/>
      <c r="BO480" s="1"/>
      <c r="BP480" s="1"/>
      <c r="BQ480" s="1"/>
      <c r="BR480" s="1"/>
      <c r="BS480" s="1" t="s">
        <v>4267</v>
      </c>
      <c r="BT480" s="5">
        <f>HYPERLINK("https%3A%2F%2Fwww.webofscience.com%2Fwos%2Fwoscc%2Ffull-record%2FWOS:000374841300035","View Full Record in Web of Science")</f>
      </c>
    </row>
    <row x14ac:dyDescent="0.25" r="481" customHeight="1" ht="12.75">
      <c r="A481" s="1" t="s">
        <v>303</v>
      </c>
      <c r="B481" s="1" t="s">
        <v>4268</v>
      </c>
      <c r="C481" s="1"/>
      <c r="D481" s="1" t="s">
        <v>4269</v>
      </c>
      <c r="E481" s="1"/>
      <c r="F481" s="1" t="s">
        <v>4270</v>
      </c>
      <c r="G481" s="1"/>
      <c r="H481" s="1"/>
      <c r="I481" s="1" t="s">
        <v>4271</v>
      </c>
      <c r="J481" s="1" t="s">
        <v>4272</v>
      </c>
      <c r="K481" s="1" t="s">
        <v>4273</v>
      </c>
      <c r="L481" s="1"/>
      <c r="M481" s="1"/>
      <c r="N481" s="1"/>
      <c r="O481" s="1" t="s">
        <v>4274</v>
      </c>
      <c r="P481" s="2" t="s">
        <v>4275</v>
      </c>
      <c r="Q481" s="1" t="s">
        <v>4276</v>
      </c>
      <c r="R481" s="1" t="s">
        <v>4277</v>
      </c>
      <c r="S481" s="1"/>
      <c r="T481" s="1"/>
      <c r="U481" s="1"/>
      <c r="V481" s="1" t="s">
        <v>4278</v>
      </c>
      <c r="W481" s="1"/>
      <c r="X481" s="1"/>
      <c r="Y481" s="1"/>
      <c r="Z481" s="1"/>
      <c r="AA481" s="1" t="s">
        <v>3622</v>
      </c>
      <c r="AB481" s="1" t="s">
        <v>3623</v>
      </c>
      <c r="AC481" s="1"/>
      <c r="AD481" s="1"/>
      <c r="AE481" s="1"/>
      <c r="AF481" s="1"/>
      <c r="AG481" s="1"/>
      <c r="AH481" s="1"/>
      <c r="AI481" s="1"/>
      <c r="AJ481" s="1"/>
      <c r="AK481" s="1"/>
      <c r="AL481" s="1"/>
      <c r="AM481" s="1"/>
      <c r="AN481" s="1"/>
      <c r="AO481" s="1" t="s">
        <v>4279</v>
      </c>
      <c r="AP481" s="1"/>
      <c r="AQ481" s="1" t="s">
        <v>4280</v>
      </c>
      <c r="AR481" s="1"/>
      <c r="AS481" s="1"/>
      <c r="AT481" s="1"/>
      <c r="AU481" s="3">
        <v>2016</v>
      </c>
      <c r="AV481" s="3">
        <v>477</v>
      </c>
      <c r="AW481" s="2"/>
      <c r="AX481" s="2"/>
      <c r="AY481" s="2"/>
      <c r="AZ481" s="1"/>
      <c r="BA481" s="2"/>
      <c r="BB481" s="3">
        <v>243</v>
      </c>
      <c r="BC481" s="3">
        <v>245</v>
      </c>
      <c r="BD481" s="2"/>
      <c r="BE481" s="1"/>
      <c r="BF481" s="1"/>
      <c r="BG481" s="1"/>
      <c r="BH481" s="1"/>
      <c r="BI481" s="1"/>
      <c r="BJ481" s="1"/>
      <c r="BK481" s="1"/>
      <c r="BL481" s="1"/>
      <c r="BM481" s="1"/>
      <c r="BN481" s="2"/>
      <c r="BO481" s="1"/>
      <c r="BP481" s="1"/>
      <c r="BQ481" s="1"/>
      <c r="BR481" s="1"/>
      <c r="BS481" s="1" t="s">
        <v>4281</v>
      </c>
      <c r="BT481" s="5">
        <f>HYPERLINK("https%3A%2F%2Fwww.webofscience.com%2Fwos%2Fwoscc%2Ffull-record%2FWOS:000389589900030","View Full Record in Web of Science")</f>
      </c>
    </row>
    <row x14ac:dyDescent="0.25" r="482" customHeight="1" ht="12.75">
      <c r="A482" s="1" t="s">
        <v>72</v>
      </c>
      <c r="B482" s="1" t="s">
        <v>4282</v>
      </c>
      <c r="C482" s="1"/>
      <c r="D482" s="1"/>
      <c r="E482" s="1"/>
      <c r="F482" s="1" t="s">
        <v>4283</v>
      </c>
      <c r="G482" s="1"/>
      <c r="H482" s="1"/>
      <c r="I482" s="1" t="s">
        <v>4284</v>
      </c>
      <c r="J482" s="1" t="s">
        <v>4285</v>
      </c>
      <c r="K482" s="1"/>
      <c r="L482" s="1"/>
      <c r="M482" s="1"/>
      <c r="N482" s="1"/>
      <c r="O482" s="1"/>
      <c r="P482" s="2"/>
      <c r="Q482" s="1"/>
      <c r="R482" s="1"/>
      <c r="S482" s="1"/>
      <c r="T482" s="1"/>
      <c r="U482" s="1"/>
      <c r="V482" s="1" t="s">
        <v>4286</v>
      </c>
      <c r="W482" s="1"/>
      <c r="X482" s="1"/>
      <c r="Y482" s="1"/>
      <c r="Z482" s="1"/>
      <c r="AA482" s="1" t="s">
        <v>2922</v>
      </c>
      <c r="AB482" s="1" t="s">
        <v>2923</v>
      </c>
      <c r="AC482" s="1"/>
      <c r="AD482" s="1"/>
      <c r="AE482" s="1"/>
      <c r="AF482" s="1"/>
      <c r="AG482" s="1"/>
      <c r="AH482" s="1"/>
      <c r="AI482" s="1"/>
      <c r="AJ482" s="1"/>
      <c r="AK482" s="1"/>
      <c r="AL482" s="1"/>
      <c r="AM482" s="1"/>
      <c r="AN482" s="1"/>
      <c r="AO482" s="1" t="s">
        <v>4287</v>
      </c>
      <c r="AP482" s="1" t="s">
        <v>4288</v>
      </c>
      <c r="AQ482" s="1"/>
      <c r="AR482" s="1"/>
      <c r="AS482" s="1"/>
      <c r="AT482" s="1" t="s">
        <v>3811</v>
      </c>
      <c r="AU482" s="3">
        <v>2015</v>
      </c>
      <c r="AV482" s="3">
        <v>93</v>
      </c>
      <c r="AW482" s="2"/>
      <c r="AX482" s="3">
        <v>1</v>
      </c>
      <c r="AY482" s="2"/>
      <c r="AZ482" s="1"/>
      <c r="BA482" s="2"/>
      <c r="BB482" s="3">
        <v>1189</v>
      </c>
      <c r="BC482" s="3">
        <v>1198</v>
      </c>
      <c r="BD482" s="2"/>
      <c r="BE482" s="1" t="s">
        <v>4289</v>
      </c>
      <c r="BF482" s="4">
        <f>HYPERLINK("http://dx.doi.org/10.1016/j.energy.2015.09.123","http://dx.doi.org/10.1016/j.energy.2015.09.123")</f>
      </c>
      <c r="BG482" s="1"/>
      <c r="BH482" s="1"/>
      <c r="BI482" s="1"/>
      <c r="BJ482" s="1"/>
      <c r="BK482" s="1"/>
      <c r="BL482" s="1"/>
      <c r="BM482" s="1"/>
      <c r="BN482" s="2"/>
      <c r="BO482" s="1"/>
      <c r="BP482" s="1"/>
      <c r="BQ482" s="1"/>
      <c r="BR482" s="1"/>
      <c r="BS482" s="1" t="s">
        <v>4290</v>
      </c>
      <c r="BT482" s="5">
        <f>HYPERLINK("https%3A%2F%2Fwww.webofscience.com%2Fwos%2Fwoscc%2Ffull-record%2FWOS:000367630200107","View Full Record in Web of Science")</f>
      </c>
    </row>
    <row x14ac:dyDescent="0.25" r="483" customHeight="1" ht="12.75">
      <c r="A483" s="1" t="s">
        <v>72</v>
      </c>
      <c r="B483" s="1" t="s">
        <v>4291</v>
      </c>
      <c r="C483" s="1"/>
      <c r="D483" s="1"/>
      <c r="E483" s="1"/>
      <c r="F483" s="1" t="s">
        <v>4292</v>
      </c>
      <c r="G483" s="1"/>
      <c r="H483" s="1"/>
      <c r="I483" s="1" t="s">
        <v>4293</v>
      </c>
      <c r="J483" s="1" t="s">
        <v>1507</v>
      </c>
      <c r="K483" s="1"/>
      <c r="L483" s="1"/>
      <c r="M483" s="1"/>
      <c r="N483" s="1"/>
      <c r="O483" s="1"/>
      <c r="P483" s="2"/>
      <c r="Q483" s="1"/>
      <c r="R483" s="1"/>
      <c r="S483" s="1"/>
      <c r="T483" s="1"/>
      <c r="U483" s="1"/>
      <c r="V483" s="1" t="s">
        <v>4294</v>
      </c>
      <c r="W483" s="1"/>
      <c r="X483" s="1"/>
      <c r="Y483" s="1"/>
      <c r="Z483" s="1"/>
      <c r="AA483" s="1" t="s">
        <v>4295</v>
      </c>
      <c r="AB483" s="1" t="s">
        <v>4296</v>
      </c>
      <c r="AC483" s="1"/>
      <c r="AD483" s="1"/>
      <c r="AE483" s="1"/>
      <c r="AF483" s="1"/>
      <c r="AG483" s="1"/>
      <c r="AH483" s="1"/>
      <c r="AI483" s="1"/>
      <c r="AJ483" s="1"/>
      <c r="AK483" s="1"/>
      <c r="AL483" s="1"/>
      <c r="AM483" s="1"/>
      <c r="AN483" s="1"/>
      <c r="AO483" s="1" t="s">
        <v>2886</v>
      </c>
      <c r="AP483" s="1"/>
      <c r="AQ483" s="1"/>
      <c r="AR483" s="1"/>
      <c r="AS483" s="1"/>
      <c r="AT483" s="1" t="s">
        <v>292</v>
      </c>
      <c r="AU483" s="3">
        <v>2015</v>
      </c>
      <c r="AV483" s="3">
        <v>60</v>
      </c>
      <c r="AW483" s="3">
        <v>3</v>
      </c>
      <c r="AX483" s="2"/>
      <c r="AY483" s="2"/>
      <c r="AZ483" s="1"/>
      <c r="BA483" s="2"/>
      <c r="BB483" s="3">
        <v>3009</v>
      </c>
      <c r="BC483" s="3">
        <v>3014</v>
      </c>
      <c r="BD483" s="2"/>
      <c r="BE483" s="1" t="s">
        <v>4297</v>
      </c>
      <c r="BF483" s="4">
        <f>HYPERLINK("http://dx.doi.org/10.4067/S0717-97072015000300007","http://dx.doi.org/10.4067/S0717-97072015000300007")</f>
      </c>
      <c r="BG483" s="1"/>
      <c r="BH483" s="1"/>
      <c r="BI483" s="1"/>
      <c r="BJ483" s="1"/>
      <c r="BK483" s="1"/>
      <c r="BL483" s="1"/>
      <c r="BM483" s="1"/>
      <c r="BN483" s="2"/>
      <c r="BO483" s="1"/>
      <c r="BP483" s="1"/>
      <c r="BQ483" s="1"/>
      <c r="BR483" s="1"/>
      <c r="BS483" s="1" t="s">
        <v>4298</v>
      </c>
      <c r="BT483" s="5">
        <f>HYPERLINK("https%3A%2F%2Fwww.webofscience.com%2Fwos%2Fwoscc%2Ffull-record%2FWOS:000365352800007","View Full Record in Web of Science")</f>
      </c>
    </row>
    <row x14ac:dyDescent="0.25" r="484" customHeight="1" ht="12.75">
      <c r="A484" s="1" t="s">
        <v>72</v>
      </c>
      <c r="B484" s="1" t="s">
        <v>4299</v>
      </c>
      <c r="C484" s="1"/>
      <c r="D484" s="1"/>
      <c r="E484" s="1"/>
      <c r="F484" s="1" t="s">
        <v>4300</v>
      </c>
      <c r="G484" s="1"/>
      <c r="H484" s="1"/>
      <c r="I484" s="1" t="s">
        <v>4301</v>
      </c>
      <c r="J484" s="1" t="s">
        <v>4302</v>
      </c>
      <c r="K484" s="1"/>
      <c r="L484" s="1"/>
      <c r="M484" s="1"/>
      <c r="N484" s="1"/>
      <c r="O484" s="1"/>
      <c r="P484" s="2"/>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t="s">
        <v>4303</v>
      </c>
      <c r="AP484" s="1"/>
      <c r="AQ484" s="1"/>
      <c r="AR484" s="1"/>
      <c r="AS484" s="1"/>
      <c r="AT484" s="1" t="s">
        <v>126</v>
      </c>
      <c r="AU484" s="3">
        <v>2015</v>
      </c>
      <c r="AV484" s="2"/>
      <c r="AW484" s="3">
        <v>40</v>
      </c>
      <c r="AX484" s="2"/>
      <c r="AY484" s="2"/>
      <c r="AZ484" s="1"/>
      <c r="BA484" s="2"/>
      <c r="BB484" s="3">
        <v>217</v>
      </c>
      <c r="BC484" s="3">
        <v>221</v>
      </c>
      <c r="BD484" s="2"/>
      <c r="BE484" s="1"/>
      <c r="BF484" s="1"/>
      <c r="BG484" s="1"/>
      <c r="BH484" s="1"/>
      <c r="BI484" s="1"/>
      <c r="BJ484" s="1"/>
      <c r="BK484" s="1"/>
      <c r="BL484" s="1"/>
      <c r="BM484" s="1"/>
      <c r="BN484" s="2"/>
      <c r="BO484" s="1"/>
      <c r="BP484" s="1"/>
      <c r="BQ484" s="1"/>
      <c r="BR484" s="1"/>
      <c r="BS484" s="1" t="s">
        <v>4304</v>
      </c>
      <c r="BT484" s="5">
        <f>HYPERLINK("https%3A%2F%2Fwww.webofscience.com%2Fwos%2Fwoscc%2Ffull-record%2FWOS:000363475100017","View Full Record in Web of Science")</f>
      </c>
    </row>
    <row x14ac:dyDescent="0.25" r="485" customHeight="1" ht="12.75">
      <c r="A485" s="1" t="s">
        <v>72</v>
      </c>
      <c r="B485" s="1" t="s">
        <v>4305</v>
      </c>
      <c r="C485" s="1"/>
      <c r="D485" s="1"/>
      <c r="E485" s="1"/>
      <c r="F485" s="1" t="s">
        <v>4306</v>
      </c>
      <c r="G485" s="1"/>
      <c r="H485" s="1"/>
      <c r="I485" s="1" t="s">
        <v>4307</v>
      </c>
      <c r="J485" s="1" t="s">
        <v>4308</v>
      </c>
      <c r="K485" s="1"/>
      <c r="L485" s="1"/>
      <c r="M485" s="1"/>
      <c r="N485" s="1"/>
      <c r="O485" s="1"/>
      <c r="P485" s="2"/>
      <c r="Q485" s="1"/>
      <c r="R485" s="1"/>
      <c r="S485" s="1"/>
      <c r="T485" s="1"/>
      <c r="U485" s="1"/>
      <c r="V485" s="1" t="s">
        <v>4309</v>
      </c>
      <c r="W485" s="1"/>
      <c r="X485" s="1"/>
      <c r="Y485" s="1"/>
      <c r="Z485" s="1"/>
      <c r="AA485" s="1"/>
      <c r="AB485" s="1" t="s">
        <v>4310</v>
      </c>
      <c r="AC485" s="1"/>
      <c r="AD485" s="1"/>
      <c r="AE485" s="1"/>
      <c r="AF485" s="1"/>
      <c r="AG485" s="1"/>
      <c r="AH485" s="1"/>
      <c r="AI485" s="1"/>
      <c r="AJ485" s="1"/>
      <c r="AK485" s="1"/>
      <c r="AL485" s="1"/>
      <c r="AM485" s="1"/>
      <c r="AN485" s="1"/>
      <c r="AO485" s="1" t="s">
        <v>4311</v>
      </c>
      <c r="AP485" s="1" t="s">
        <v>4312</v>
      </c>
      <c r="AQ485" s="1"/>
      <c r="AR485" s="1"/>
      <c r="AS485" s="1"/>
      <c r="AT485" s="1" t="s">
        <v>2540</v>
      </c>
      <c r="AU485" s="3">
        <v>2015</v>
      </c>
      <c r="AV485" s="3">
        <v>16</v>
      </c>
      <c r="AW485" s="3">
        <v>2</v>
      </c>
      <c r="AX485" s="2"/>
      <c r="AY485" s="2"/>
      <c r="AZ485" s="1"/>
      <c r="BA485" s="2"/>
      <c r="BB485" s="3">
        <v>131</v>
      </c>
      <c r="BC485" s="3">
        <v>144</v>
      </c>
      <c r="BD485" s="2"/>
      <c r="BE485" s="1" t="s">
        <v>4313</v>
      </c>
      <c r="BF485" s="4">
        <f>HYPERLINK("http://dx.doi.org/10.4013/fsu.2015.162.03","http://dx.doi.org/10.4013/fsu.2015.162.03")</f>
      </c>
      <c r="BG485" s="1"/>
      <c r="BH485" s="1"/>
      <c r="BI485" s="1"/>
      <c r="BJ485" s="1"/>
      <c r="BK485" s="1"/>
      <c r="BL485" s="1"/>
      <c r="BM485" s="1"/>
      <c r="BN485" s="2"/>
      <c r="BO485" s="1"/>
      <c r="BP485" s="1"/>
      <c r="BQ485" s="1"/>
      <c r="BR485" s="1"/>
      <c r="BS485" s="1" t="s">
        <v>4314</v>
      </c>
      <c r="BT485" s="5">
        <f>HYPERLINK("https%3A%2F%2Fwww.webofscience.com%2Fwos%2Fwoscc%2Ffull-record%2FWOS:000378170800004","View Full Record in Web of Science")</f>
      </c>
    </row>
    <row x14ac:dyDescent="0.25" r="486" customHeight="1" ht="12.75">
      <c r="A486" s="1" t="s">
        <v>72</v>
      </c>
      <c r="B486" s="1" t="s">
        <v>4315</v>
      </c>
      <c r="C486" s="1"/>
      <c r="D486" s="1"/>
      <c r="E486" s="1"/>
      <c r="F486" s="1" t="s">
        <v>4316</v>
      </c>
      <c r="G486" s="1"/>
      <c r="H486" s="1"/>
      <c r="I486" s="1" t="s">
        <v>4317</v>
      </c>
      <c r="J486" s="1" t="s">
        <v>230</v>
      </c>
      <c r="K486" s="1"/>
      <c r="L486" s="1"/>
      <c r="M486" s="1"/>
      <c r="N486" s="1"/>
      <c r="O486" s="1"/>
      <c r="P486" s="2"/>
      <c r="Q486" s="1"/>
      <c r="R486" s="1"/>
      <c r="S486" s="1"/>
      <c r="T486" s="1"/>
      <c r="U486" s="1"/>
      <c r="V486" s="1" t="s">
        <v>4318</v>
      </c>
      <c r="W486" s="1"/>
      <c r="X486" s="1"/>
      <c r="Y486" s="1"/>
      <c r="Z486" s="1"/>
      <c r="AA486" s="1" t="s">
        <v>4319</v>
      </c>
      <c r="AB486" s="1" t="s">
        <v>4320</v>
      </c>
      <c r="AC486" s="1"/>
      <c r="AD486" s="1"/>
      <c r="AE486" s="1"/>
      <c r="AF486" s="1"/>
      <c r="AG486" s="1"/>
      <c r="AH486" s="1"/>
      <c r="AI486" s="1"/>
      <c r="AJ486" s="1"/>
      <c r="AK486" s="1"/>
      <c r="AL486" s="1"/>
      <c r="AM486" s="1"/>
      <c r="AN486" s="1"/>
      <c r="AO486" s="1"/>
      <c r="AP486" s="1" t="s">
        <v>233</v>
      </c>
      <c r="AQ486" s="1"/>
      <c r="AR486" s="1"/>
      <c r="AS486" s="1"/>
      <c r="AT486" s="1" t="s">
        <v>204</v>
      </c>
      <c r="AU486" s="3">
        <v>2014</v>
      </c>
      <c r="AV486" s="3">
        <v>19</v>
      </c>
      <c r="AW486" s="3">
        <v>12</v>
      </c>
      <c r="AX486" s="2"/>
      <c r="AY486" s="2"/>
      <c r="AZ486" s="1"/>
      <c r="BA486" s="2"/>
      <c r="BB486" s="3">
        <v>21154</v>
      </c>
      <c r="BC486" s="3">
        <v>21167</v>
      </c>
      <c r="BD486" s="2"/>
      <c r="BE486" s="1" t="s">
        <v>4321</v>
      </c>
      <c r="BF486" s="4">
        <f>HYPERLINK("http://dx.doi.org/10.3390/molecules191221154","http://dx.doi.org/10.3390/molecules191221154")</f>
      </c>
      <c r="BG486" s="1"/>
      <c r="BH486" s="1"/>
      <c r="BI486" s="1"/>
      <c r="BJ486" s="1"/>
      <c r="BK486" s="1"/>
      <c r="BL486" s="1"/>
      <c r="BM486" s="1"/>
      <c r="BN486" s="3">
        <v>25521116</v>
      </c>
      <c r="BO486" s="1"/>
      <c r="BP486" s="1"/>
      <c r="BQ486" s="1"/>
      <c r="BR486" s="1"/>
      <c r="BS486" s="1" t="s">
        <v>4322</v>
      </c>
      <c r="BT486" s="5">
        <f>HYPERLINK("https%3A%2F%2Fwww.webofscience.com%2Fwos%2Fwoscc%2Ffull-record%2FWOS:000346793200108","View Full Record in Web of Science")</f>
      </c>
    </row>
    <row x14ac:dyDescent="0.25" r="487" customHeight="1" ht="12.75">
      <c r="A487" s="1" t="s">
        <v>72</v>
      </c>
      <c r="B487" s="1" t="s">
        <v>969</v>
      </c>
      <c r="C487" s="1"/>
      <c r="D487" s="1"/>
      <c r="E487" s="1"/>
      <c r="F487" s="1" t="s">
        <v>4323</v>
      </c>
      <c r="G487" s="1"/>
      <c r="H487" s="1"/>
      <c r="I487" s="1" t="s">
        <v>4324</v>
      </c>
      <c r="J487" s="1" t="s">
        <v>4302</v>
      </c>
      <c r="K487" s="1"/>
      <c r="L487" s="1"/>
      <c r="M487" s="1"/>
      <c r="N487" s="1"/>
      <c r="O487" s="1"/>
      <c r="P487" s="2"/>
      <c r="Q487" s="1"/>
      <c r="R487" s="1"/>
      <c r="S487" s="1"/>
      <c r="T487" s="1"/>
      <c r="U487" s="1"/>
      <c r="V487" s="1" t="s">
        <v>4325</v>
      </c>
      <c r="W487" s="1"/>
      <c r="X487" s="1"/>
      <c r="Y487" s="1"/>
      <c r="Z487" s="1"/>
      <c r="AA487" s="1"/>
      <c r="AB487" s="1"/>
      <c r="AC487" s="1"/>
      <c r="AD487" s="1"/>
      <c r="AE487" s="1"/>
      <c r="AF487" s="1"/>
      <c r="AG487" s="1"/>
      <c r="AH487" s="1"/>
      <c r="AI487" s="1"/>
      <c r="AJ487" s="1"/>
      <c r="AK487" s="1"/>
      <c r="AL487" s="1"/>
      <c r="AM487" s="1"/>
      <c r="AN487" s="1"/>
      <c r="AO487" s="1" t="s">
        <v>4303</v>
      </c>
      <c r="AP487" s="1"/>
      <c r="AQ487" s="1"/>
      <c r="AR487" s="1"/>
      <c r="AS487" s="1"/>
      <c r="AT487" s="1" t="s">
        <v>126</v>
      </c>
      <c r="AU487" s="3">
        <v>2014</v>
      </c>
      <c r="AV487" s="2"/>
      <c r="AW487" s="3">
        <v>38</v>
      </c>
      <c r="AX487" s="2"/>
      <c r="AY487" s="2"/>
      <c r="AZ487" s="1"/>
      <c r="BA487" s="2"/>
      <c r="BB487" s="3">
        <v>173</v>
      </c>
      <c r="BC487" s="3">
        <v>196</v>
      </c>
      <c r="BD487" s="2"/>
      <c r="BE487" s="1"/>
      <c r="BF487" s="1"/>
      <c r="BG487" s="1"/>
      <c r="BH487" s="1"/>
      <c r="BI487" s="1"/>
      <c r="BJ487" s="1"/>
      <c r="BK487" s="1"/>
      <c r="BL487" s="1"/>
      <c r="BM487" s="1"/>
      <c r="BN487" s="2"/>
      <c r="BO487" s="1"/>
      <c r="BP487" s="1"/>
      <c r="BQ487" s="1"/>
      <c r="BR487" s="1"/>
      <c r="BS487" s="1" t="s">
        <v>4326</v>
      </c>
      <c r="BT487" s="5">
        <f>HYPERLINK("https%3A%2F%2Fwww.webofscience.com%2Fwos%2Fwoscc%2Ffull-record%2FWOS:000341694300012","View Full Record in Web of Science")</f>
      </c>
    </row>
    <row x14ac:dyDescent="0.25" r="488" customHeight="1" ht="12.75">
      <c r="A488" s="1" t="s">
        <v>72</v>
      </c>
      <c r="B488" s="1" t="s">
        <v>4327</v>
      </c>
      <c r="C488" s="1"/>
      <c r="D488" s="1"/>
      <c r="E488" s="1"/>
      <c r="F488" s="1" t="s">
        <v>4328</v>
      </c>
      <c r="G488" s="1"/>
      <c r="H488" s="1"/>
      <c r="I488" s="1" t="s">
        <v>4329</v>
      </c>
      <c r="J488" s="1" t="s">
        <v>1636</v>
      </c>
      <c r="K488" s="1"/>
      <c r="L488" s="1"/>
      <c r="M488" s="1"/>
      <c r="N488" s="1"/>
      <c r="O488" s="1"/>
      <c r="P488" s="2"/>
      <c r="Q488" s="1"/>
      <c r="R488" s="1"/>
      <c r="S488" s="1"/>
      <c r="T488" s="1"/>
      <c r="U488" s="1"/>
      <c r="V488" s="1" t="s">
        <v>4330</v>
      </c>
      <c r="W488" s="1"/>
      <c r="X488" s="1"/>
      <c r="Y488" s="1"/>
      <c r="Z488" s="1"/>
      <c r="AA488" s="1"/>
      <c r="AB488" s="1"/>
      <c r="AC488" s="1"/>
      <c r="AD488" s="1"/>
      <c r="AE488" s="1"/>
      <c r="AF488" s="1"/>
      <c r="AG488" s="1"/>
      <c r="AH488" s="1"/>
      <c r="AI488" s="1"/>
      <c r="AJ488" s="1"/>
      <c r="AK488" s="1"/>
      <c r="AL488" s="1"/>
      <c r="AM488" s="1"/>
      <c r="AN488" s="1"/>
      <c r="AO488" s="1" t="s">
        <v>1638</v>
      </c>
      <c r="AP488" s="1" t="s">
        <v>1919</v>
      </c>
      <c r="AQ488" s="1"/>
      <c r="AR488" s="1"/>
      <c r="AS488" s="1"/>
      <c r="AT488" s="1"/>
      <c r="AU488" s="3">
        <v>2014</v>
      </c>
      <c r="AV488" s="3">
        <v>43</v>
      </c>
      <c r="AW488" s="3">
        <v>2</v>
      </c>
      <c r="AX488" s="2"/>
      <c r="AY488" s="2"/>
      <c r="AZ488" s="1"/>
      <c r="BA488" s="2"/>
      <c r="BB488" s="3">
        <v>228</v>
      </c>
      <c r="BC488" s="3">
        <v>249</v>
      </c>
      <c r="BD488" s="2"/>
      <c r="BE488" s="1" t="s">
        <v>4331</v>
      </c>
      <c r="BF488" s="4">
        <f>HYPERLINK("http://dx.doi.org/10.1108/K-12-2013-0275","http://dx.doi.org/10.1108/K-12-2013-0275")</f>
      </c>
      <c r="BG488" s="1"/>
      <c r="BH488" s="1"/>
      <c r="BI488" s="1"/>
      <c r="BJ488" s="1"/>
      <c r="BK488" s="1"/>
      <c r="BL488" s="1"/>
      <c r="BM488" s="1"/>
      <c r="BN488" s="2"/>
      <c r="BO488" s="1"/>
      <c r="BP488" s="1"/>
      <c r="BQ488" s="1"/>
      <c r="BR488" s="1"/>
      <c r="BS488" s="1" t="s">
        <v>4332</v>
      </c>
      <c r="BT488" s="5">
        <f>HYPERLINK("https%3A%2F%2Fwww.webofscience.com%2Fwos%2Fwoscc%2Ffull-record%2FWOS:000332133600006","View Full Record in Web of Science")</f>
      </c>
    </row>
    <row x14ac:dyDescent="0.25" r="489" customHeight="1" ht="12.75">
      <c r="A489" s="1" t="s">
        <v>72</v>
      </c>
      <c r="B489" s="1" t="s">
        <v>4333</v>
      </c>
      <c r="C489" s="1"/>
      <c r="D489" s="1"/>
      <c r="E489" s="1"/>
      <c r="F489" s="1" t="s">
        <v>4334</v>
      </c>
      <c r="G489" s="1"/>
      <c r="H489" s="1"/>
      <c r="I489" s="1" t="s">
        <v>4335</v>
      </c>
      <c r="J489" s="1" t="s">
        <v>358</v>
      </c>
      <c r="K489" s="1"/>
      <c r="L489" s="1"/>
      <c r="M489" s="1"/>
      <c r="N489" s="1"/>
      <c r="O489" s="1"/>
      <c r="P489" s="2"/>
      <c r="Q489" s="1"/>
      <c r="R489" s="1"/>
      <c r="S489" s="1"/>
      <c r="T489" s="1"/>
      <c r="U489" s="1"/>
      <c r="V489" s="1" t="s">
        <v>4336</v>
      </c>
      <c r="W489" s="1"/>
      <c r="X489" s="1"/>
      <c r="Y489" s="1"/>
      <c r="Z489" s="1"/>
      <c r="AA489" s="1"/>
      <c r="AB489" s="1"/>
      <c r="AC489" s="1"/>
      <c r="AD489" s="1"/>
      <c r="AE489" s="1"/>
      <c r="AF489" s="1"/>
      <c r="AG489" s="1"/>
      <c r="AH489" s="1"/>
      <c r="AI489" s="1"/>
      <c r="AJ489" s="1"/>
      <c r="AK489" s="1"/>
      <c r="AL489" s="1"/>
      <c r="AM489" s="1"/>
      <c r="AN489" s="1"/>
      <c r="AO489" s="1" t="s">
        <v>359</v>
      </c>
      <c r="AP489" s="1"/>
      <c r="AQ489" s="1"/>
      <c r="AR489" s="1"/>
      <c r="AS489" s="1"/>
      <c r="AT489" s="1" t="s">
        <v>181</v>
      </c>
      <c r="AU489" s="3">
        <v>2013</v>
      </c>
      <c r="AV489" s="3">
        <v>46</v>
      </c>
      <c r="AW489" s="3">
        <v>1</v>
      </c>
      <c r="AX489" s="2"/>
      <c r="AY489" s="2"/>
      <c r="AZ489" s="1"/>
      <c r="BA489" s="2"/>
      <c r="BB489" s="3">
        <v>89</v>
      </c>
      <c r="BC489" s="3">
        <v>111</v>
      </c>
      <c r="BD489" s="2"/>
      <c r="BE489" s="1"/>
      <c r="BF489" s="1"/>
      <c r="BG489" s="1"/>
      <c r="BH489" s="1"/>
      <c r="BI489" s="1"/>
      <c r="BJ489" s="1"/>
      <c r="BK489" s="1"/>
      <c r="BL489" s="1"/>
      <c r="BM489" s="1"/>
      <c r="BN489" s="2"/>
      <c r="BO489" s="1"/>
      <c r="BP489" s="1"/>
      <c r="BQ489" s="1"/>
      <c r="BR489" s="1"/>
      <c r="BS489" s="1" t="s">
        <v>4337</v>
      </c>
      <c r="BT489" s="5">
        <f>HYPERLINK("https%3A%2F%2Fwww.webofscience.com%2Fwos%2Fwoscc%2Ffull-record%2FWOS:000321934400003","View Full Record in Web of Science")</f>
      </c>
    </row>
    <row x14ac:dyDescent="0.25" r="490" customHeight="1" ht="12.75">
      <c r="A490" s="1" t="s">
        <v>72</v>
      </c>
      <c r="B490" s="1" t="s">
        <v>4338</v>
      </c>
      <c r="C490" s="1"/>
      <c r="D490" s="1"/>
      <c r="E490" s="1"/>
      <c r="F490" s="1" t="s">
        <v>4339</v>
      </c>
      <c r="G490" s="1"/>
      <c r="H490" s="1"/>
      <c r="I490" s="1" t="s">
        <v>4340</v>
      </c>
      <c r="J490" s="1" t="s">
        <v>4341</v>
      </c>
      <c r="K490" s="1"/>
      <c r="L490" s="1"/>
      <c r="M490" s="1"/>
      <c r="N490" s="1"/>
      <c r="O490" s="1"/>
      <c r="P490" s="2"/>
      <c r="Q490" s="1"/>
      <c r="R490" s="1"/>
      <c r="S490" s="1"/>
      <c r="T490" s="1"/>
      <c r="U490" s="1"/>
      <c r="V490" s="1" t="s">
        <v>4342</v>
      </c>
      <c r="W490" s="1"/>
      <c r="X490" s="1"/>
      <c r="Y490" s="1"/>
      <c r="Z490" s="1"/>
      <c r="AA490" s="1" t="s">
        <v>4343</v>
      </c>
      <c r="AB490" s="1" t="s">
        <v>4344</v>
      </c>
      <c r="AC490" s="1"/>
      <c r="AD490" s="1"/>
      <c r="AE490" s="1"/>
      <c r="AF490" s="1"/>
      <c r="AG490" s="1"/>
      <c r="AH490" s="1"/>
      <c r="AI490" s="1"/>
      <c r="AJ490" s="1"/>
      <c r="AK490" s="1"/>
      <c r="AL490" s="1"/>
      <c r="AM490" s="1"/>
      <c r="AN490" s="1"/>
      <c r="AO490" s="1" t="s">
        <v>4345</v>
      </c>
      <c r="AP490" s="1" t="s">
        <v>4346</v>
      </c>
      <c r="AQ490" s="1"/>
      <c r="AR490" s="1"/>
      <c r="AS490" s="1"/>
      <c r="AT490" s="1" t="s">
        <v>126</v>
      </c>
      <c r="AU490" s="3">
        <v>2012</v>
      </c>
      <c r="AV490" s="3">
        <v>30</v>
      </c>
      <c r="AW490" s="3">
        <v>7</v>
      </c>
      <c r="AX490" s="2"/>
      <c r="AY490" s="2"/>
      <c r="AZ490" s="1"/>
      <c r="BA490" s="2"/>
      <c r="BB490" s="3">
        <v>1631</v>
      </c>
      <c r="BC490" s="3">
        <v>1635</v>
      </c>
      <c r="BD490" s="2"/>
      <c r="BE490" s="1" t="s">
        <v>4347</v>
      </c>
      <c r="BF490" s="4">
        <f>HYPERLINK("http://dx.doi.org/10.1002/cjoc.201100666","http://dx.doi.org/10.1002/cjoc.201100666")</f>
      </c>
      <c r="BG490" s="1"/>
      <c r="BH490" s="1"/>
      <c r="BI490" s="1"/>
      <c r="BJ490" s="1"/>
      <c r="BK490" s="1"/>
      <c r="BL490" s="1"/>
      <c r="BM490" s="1"/>
      <c r="BN490" s="2"/>
      <c r="BO490" s="1"/>
      <c r="BP490" s="1"/>
      <c r="BQ490" s="1"/>
      <c r="BR490" s="1"/>
      <c r="BS490" s="1" t="s">
        <v>4348</v>
      </c>
      <c r="BT490" s="5">
        <f>HYPERLINK("https%3A%2F%2Fwww.webofscience.com%2Fwos%2Fwoscc%2Ffull-record%2FWOS:000306562300044","View Full Record in Web of Science")</f>
      </c>
    </row>
    <row x14ac:dyDescent="0.25" r="491" customHeight="1" ht="12.75">
      <c r="A491" s="1" t="s">
        <v>72</v>
      </c>
      <c r="B491" s="1" t="s">
        <v>4349</v>
      </c>
      <c r="C491" s="1"/>
      <c r="D491" s="1"/>
      <c r="E491" s="1"/>
      <c r="F491" s="1" t="s">
        <v>4350</v>
      </c>
      <c r="G491" s="1"/>
      <c r="H491" s="1"/>
      <c r="I491" s="1" t="s">
        <v>4351</v>
      </c>
      <c r="J491" s="1" t="s">
        <v>4352</v>
      </c>
      <c r="K491" s="1"/>
      <c r="L491" s="1"/>
      <c r="M491" s="1"/>
      <c r="N491" s="1"/>
      <c r="O491" s="1"/>
      <c r="P491" s="2"/>
      <c r="Q491" s="1"/>
      <c r="R491" s="1"/>
      <c r="S491" s="1"/>
      <c r="T491" s="1"/>
      <c r="U491" s="1"/>
      <c r="V491" s="1" t="s">
        <v>4353</v>
      </c>
      <c r="W491" s="1"/>
      <c r="X491" s="1"/>
      <c r="Y491" s="1"/>
      <c r="Z491" s="1"/>
      <c r="AA491" s="1" t="s">
        <v>4354</v>
      </c>
      <c r="AB491" s="1" t="s">
        <v>4355</v>
      </c>
      <c r="AC491" s="1"/>
      <c r="AD491" s="1"/>
      <c r="AE491" s="1"/>
      <c r="AF491" s="1"/>
      <c r="AG491" s="1"/>
      <c r="AH491" s="1"/>
      <c r="AI491" s="1"/>
      <c r="AJ491" s="1"/>
      <c r="AK491" s="1"/>
      <c r="AL491" s="1"/>
      <c r="AM491" s="1"/>
      <c r="AN491" s="1"/>
      <c r="AO491" s="1" t="s">
        <v>4356</v>
      </c>
      <c r="AP491" s="1"/>
      <c r="AQ491" s="1"/>
      <c r="AR491" s="1"/>
      <c r="AS491" s="1"/>
      <c r="AT491" s="1" t="s">
        <v>126</v>
      </c>
      <c r="AU491" s="3">
        <v>2012</v>
      </c>
      <c r="AV491" s="3">
        <v>75</v>
      </c>
      <c r="AW491" s="3">
        <v>2</v>
      </c>
      <c r="AX491" s="2"/>
      <c r="AY491" s="2"/>
      <c r="AZ491" s="1"/>
      <c r="BA491" s="2"/>
      <c r="BB491" s="3">
        <v>668</v>
      </c>
      <c r="BC491" s="3">
        <v>684</v>
      </c>
      <c r="BD491" s="2"/>
      <c r="BE491" s="1" t="s">
        <v>4357</v>
      </c>
      <c r="BF491" s="4">
        <f>HYPERLINK("http://dx.doi.org/10.1016/j.geb.2012.03.004","http://dx.doi.org/10.1016/j.geb.2012.03.004")</f>
      </c>
      <c r="BG491" s="1"/>
      <c r="BH491" s="1"/>
      <c r="BI491" s="1"/>
      <c r="BJ491" s="1"/>
      <c r="BK491" s="1"/>
      <c r="BL491" s="1"/>
      <c r="BM491" s="1"/>
      <c r="BN491" s="2"/>
      <c r="BO491" s="1"/>
      <c r="BP491" s="1"/>
      <c r="BQ491" s="1"/>
      <c r="BR491" s="1"/>
      <c r="BS491" s="1" t="s">
        <v>4358</v>
      </c>
      <c r="BT491" s="5">
        <f>HYPERLINK("https%3A%2F%2Fwww.webofscience.com%2Fwos%2Fwoscc%2Ffull-record%2FWOS:000305038100016","View Full Record in Web of Science")</f>
      </c>
    </row>
    <row x14ac:dyDescent="0.25" r="492" customHeight="1" ht="12.75">
      <c r="A492" s="1" t="s">
        <v>72</v>
      </c>
      <c r="B492" s="1" t="s">
        <v>4359</v>
      </c>
      <c r="C492" s="1"/>
      <c r="D492" s="1"/>
      <c r="E492" s="1"/>
      <c r="F492" s="1" t="s">
        <v>4360</v>
      </c>
      <c r="G492" s="1"/>
      <c r="H492" s="1"/>
      <c r="I492" s="1" t="s">
        <v>4361</v>
      </c>
      <c r="J492" s="1" t="s">
        <v>4362</v>
      </c>
      <c r="K492" s="1"/>
      <c r="L492" s="1"/>
      <c r="M492" s="1"/>
      <c r="N492" s="1"/>
      <c r="O492" s="1"/>
      <c r="P492" s="2"/>
      <c r="Q492" s="1"/>
      <c r="R492" s="1"/>
      <c r="S492" s="1"/>
      <c r="T492" s="1"/>
      <c r="U492" s="1"/>
      <c r="V492" s="1" t="s">
        <v>4363</v>
      </c>
      <c r="W492" s="1"/>
      <c r="X492" s="1"/>
      <c r="Y492" s="1"/>
      <c r="Z492" s="1"/>
      <c r="AA492" s="1" t="s">
        <v>4364</v>
      </c>
      <c r="AB492" s="1" t="s">
        <v>2240</v>
      </c>
      <c r="AC492" s="1"/>
      <c r="AD492" s="1"/>
      <c r="AE492" s="1"/>
      <c r="AF492" s="1"/>
      <c r="AG492" s="1"/>
      <c r="AH492" s="1"/>
      <c r="AI492" s="1"/>
      <c r="AJ492" s="1"/>
      <c r="AK492" s="1"/>
      <c r="AL492" s="1"/>
      <c r="AM492" s="1"/>
      <c r="AN492" s="1"/>
      <c r="AO492" s="1" t="s">
        <v>4365</v>
      </c>
      <c r="AP492" s="1" t="s">
        <v>4366</v>
      </c>
      <c r="AQ492" s="1"/>
      <c r="AR492" s="1"/>
      <c r="AS492" s="1"/>
      <c r="AT492" s="1" t="s">
        <v>567</v>
      </c>
      <c r="AU492" s="3">
        <v>2012</v>
      </c>
      <c r="AV492" s="3">
        <v>58</v>
      </c>
      <c r="AW492" s="2"/>
      <c r="AX492" s="2"/>
      <c r="AY492" s="2"/>
      <c r="AZ492" s="1"/>
      <c r="BA492" s="2"/>
      <c r="BB492" s="3">
        <v>79</v>
      </c>
      <c r="BC492" s="3">
        <v>87</v>
      </c>
      <c r="BD492" s="2"/>
      <c r="BE492" s="1" t="s">
        <v>4367</v>
      </c>
      <c r="BF492" s="4">
        <f>HYPERLINK("http://dx.doi.org/10.1016/j.clay.2012.01.016","http://dx.doi.org/10.1016/j.clay.2012.01.016")</f>
      </c>
      <c r="BG492" s="1"/>
      <c r="BH492" s="1"/>
      <c r="BI492" s="1"/>
      <c r="BJ492" s="1"/>
      <c r="BK492" s="1"/>
      <c r="BL492" s="1"/>
      <c r="BM492" s="1"/>
      <c r="BN492" s="2"/>
      <c r="BO492" s="1"/>
      <c r="BP492" s="1"/>
      <c r="BQ492" s="1"/>
      <c r="BR492" s="1"/>
      <c r="BS492" s="1" t="s">
        <v>4368</v>
      </c>
      <c r="BT492" s="5">
        <f>HYPERLINK("https%3A%2F%2Fwww.webofscience.com%2Fwos%2Fwoscc%2Ffull-record%2FWOS:000302843700012","View Full Record in Web of Science")</f>
      </c>
    </row>
    <row x14ac:dyDescent="0.25" r="493" customHeight="1" ht="12.75">
      <c r="A493" s="1" t="s">
        <v>72</v>
      </c>
      <c r="B493" s="1" t="s">
        <v>4369</v>
      </c>
      <c r="C493" s="1"/>
      <c r="D493" s="1"/>
      <c r="E493" s="1"/>
      <c r="F493" s="1" t="s">
        <v>4370</v>
      </c>
      <c r="G493" s="1"/>
      <c r="H493" s="1"/>
      <c r="I493" s="1" t="s">
        <v>4371</v>
      </c>
      <c r="J493" s="1" t="s">
        <v>4372</v>
      </c>
      <c r="K493" s="1"/>
      <c r="L493" s="1"/>
      <c r="M493" s="1"/>
      <c r="N493" s="1"/>
      <c r="O493" s="1"/>
      <c r="P493" s="2"/>
      <c r="Q493" s="1"/>
      <c r="R493" s="1"/>
      <c r="S493" s="1"/>
      <c r="T493" s="1"/>
      <c r="U493" s="1"/>
      <c r="V493" s="1" t="s">
        <v>4373</v>
      </c>
      <c r="W493" s="1"/>
      <c r="X493" s="1"/>
      <c r="Y493" s="1"/>
      <c r="Z493" s="1"/>
      <c r="AA493" s="1" t="s">
        <v>2486</v>
      </c>
      <c r="AB493" s="1" t="s">
        <v>4374</v>
      </c>
      <c r="AC493" s="1"/>
      <c r="AD493" s="1"/>
      <c r="AE493" s="1"/>
      <c r="AF493" s="1"/>
      <c r="AG493" s="1"/>
      <c r="AH493" s="1"/>
      <c r="AI493" s="1"/>
      <c r="AJ493" s="1"/>
      <c r="AK493" s="1"/>
      <c r="AL493" s="1"/>
      <c r="AM493" s="1"/>
      <c r="AN493" s="1"/>
      <c r="AO493" s="1" t="s">
        <v>4375</v>
      </c>
      <c r="AP493" s="1" t="s">
        <v>4376</v>
      </c>
      <c r="AQ493" s="1"/>
      <c r="AR493" s="1"/>
      <c r="AS493" s="1"/>
      <c r="AT493" s="1" t="s">
        <v>567</v>
      </c>
      <c r="AU493" s="3">
        <v>2012</v>
      </c>
      <c r="AV493" s="3">
        <v>50</v>
      </c>
      <c r="AW493" s="3">
        <v>4</v>
      </c>
      <c r="AX493" s="2"/>
      <c r="AY493" s="2"/>
      <c r="AZ493" s="1"/>
      <c r="BA493" s="2"/>
      <c r="BB493" s="3">
        <v>266</v>
      </c>
      <c r="BC493" s="3">
        <v>270</v>
      </c>
      <c r="BD493" s="2"/>
      <c r="BE493" s="1" t="s">
        <v>4377</v>
      </c>
      <c r="BF493" s="4">
        <f>HYPERLINK("http://dx.doi.org/10.1002/mrc.2858","http://dx.doi.org/10.1002/mrc.2858")</f>
      </c>
      <c r="BG493" s="1"/>
      <c r="BH493" s="1"/>
      <c r="BI493" s="1"/>
      <c r="BJ493" s="1"/>
      <c r="BK493" s="1"/>
      <c r="BL493" s="1"/>
      <c r="BM493" s="1"/>
      <c r="BN493" s="3">
        <v>22415981</v>
      </c>
      <c r="BO493" s="1"/>
      <c r="BP493" s="1"/>
      <c r="BQ493" s="1"/>
      <c r="BR493" s="1"/>
      <c r="BS493" s="1" t="s">
        <v>4378</v>
      </c>
      <c r="BT493" s="5">
        <f>HYPERLINK("https%3A%2F%2Fwww.webofscience.com%2Fwos%2Fwoscc%2Ffull-record%2FWOS:000302149800002","View Full Record in Web of Science")</f>
      </c>
    </row>
    <row x14ac:dyDescent="0.25" r="494" customHeight="1" ht="12.75">
      <c r="A494" s="1" t="s">
        <v>72</v>
      </c>
      <c r="B494" s="1" t="s">
        <v>562</v>
      </c>
      <c r="C494" s="1"/>
      <c r="D494" s="1"/>
      <c r="E494" s="1"/>
      <c r="F494" s="1" t="s">
        <v>563</v>
      </c>
      <c r="G494" s="1"/>
      <c r="H494" s="1"/>
      <c r="I494" s="1" t="s">
        <v>4379</v>
      </c>
      <c r="J494" s="1" t="s">
        <v>544</v>
      </c>
      <c r="K494" s="1"/>
      <c r="L494" s="1"/>
      <c r="M494" s="1"/>
      <c r="N494" s="1"/>
      <c r="O494" s="1"/>
      <c r="P494" s="2"/>
      <c r="Q494" s="1"/>
      <c r="R494" s="1"/>
      <c r="S494" s="1"/>
      <c r="T494" s="1"/>
      <c r="U494" s="1"/>
      <c r="V494" s="1" t="s">
        <v>4380</v>
      </c>
      <c r="W494" s="1"/>
      <c r="X494" s="1"/>
      <c r="Y494" s="1"/>
      <c r="Z494" s="1"/>
      <c r="AA494" s="1"/>
      <c r="AB494" s="1"/>
      <c r="AC494" s="1"/>
      <c r="AD494" s="1"/>
      <c r="AE494" s="1"/>
      <c r="AF494" s="1"/>
      <c r="AG494" s="1"/>
      <c r="AH494" s="1"/>
      <c r="AI494" s="1"/>
      <c r="AJ494" s="1"/>
      <c r="AK494" s="1"/>
      <c r="AL494" s="1"/>
      <c r="AM494" s="1"/>
      <c r="AN494" s="1"/>
      <c r="AO494" s="1" t="s">
        <v>546</v>
      </c>
      <c r="AP494" s="1"/>
      <c r="AQ494" s="1"/>
      <c r="AR494" s="1"/>
      <c r="AS494" s="1"/>
      <c r="AT494" s="1"/>
      <c r="AU494" s="3">
        <v>2012</v>
      </c>
      <c r="AV494" s="2"/>
      <c r="AW494" s="3">
        <v>51</v>
      </c>
      <c r="AX494" s="2"/>
      <c r="AY494" s="2"/>
      <c r="AZ494" s="1"/>
      <c r="BA494" s="2"/>
      <c r="BB494" s="3">
        <v>115</v>
      </c>
      <c r="BC494" s="3">
        <v>130</v>
      </c>
      <c r="BD494" s="2"/>
      <c r="BE494" s="1"/>
      <c r="BF494" s="1"/>
      <c r="BG494" s="1"/>
      <c r="BH494" s="1"/>
      <c r="BI494" s="1"/>
      <c r="BJ494" s="1"/>
      <c r="BK494" s="1"/>
      <c r="BL494" s="1"/>
      <c r="BM494" s="1"/>
      <c r="BN494" s="2"/>
      <c r="BO494" s="1"/>
      <c r="BP494" s="1"/>
      <c r="BQ494" s="1"/>
      <c r="BR494" s="1"/>
      <c r="BS494" s="1" t="s">
        <v>4381</v>
      </c>
      <c r="BT494" s="5">
        <f>HYPERLINK("https%3A%2F%2Fwww.webofscience.com%2Fwos%2Fwoscc%2Ffull-record%2FWOS:000311262600007","View Full Record in Web of Science")</f>
      </c>
    </row>
    <row x14ac:dyDescent="0.25" r="495" customHeight="1" ht="12.75">
      <c r="A495" s="1" t="s">
        <v>303</v>
      </c>
      <c r="B495" s="1" t="s">
        <v>4382</v>
      </c>
      <c r="C495" s="1"/>
      <c r="D495" s="1"/>
      <c r="E495" s="1" t="s">
        <v>571</v>
      </c>
      <c r="F495" s="1" t="s">
        <v>4383</v>
      </c>
      <c r="G495" s="1"/>
      <c r="H495" s="1"/>
      <c r="I495" s="1" t="s">
        <v>4384</v>
      </c>
      <c r="J495" s="1" t="s">
        <v>4385</v>
      </c>
      <c r="K495" s="1"/>
      <c r="L495" s="1"/>
      <c r="M495" s="1"/>
      <c r="N495" s="1"/>
      <c r="O495" s="1" t="s">
        <v>612</v>
      </c>
      <c r="P495" s="2" t="s">
        <v>4386</v>
      </c>
      <c r="Q495" s="1" t="s">
        <v>4387</v>
      </c>
      <c r="R495" s="1" t="s">
        <v>1528</v>
      </c>
      <c r="S495" s="1"/>
      <c r="T495" s="1"/>
      <c r="U495" s="1"/>
      <c r="V495" s="1" t="s">
        <v>4388</v>
      </c>
      <c r="W495" s="1"/>
      <c r="X495" s="1"/>
      <c r="Y495" s="1"/>
      <c r="Z495" s="1"/>
      <c r="AA495" s="1"/>
      <c r="AB495" s="1"/>
      <c r="AC495" s="1"/>
      <c r="AD495" s="1"/>
      <c r="AE495" s="1"/>
      <c r="AF495" s="1"/>
      <c r="AG495" s="1"/>
      <c r="AH495" s="1"/>
      <c r="AI495" s="1"/>
      <c r="AJ495" s="1"/>
      <c r="AK495" s="1"/>
      <c r="AL495" s="1"/>
      <c r="AM495" s="1"/>
      <c r="AN495" s="1"/>
      <c r="AO495" s="1"/>
      <c r="AP495" s="1"/>
      <c r="AQ495" s="1" t="s">
        <v>4389</v>
      </c>
      <c r="AR495" s="1"/>
      <c r="AS495" s="1"/>
      <c r="AT495" s="1"/>
      <c r="AU495" s="3">
        <v>2012</v>
      </c>
      <c r="AV495" s="2"/>
      <c r="AW495" s="2"/>
      <c r="AX495" s="2"/>
      <c r="AY495" s="2"/>
      <c r="AZ495" s="1"/>
      <c r="BA495" s="2"/>
      <c r="BB495" s="3">
        <v>609</v>
      </c>
      <c r="BC495" s="3">
        <v>618</v>
      </c>
      <c r="BD495" s="2"/>
      <c r="BE495" s="1"/>
      <c r="BF495" s="1"/>
      <c r="BG495" s="1"/>
      <c r="BH495" s="1"/>
      <c r="BI495" s="1"/>
      <c r="BJ495" s="1"/>
      <c r="BK495" s="1"/>
      <c r="BL495" s="1"/>
      <c r="BM495" s="1"/>
      <c r="BN495" s="2"/>
      <c r="BO495" s="1"/>
      <c r="BP495" s="1"/>
      <c r="BQ495" s="1"/>
      <c r="BR495" s="1"/>
      <c r="BS495" s="1" t="s">
        <v>4390</v>
      </c>
      <c r="BT495" s="5">
        <f>HYPERLINK("https%3A%2F%2Fwww.webofscience.com%2Fwos%2Fwoscc%2Ffull-record%2FWOS:000320625900070","View Full Record in Web of Science")</f>
      </c>
    </row>
    <row x14ac:dyDescent="0.25" r="496" customHeight="1" ht="12.75">
      <c r="A496" s="1" t="s">
        <v>72</v>
      </c>
      <c r="B496" s="1" t="s">
        <v>4391</v>
      </c>
      <c r="C496" s="1"/>
      <c r="D496" s="1"/>
      <c r="E496" s="1"/>
      <c r="F496" s="1" t="s">
        <v>4392</v>
      </c>
      <c r="G496" s="1"/>
      <c r="H496" s="1"/>
      <c r="I496" s="1" t="s">
        <v>4393</v>
      </c>
      <c r="J496" s="1" t="s">
        <v>470</v>
      </c>
      <c r="K496" s="1"/>
      <c r="L496" s="1"/>
      <c r="M496" s="1"/>
      <c r="N496" s="1"/>
      <c r="O496" s="1"/>
      <c r="P496" s="2"/>
      <c r="Q496" s="1"/>
      <c r="R496" s="1"/>
      <c r="S496" s="1"/>
      <c r="T496" s="1"/>
      <c r="U496" s="1"/>
      <c r="V496" s="1" t="s">
        <v>4394</v>
      </c>
      <c r="W496" s="1"/>
      <c r="X496" s="1"/>
      <c r="Y496" s="1"/>
      <c r="Z496" s="1"/>
      <c r="AA496" s="1"/>
      <c r="AB496" s="1"/>
      <c r="AC496" s="1"/>
      <c r="AD496" s="1"/>
      <c r="AE496" s="1"/>
      <c r="AF496" s="1"/>
      <c r="AG496" s="1"/>
      <c r="AH496" s="1"/>
      <c r="AI496" s="1"/>
      <c r="AJ496" s="1"/>
      <c r="AK496" s="1"/>
      <c r="AL496" s="1"/>
      <c r="AM496" s="1"/>
      <c r="AN496" s="1"/>
      <c r="AO496" s="1" t="s">
        <v>474</v>
      </c>
      <c r="AP496" s="1" t="s">
        <v>475</v>
      </c>
      <c r="AQ496" s="1"/>
      <c r="AR496" s="1"/>
      <c r="AS496" s="1"/>
      <c r="AT496" s="1"/>
      <c r="AU496" s="3">
        <v>2012</v>
      </c>
      <c r="AV496" s="3">
        <v>30</v>
      </c>
      <c r="AW496" s="2" t="s">
        <v>4395</v>
      </c>
      <c r="AX496" s="2"/>
      <c r="AY496" s="2"/>
      <c r="AZ496" s="1" t="s">
        <v>170</v>
      </c>
      <c r="BA496" s="2"/>
      <c r="BB496" s="3">
        <v>1368</v>
      </c>
      <c r="BC496" s="3">
        <v>1376</v>
      </c>
      <c r="BD496" s="2"/>
      <c r="BE496" s="1" t="s">
        <v>4396</v>
      </c>
      <c r="BF496" s="4">
        <f>HYPERLINK("http://dx.doi.org/10.1080/07373937.2012.686548","http://dx.doi.org/10.1080/07373937.2012.686548")</f>
      </c>
      <c r="BG496" s="1"/>
      <c r="BH496" s="1"/>
      <c r="BI496" s="1"/>
      <c r="BJ496" s="1"/>
      <c r="BK496" s="1"/>
      <c r="BL496" s="1"/>
      <c r="BM496" s="1"/>
      <c r="BN496" s="2"/>
      <c r="BO496" s="1"/>
      <c r="BP496" s="1"/>
      <c r="BQ496" s="1"/>
      <c r="BR496" s="1"/>
      <c r="BS496" s="1" t="s">
        <v>4397</v>
      </c>
      <c r="BT496" s="5">
        <f>HYPERLINK("https%3A%2F%2Fwww.webofscience.com%2Fwos%2Fwoscc%2Ffull-record%2FWOS:000308020100026","View Full Record in Web of Science")</f>
      </c>
    </row>
    <row x14ac:dyDescent="0.25" r="497" customHeight="1" ht="12.75">
      <c r="A497" s="1" t="s">
        <v>72</v>
      </c>
      <c r="B497" s="1" t="s">
        <v>4398</v>
      </c>
      <c r="C497" s="1"/>
      <c r="D497" s="1"/>
      <c r="E497" s="1"/>
      <c r="F497" s="1" t="s">
        <v>4399</v>
      </c>
      <c r="G497" s="1"/>
      <c r="H497" s="1"/>
      <c r="I497" s="1" t="s">
        <v>4400</v>
      </c>
      <c r="J497" s="1" t="s">
        <v>585</v>
      </c>
      <c r="K497" s="1"/>
      <c r="L497" s="1"/>
      <c r="M497" s="1"/>
      <c r="N497" s="1"/>
      <c r="O497" s="1"/>
      <c r="P497" s="2"/>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t="s">
        <v>589</v>
      </c>
      <c r="AP497" s="1"/>
      <c r="AQ497" s="1"/>
      <c r="AR497" s="1"/>
      <c r="AS497" s="1"/>
      <c r="AT497" s="1" t="s">
        <v>103</v>
      </c>
      <c r="AU497" s="3">
        <v>2012</v>
      </c>
      <c r="AV497" s="3">
        <v>11</v>
      </c>
      <c r="AW497" s="3">
        <v>1</v>
      </c>
      <c r="AX497" s="2"/>
      <c r="AY497" s="2"/>
      <c r="AZ497" s="1"/>
      <c r="BA497" s="2"/>
      <c r="BB497" s="3">
        <v>8</v>
      </c>
      <c r="BC497" s="3">
        <v>11</v>
      </c>
      <c r="BD497" s="2"/>
      <c r="BE497" s="1"/>
      <c r="BF497" s="1"/>
      <c r="BG497" s="1"/>
      <c r="BH497" s="1"/>
      <c r="BI497" s="1"/>
      <c r="BJ497" s="1"/>
      <c r="BK497" s="1"/>
      <c r="BL497" s="1"/>
      <c r="BM497" s="1"/>
      <c r="BN497" s="2"/>
      <c r="BO497" s="1"/>
      <c r="BP497" s="1"/>
      <c r="BQ497" s="1"/>
      <c r="BR497" s="1"/>
      <c r="BS497" s="1" t="s">
        <v>4401</v>
      </c>
      <c r="BT497" s="5">
        <f>HYPERLINK("https%3A%2F%2Fwww.webofscience.com%2Fwos%2Fwoscc%2Ffull-record%2FWOS:000304712100003","View Full Record in Web of Science")</f>
      </c>
    </row>
    <row x14ac:dyDescent="0.25" r="498" customHeight="1" ht="12.75">
      <c r="A498" s="1" t="s">
        <v>72</v>
      </c>
      <c r="B498" s="1" t="s">
        <v>4402</v>
      </c>
      <c r="C498" s="1"/>
      <c r="D498" s="1"/>
      <c r="E498" s="1"/>
      <c r="F498" s="1" t="s">
        <v>4403</v>
      </c>
      <c r="G498" s="1"/>
      <c r="H498" s="1"/>
      <c r="I498" s="1" t="s">
        <v>4404</v>
      </c>
      <c r="J498" s="1" t="s">
        <v>4405</v>
      </c>
      <c r="K498" s="1"/>
      <c r="L498" s="1"/>
      <c r="M498" s="1"/>
      <c r="N498" s="1"/>
      <c r="O498" s="1"/>
      <c r="P498" s="2"/>
      <c r="Q498" s="1"/>
      <c r="R498" s="1"/>
      <c r="S498" s="1"/>
      <c r="T498" s="1"/>
      <c r="U498" s="1"/>
      <c r="V498" s="1" t="s">
        <v>4406</v>
      </c>
      <c r="W498" s="1"/>
      <c r="X498" s="1"/>
      <c r="Y498" s="1"/>
      <c r="Z498" s="1"/>
      <c r="AA498" s="1" t="s">
        <v>2959</v>
      </c>
      <c r="AB498" s="1" t="s">
        <v>2960</v>
      </c>
      <c r="AC498" s="1"/>
      <c r="AD498" s="1"/>
      <c r="AE498" s="1"/>
      <c r="AF498" s="1"/>
      <c r="AG498" s="1"/>
      <c r="AH498" s="1"/>
      <c r="AI498" s="1"/>
      <c r="AJ498" s="1"/>
      <c r="AK498" s="1"/>
      <c r="AL498" s="1"/>
      <c r="AM498" s="1"/>
      <c r="AN498" s="1"/>
      <c r="AO498" s="1"/>
      <c r="AP498" s="1" t="s">
        <v>4407</v>
      </c>
      <c r="AQ498" s="1"/>
      <c r="AR498" s="1"/>
      <c r="AS498" s="1"/>
      <c r="AT498" s="1" t="s">
        <v>204</v>
      </c>
      <c r="AU498" s="3">
        <v>2011</v>
      </c>
      <c r="AV498" s="3">
        <v>9</v>
      </c>
      <c r="AW498" s="3">
        <v>12</v>
      </c>
      <c r="AX498" s="2"/>
      <c r="AY498" s="2"/>
      <c r="AZ498" s="1"/>
      <c r="BA498" s="2"/>
      <c r="BB498" s="3">
        <v>2514</v>
      </c>
      <c r="BC498" s="3">
        <v>2525</v>
      </c>
      <c r="BD498" s="2"/>
      <c r="BE498" s="1" t="s">
        <v>4408</v>
      </c>
      <c r="BF498" s="4">
        <f>HYPERLINK("http://dx.doi.org/10.3390/md9122514","http://dx.doi.org/10.3390/md9122514")</f>
      </c>
      <c r="BG498" s="1"/>
      <c r="BH498" s="1"/>
      <c r="BI498" s="1"/>
      <c r="BJ498" s="1"/>
      <c r="BK498" s="1"/>
      <c r="BL498" s="1"/>
      <c r="BM498" s="1"/>
      <c r="BN498" s="3">
        <v>22363237</v>
      </c>
      <c r="BO498" s="1"/>
      <c r="BP498" s="1"/>
      <c r="BQ498" s="1"/>
      <c r="BR498" s="1"/>
      <c r="BS498" s="1" t="s">
        <v>4409</v>
      </c>
      <c r="BT498" s="5">
        <f>HYPERLINK("https%3A%2F%2Fwww.webofscience.com%2Fwos%2Fwoscc%2Ffull-record%2FWOS:000298931400003","View Full Record in Web of Science")</f>
      </c>
    </row>
    <row x14ac:dyDescent="0.25" r="499" customHeight="1" ht="12.75">
      <c r="A499" s="1" t="s">
        <v>72</v>
      </c>
      <c r="B499" s="1" t="s">
        <v>4410</v>
      </c>
      <c r="C499" s="1"/>
      <c r="D499" s="1"/>
      <c r="E499" s="1"/>
      <c r="F499" s="1" t="s">
        <v>4411</v>
      </c>
      <c r="G499" s="1"/>
      <c r="H499" s="1"/>
      <c r="I499" s="1" t="s">
        <v>4412</v>
      </c>
      <c r="J499" s="1" t="s">
        <v>1636</v>
      </c>
      <c r="K499" s="1"/>
      <c r="L499" s="1"/>
      <c r="M499" s="1"/>
      <c r="N499" s="1"/>
      <c r="O499" s="1"/>
      <c r="P499" s="2"/>
      <c r="Q499" s="1"/>
      <c r="R499" s="1"/>
      <c r="S499" s="1"/>
      <c r="T499" s="1"/>
      <c r="U499" s="1"/>
      <c r="V499" s="1" t="s">
        <v>4413</v>
      </c>
      <c r="W499" s="1"/>
      <c r="X499" s="1"/>
      <c r="Y499" s="1"/>
      <c r="Z499" s="1"/>
      <c r="AA499" s="1"/>
      <c r="AB499" s="1"/>
      <c r="AC499" s="1"/>
      <c r="AD499" s="1"/>
      <c r="AE499" s="1"/>
      <c r="AF499" s="1"/>
      <c r="AG499" s="1"/>
      <c r="AH499" s="1"/>
      <c r="AI499" s="1"/>
      <c r="AJ499" s="1"/>
      <c r="AK499" s="1"/>
      <c r="AL499" s="1"/>
      <c r="AM499" s="1"/>
      <c r="AN499" s="1"/>
      <c r="AO499" s="1" t="s">
        <v>1638</v>
      </c>
      <c r="AP499" s="1"/>
      <c r="AQ499" s="1"/>
      <c r="AR499" s="1"/>
      <c r="AS499" s="1"/>
      <c r="AT499" s="1"/>
      <c r="AU499" s="3">
        <v>2011</v>
      </c>
      <c r="AV499" s="3">
        <v>40</v>
      </c>
      <c r="AW499" s="2" t="s">
        <v>3830</v>
      </c>
      <c r="AX499" s="2"/>
      <c r="AY499" s="2"/>
      <c r="AZ499" s="1" t="s">
        <v>170</v>
      </c>
      <c r="BA499" s="2"/>
      <c r="BB499" s="3">
        <v>439</v>
      </c>
      <c r="BC499" s="3">
        <v>453</v>
      </c>
      <c r="BD499" s="2"/>
      <c r="BE499" s="1" t="s">
        <v>4414</v>
      </c>
      <c r="BF499" s="4">
        <f>HYPERLINK("http://dx.doi.org/10.1108/03684921111133674","http://dx.doi.org/10.1108/03684921111133674")</f>
      </c>
      <c r="BG499" s="1"/>
      <c r="BH499" s="1"/>
      <c r="BI499" s="1"/>
      <c r="BJ499" s="1"/>
      <c r="BK499" s="1"/>
      <c r="BL499" s="1"/>
      <c r="BM499" s="1"/>
      <c r="BN499" s="2"/>
      <c r="BO499" s="1"/>
      <c r="BP499" s="1"/>
      <c r="BQ499" s="1"/>
      <c r="BR499" s="1"/>
      <c r="BS499" s="1" t="s">
        <v>4415</v>
      </c>
      <c r="BT499" s="5">
        <f>HYPERLINK("https%3A%2F%2Fwww.webofscience.com%2Fwos%2Fwoscc%2Ffull-record%2FWOS:000293669700007","View Full Record in Web of Science")</f>
      </c>
    </row>
    <row x14ac:dyDescent="0.25" r="500" customHeight="1" ht="12.75">
      <c r="A500" s="1" t="s">
        <v>267</v>
      </c>
      <c r="B500" s="1" t="s">
        <v>4416</v>
      </c>
      <c r="C500" s="1"/>
      <c r="D500" s="1" t="s">
        <v>4417</v>
      </c>
      <c r="E500" s="1"/>
      <c r="F500" s="1" t="s">
        <v>4418</v>
      </c>
      <c r="G500" s="1"/>
      <c r="H500" s="1"/>
      <c r="I500" s="1" t="s">
        <v>4419</v>
      </c>
      <c r="J500" s="1" t="s">
        <v>4420</v>
      </c>
      <c r="K500" s="1"/>
      <c r="L500" s="1"/>
      <c r="M500" s="1"/>
      <c r="N500" s="1"/>
      <c r="O500" s="1"/>
      <c r="P500" s="2"/>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t="s">
        <v>4421</v>
      </c>
      <c r="AR500" s="1"/>
      <c r="AS500" s="1"/>
      <c r="AT500" s="1"/>
      <c r="AU500" s="3">
        <v>2011</v>
      </c>
      <c r="AV500" s="2"/>
      <c r="AW500" s="2"/>
      <c r="AX500" s="2"/>
      <c r="AY500" s="2"/>
      <c r="AZ500" s="1"/>
      <c r="BA500" s="2"/>
      <c r="BB500" s="3">
        <v>469</v>
      </c>
      <c r="BC500" s="3">
        <v>486</v>
      </c>
      <c r="BD500" s="2"/>
      <c r="BE500" s="1"/>
      <c r="BF500" s="1"/>
      <c r="BG500" s="1"/>
      <c r="BH500" s="1"/>
      <c r="BI500" s="1"/>
      <c r="BJ500" s="1"/>
      <c r="BK500" s="1"/>
      <c r="BL500" s="1"/>
      <c r="BM500" s="1"/>
      <c r="BN500" s="2"/>
      <c r="BO500" s="1"/>
      <c r="BP500" s="1"/>
      <c r="BQ500" s="1"/>
      <c r="BR500" s="1"/>
      <c r="BS500" s="1" t="s">
        <v>4422</v>
      </c>
      <c r="BT500" s="5">
        <f>HYPERLINK("https%3A%2F%2Fwww.webofscience.com%2Fwos%2Fwoscc%2Ffull-record%2FWOS:000378911600020","View Full Record in Web of Science")</f>
      </c>
    </row>
    <row x14ac:dyDescent="0.25" r="501" customHeight="1" ht="12.75">
      <c r="A501" s="1" t="s">
        <v>72</v>
      </c>
      <c r="B501" s="1" t="s">
        <v>4423</v>
      </c>
      <c r="C501" s="1"/>
      <c r="D501" s="1"/>
      <c r="E501" s="1"/>
      <c r="F501" s="1" t="s">
        <v>4424</v>
      </c>
      <c r="G501" s="1"/>
      <c r="H501" s="1"/>
      <c r="I501" s="1" t="s">
        <v>4425</v>
      </c>
      <c r="J501" s="1" t="s">
        <v>2098</v>
      </c>
      <c r="K501" s="1"/>
      <c r="L501" s="1"/>
      <c r="M501" s="1"/>
      <c r="N501" s="1"/>
      <c r="O501" s="1"/>
      <c r="P501" s="2"/>
      <c r="Q501" s="1"/>
      <c r="R501" s="1"/>
      <c r="S501" s="1"/>
      <c r="T501" s="1"/>
      <c r="U501" s="1"/>
      <c r="V501" s="1" t="s">
        <v>4426</v>
      </c>
      <c r="W501" s="1"/>
      <c r="X501" s="1"/>
      <c r="Y501" s="1"/>
      <c r="Z501" s="1"/>
      <c r="AA501" s="1"/>
      <c r="AB501" s="1"/>
      <c r="AC501" s="1"/>
      <c r="AD501" s="1"/>
      <c r="AE501" s="1"/>
      <c r="AF501" s="1"/>
      <c r="AG501" s="1"/>
      <c r="AH501" s="1"/>
      <c r="AI501" s="1"/>
      <c r="AJ501" s="1"/>
      <c r="AK501" s="1"/>
      <c r="AL501" s="1"/>
      <c r="AM501" s="1"/>
      <c r="AN501" s="1"/>
      <c r="AO501" s="1" t="s">
        <v>2102</v>
      </c>
      <c r="AP501" s="1" t="s">
        <v>2103</v>
      </c>
      <c r="AQ501" s="1"/>
      <c r="AR501" s="1"/>
      <c r="AS501" s="1"/>
      <c r="AT501" s="1" t="s">
        <v>204</v>
      </c>
      <c r="AU501" s="3">
        <v>2010</v>
      </c>
      <c r="AV501" s="2"/>
      <c r="AW501" s="3">
        <v>22</v>
      </c>
      <c r="AX501" s="2"/>
      <c r="AY501" s="2"/>
      <c r="AZ501" s="1"/>
      <c r="BA501" s="2"/>
      <c r="BB501" s="3">
        <v>195</v>
      </c>
      <c r="BC501" s="3">
        <v>226</v>
      </c>
      <c r="BD501" s="2"/>
      <c r="BE501" s="1"/>
      <c r="BF501" s="1"/>
      <c r="BG501" s="1"/>
      <c r="BH501" s="1"/>
      <c r="BI501" s="1"/>
      <c r="BJ501" s="1"/>
      <c r="BK501" s="1"/>
      <c r="BL501" s="1"/>
      <c r="BM501" s="1"/>
      <c r="BN501" s="2"/>
      <c r="BO501" s="1"/>
      <c r="BP501" s="1"/>
      <c r="BQ501" s="1"/>
      <c r="BR501" s="1"/>
      <c r="BS501" s="1" t="s">
        <v>4427</v>
      </c>
      <c r="BT501" s="5">
        <f>HYPERLINK("https%3A%2F%2Fwww.webofscience.com%2Fwos%2Fwoscc%2Ffull-record%2FWOS:000286995700008","View Full Record in Web of Science")</f>
      </c>
    </row>
    <row x14ac:dyDescent="0.25" r="502" customHeight="1" ht="12.75">
      <c r="A502" s="1" t="s">
        <v>72</v>
      </c>
      <c r="B502" s="1" t="s">
        <v>4428</v>
      </c>
      <c r="C502" s="1"/>
      <c r="D502" s="1"/>
      <c r="E502" s="1"/>
      <c r="F502" s="1" t="s">
        <v>4429</v>
      </c>
      <c r="G502" s="1"/>
      <c r="H502" s="1"/>
      <c r="I502" s="1" t="s">
        <v>4430</v>
      </c>
      <c r="J502" s="1" t="s">
        <v>4302</v>
      </c>
      <c r="K502" s="1"/>
      <c r="L502" s="1"/>
      <c r="M502" s="1"/>
      <c r="N502" s="1"/>
      <c r="O502" s="1"/>
      <c r="P502" s="2"/>
      <c r="Q502" s="1"/>
      <c r="R502" s="1"/>
      <c r="S502" s="1"/>
      <c r="T502" s="1"/>
      <c r="U502" s="1"/>
      <c r="V502" s="1" t="s">
        <v>4431</v>
      </c>
      <c r="W502" s="1"/>
      <c r="X502" s="1"/>
      <c r="Y502" s="1"/>
      <c r="Z502" s="1"/>
      <c r="AA502" s="1" t="s">
        <v>4432</v>
      </c>
      <c r="AB502" s="1"/>
      <c r="AC502" s="1"/>
      <c r="AD502" s="1"/>
      <c r="AE502" s="1"/>
      <c r="AF502" s="1"/>
      <c r="AG502" s="1"/>
      <c r="AH502" s="1"/>
      <c r="AI502" s="1"/>
      <c r="AJ502" s="1"/>
      <c r="AK502" s="1"/>
      <c r="AL502" s="1"/>
      <c r="AM502" s="1"/>
      <c r="AN502" s="1"/>
      <c r="AO502" s="1" t="s">
        <v>4303</v>
      </c>
      <c r="AP502" s="1"/>
      <c r="AQ502" s="1"/>
      <c r="AR502" s="1"/>
      <c r="AS502" s="1"/>
      <c r="AT502" s="1" t="s">
        <v>204</v>
      </c>
      <c r="AU502" s="3">
        <v>2009</v>
      </c>
      <c r="AV502" s="2"/>
      <c r="AW502" s="3">
        <v>29</v>
      </c>
      <c r="AX502" s="2"/>
      <c r="AY502" s="2"/>
      <c r="AZ502" s="1"/>
      <c r="BA502" s="2"/>
      <c r="BB502" s="3">
        <v>143</v>
      </c>
      <c r="BC502" s="3">
        <v>154</v>
      </c>
      <c r="BD502" s="2"/>
      <c r="BE502" s="1"/>
      <c r="BF502" s="1"/>
      <c r="BG502" s="1"/>
      <c r="BH502" s="1"/>
      <c r="BI502" s="1"/>
      <c r="BJ502" s="1"/>
      <c r="BK502" s="1"/>
      <c r="BL502" s="1"/>
      <c r="BM502" s="1"/>
      <c r="BN502" s="2"/>
      <c r="BO502" s="1"/>
      <c r="BP502" s="1"/>
      <c r="BQ502" s="1"/>
      <c r="BR502" s="1"/>
      <c r="BS502" s="1" t="s">
        <v>4433</v>
      </c>
      <c r="BT502" s="5">
        <f>HYPERLINK("https%3A%2F%2Fwww.webofscience.com%2Fwos%2Fwoscc%2Ffull-record%2FWOS:000275578500010","View Full Record in Web of Science")</f>
      </c>
    </row>
    <row x14ac:dyDescent="0.25" r="503" customHeight="1" ht="12.75">
      <c r="A503" s="1" t="s">
        <v>72</v>
      </c>
      <c r="B503" s="1" t="s">
        <v>4434</v>
      </c>
      <c r="C503" s="1"/>
      <c r="D503" s="1"/>
      <c r="E503" s="1"/>
      <c r="F503" s="1" t="s">
        <v>4435</v>
      </c>
      <c r="G503" s="1"/>
      <c r="H503" s="1"/>
      <c r="I503" s="1" t="s">
        <v>4436</v>
      </c>
      <c r="J503" s="1" t="s">
        <v>4437</v>
      </c>
      <c r="K503" s="1"/>
      <c r="L503" s="1"/>
      <c r="M503" s="1"/>
      <c r="N503" s="1"/>
      <c r="O503" s="1"/>
      <c r="P503" s="2"/>
      <c r="Q503" s="1"/>
      <c r="R503" s="1"/>
      <c r="S503" s="1"/>
      <c r="T503" s="1"/>
      <c r="U503" s="1"/>
      <c r="V503" s="1" t="s">
        <v>4438</v>
      </c>
      <c r="W503" s="1"/>
      <c r="X503" s="1"/>
      <c r="Y503" s="1"/>
      <c r="Z503" s="1"/>
      <c r="AA503" s="1"/>
      <c r="AB503" s="1"/>
      <c r="AC503" s="1"/>
      <c r="AD503" s="1"/>
      <c r="AE503" s="1"/>
      <c r="AF503" s="1"/>
      <c r="AG503" s="1"/>
      <c r="AH503" s="1"/>
      <c r="AI503" s="1"/>
      <c r="AJ503" s="1"/>
      <c r="AK503" s="1"/>
      <c r="AL503" s="1"/>
      <c r="AM503" s="1"/>
      <c r="AN503" s="1"/>
      <c r="AO503" s="1" t="s">
        <v>4439</v>
      </c>
      <c r="AP503" s="1" t="s">
        <v>4440</v>
      </c>
      <c r="AQ503" s="1"/>
      <c r="AR503" s="1"/>
      <c r="AS503" s="1"/>
      <c r="AT503" s="1" t="s">
        <v>204</v>
      </c>
      <c r="AU503" s="3">
        <v>2009</v>
      </c>
      <c r="AV503" s="3">
        <v>52</v>
      </c>
      <c r="AW503" s="2" t="s">
        <v>4441</v>
      </c>
      <c r="AX503" s="2"/>
      <c r="AY503" s="2"/>
      <c r="AZ503" s="1"/>
      <c r="BA503" s="2"/>
      <c r="BB503" s="3">
        <v>5841</v>
      </c>
      <c r="BC503" s="3">
        <v>5848</v>
      </c>
      <c r="BD503" s="2"/>
      <c r="BE503" s="1" t="s">
        <v>4442</v>
      </c>
      <c r="BF503" s="4">
        <f>HYPERLINK("http://dx.doi.org/10.1016/j.ijheatmasstransfer.2009.07.027","http://dx.doi.org/10.1016/j.ijheatmasstransfer.2009.07.027")</f>
      </c>
      <c r="BG503" s="1"/>
      <c r="BH503" s="1"/>
      <c r="BI503" s="1"/>
      <c r="BJ503" s="1"/>
      <c r="BK503" s="1"/>
      <c r="BL503" s="1"/>
      <c r="BM503" s="1"/>
      <c r="BN503" s="2"/>
      <c r="BO503" s="1"/>
      <c r="BP503" s="1"/>
      <c r="BQ503" s="1"/>
      <c r="BR503" s="1"/>
      <c r="BS503" s="1" t="s">
        <v>4443</v>
      </c>
      <c r="BT503" s="5">
        <f>HYPERLINK("https%3A%2F%2Fwww.webofscience.com%2Fwos%2Fwoscc%2Ffull-record%2FWOS:000271711200020","View Full Record in Web of Science")</f>
      </c>
    </row>
    <row x14ac:dyDescent="0.25" r="504" customHeight="1" ht="12.75">
      <c r="A504" s="1" t="s">
        <v>72</v>
      </c>
      <c r="B504" s="1" t="s">
        <v>4444</v>
      </c>
      <c r="C504" s="1"/>
      <c r="D504" s="1"/>
      <c r="E504" s="1"/>
      <c r="F504" s="1" t="s">
        <v>4445</v>
      </c>
      <c r="G504" s="1"/>
      <c r="H504" s="1"/>
      <c r="I504" s="1" t="s">
        <v>4446</v>
      </c>
      <c r="J504" s="1" t="s">
        <v>4447</v>
      </c>
      <c r="K504" s="1"/>
      <c r="L504" s="1"/>
      <c r="M504" s="1"/>
      <c r="N504" s="1"/>
      <c r="O504" s="1"/>
      <c r="P504" s="2"/>
      <c r="Q504" s="1"/>
      <c r="R504" s="1"/>
      <c r="S504" s="1"/>
      <c r="T504" s="1"/>
      <c r="U504" s="1"/>
      <c r="V504" s="1" t="s">
        <v>4448</v>
      </c>
      <c r="W504" s="1"/>
      <c r="X504" s="1"/>
      <c r="Y504" s="1"/>
      <c r="Z504" s="1"/>
      <c r="AA504" s="1"/>
      <c r="AB504" s="1"/>
      <c r="AC504" s="1"/>
      <c r="AD504" s="1"/>
      <c r="AE504" s="1"/>
      <c r="AF504" s="1"/>
      <c r="AG504" s="1"/>
      <c r="AH504" s="1"/>
      <c r="AI504" s="1"/>
      <c r="AJ504" s="1"/>
      <c r="AK504" s="1"/>
      <c r="AL504" s="1"/>
      <c r="AM504" s="1"/>
      <c r="AN504" s="1"/>
      <c r="AO504" s="1" t="s">
        <v>4449</v>
      </c>
      <c r="AP504" s="1" t="s">
        <v>4450</v>
      </c>
      <c r="AQ504" s="1"/>
      <c r="AR504" s="1"/>
      <c r="AS504" s="1"/>
      <c r="AT504" s="1" t="s">
        <v>169</v>
      </c>
      <c r="AU504" s="3">
        <v>2008</v>
      </c>
      <c r="AV504" s="3">
        <v>78</v>
      </c>
      <c r="AW504" s="3">
        <v>11</v>
      </c>
      <c r="AX504" s="2"/>
      <c r="AY504" s="2"/>
      <c r="AZ504" s="1"/>
      <c r="BA504" s="2"/>
      <c r="BB504" s="3">
        <v>1899</v>
      </c>
      <c r="BC504" s="3">
        <v>1905</v>
      </c>
      <c r="BD504" s="2"/>
      <c r="BE504" s="1" t="s">
        <v>4451</v>
      </c>
      <c r="BF504" s="4">
        <f>HYPERLINK("http://dx.doi.org/10.1016/j.epsr.2008.03.015","http://dx.doi.org/10.1016/j.epsr.2008.03.015")</f>
      </c>
      <c r="BG504" s="1"/>
      <c r="BH504" s="1"/>
      <c r="BI504" s="1"/>
      <c r="BJ504" s="1"/>
      <c r="BK504" s="1"/>
      <c r="BL504" s="1"/>
      <c r="BM504" s="1"/>
      <c r="BN504" s="2"/>
      <c r="BO504" s="1"/>
      <c r="BP504" s="1"/>
      <c r="BQ504" s="1"/>
      <c r="BR504" s="1"/>
      <c r="BS504" s="1" t="s">
        <v>4452</v>
      </c>
      <c r="BT504" s="5">
        <f>HYPERLINK("https%3A%2F%2Fwww.webofscience.com%2Fwos%2Fwoscc%2Ffull-record%2FWOS:000259433900011","View Full Record in Web of Science")</f>
      </c>
    </row>
    <row x14ac:dyDescent="0.25" r="505" customHeight="1" ht="12.75">
      <c r="A505" s="1" t="s">
        <v>72</v>
      </c>
      <c r="B505" s="1" t="s">
        <v>4453</v>
      </c>
      <c r="C505" s="1"/>
      <c r="D505" s="1"/>
      <c r="E505" s="1"/>
      <c r="F505" s="1" t="s">
        <v>4454</v>
      </c>
      <c r="G505" s="1"/>
      <c r="H505" s="1"/>
      <c r="I505" s="1" t="s">
        <v>4455</v>
      </c>
      <c r="J505" s="1" t="s">
        <v>4456</v>
      </c>
      <c r="K505" s="1"/>
      <c r="L505" s="1"/>
      <c r="M505" s="1"/>
      <c r="N505" s="1"/>
      <c r="O505" s="1"/>
      <c r="P505" s="2"/>
      <c r="Q505" s="1"/>
      <c r="R505" s="1"/>
      <c r="S505" s="1"/>
      <c r="T505" s="1"/>
      <c r="U505" s="1"/>
      <c r="V505" s="1" t="s">
        <v>4457</v>
      </c>
      <c r="W505" s="1"/>
      <c r="X505" s="1"/>
      <c r="Y505" s="1"/>
      <c r="Z505" s="1"/>
      <c r="AA505" s="1"/>
      <c r="AB505" s="1" t="s">
        <v>4458</v>
      </c>
      <c r="AC505" s="1"/>
      <c r="AD505" s="1"/>
      <c r="AE505" s="1"/>
      <c r="AF505" s="1"/>
      <c r="AG505" s="1"/>
      <c r="AH505" s="1"/>
      <c r="AI505" s="1"/>
      <c r="AJ505" s="1"/>
      <c r="AK505" s="1"/>
      <c r="AL505" s="1"/>
      <c r="AM505" s="1"/>
      <c r="AN505" s="1"/>
      <c r="AO505" s="1" t="s">
        <v>4459</v>
      </c>
      <c r="AP505" s="1"/>
      <c r="AQ505" s="1"/>
      <c r="AR505" s="1"/>
      <c r="AS505" s="1"/>
      <c r="AT505" s="1"/>
      <c r="AU505" s="3">
        <v>2008</v>
      </c>
      <c r="AV505" s="2"/>
      <c r="AW505" s="2"/>
      <c r="AX505" s="2"/>
      <c r="AY505" s="2"/>
      <c r="AZ505" s="1"/>
      <c r="BA505" s="2"/>
      <c r="BB505" s="2"/>
      <c r="BC505" s="2"/>
      <c r="BD505" s="3">
        <v>236386</v>
      </c>
      <c r="BE505" s="1" t="s">
        <v>4460</v>
      </c>
      <c r="BF505" s="4">
        <f>HYPERLINK("http://dx.doi.org/10.1155/2008/236386","http://dx.doi.org/10.1155/2008/236386")</f>
      </c>
      <c r="BG505" s="1"/>
      <c r="BH505" s="1"/>
      <c r="BI505" s="1"/>
      <c r="BJ505" s="1"/>
      <c r="BK505" s="1"/>
      <c r="BL505" s="1"/>
      <c r="BM505" s="1"/>
      <c r="BN505" s="2"/>
      <c r="BO505" s="1"/>
      <c r="BP505" s="1"/>
      <c r="BQ505" s="1"/>
      <c r="BR505" s="1"/>
      <c r="BS505" s="1" t="s">
        <v>4461</v>
      </c>
      <c r="BT505" s="5">
        <f>HYPERLINK("https%3A%2F%2Fwww.webofscience.com%2Fwos%2Fwoscc%2Ffull-record%2FWOS:000255640800001","View Full Record in Web of Science")</f>
      </c>
    </row>
    <row x14ac:dyDescent="0.25" r="506" customHeight="1" ht="12.75">
      <c r="A506" s="1" t="s">
        <v>72</v>
      </c>
      <c r="B506" s="1" t="s">
        <v>4462</v>
      </c>
      <c r="C506" s="1"/>
      <c r="D506" s="1"/>
      <c r="E506" s="1"/>
      <c r="F506" s="1" t="s">
        <v>4463</v>
      </c>
      <c r="G506" s="1"/>
      <c r="H506" s="1"/>
      <c r="I506" s="1" t="s">
        <v>4464</v>
      </c>
      <c r="J506" s="1" t="s">
        <v>1669</v>
      </c>
      <c r="K506" s="1"/>
      <c r="L506" s="1"/>
      <c r="M506" s="1"/>
      <c r="N506" s="1"/>
      <c r="O506" s="1"/>
      <c r="P506" s="2"/>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t="s">
        <v>1670</v>
      </c>
      <c r="AP506" s="1"/>
      <c r="AQ506" s="1"/>
      <c r="AR506" s="1"/>
      <c r="AS506" s="1"/>
      <c r="AT506" s="1"/>
      <c r="AU506" s="3">
        <v>2008</v>
      </c>
      <c r="AV506" s="3">
        <v>34</v>
      </c>
      <c r="AW506" s="3">
        <v>67</v>
      </c>
      <c r="AX506" s="2"/>
      <c r="AY506" s="2"/>
      <c r="AZ506" s="1"/>
      <c r="BA506" s="2"/>
      <c r="BB506" s="3">
        <v>95</v>
      </c>
      <c r="BC506" s="3">
        <v>110</v>
      </c>
      <c r="BD506" s="2"/>
      <c r="BE506" s="1"/>
      <c r="BF506" s="1"/>
      <c r="BG506" s="1"/>
      <c r="BH506" s="1"/>
      <c r="BI506" s="1"/>
      <c r="BJ506" s="1"/>
      <c r="BK506" s="1"/>
      <c r="BL506" s="1"/>
      <c r="BM506" s="1"/>
      <c r="BN506" s="2"/>
      <c r="BO506" s="1"/>
      <c r="BP506" s="1"/>
      <c r="BQ506" s="1"/>
      <c r="BR506" s="1"/>
      <c r="BS506" s="1" t="s">
        <v>4465</v>
      </c>
      <c r="BT506" s="5">
        <f>HYPERLINK("https%3A%2F%2Fwww.webofscience.com%2Fwos%2Fwoscc%2Ffull-record%2FWOS:000265620500007","View Full Record in Web of Science")</f>
      </c>
    </row>
    <row x14ac:dyDescent="0.25" r="507" customHeight="1" ht="12.75">
      <c r="A507" s="1" t="s">
        <v>72</v>
      </c>
      <c r="B507" s="1" t="s">
        <v>2291</v>
      </c>
      <c r="C507" s="1"/>
      <c r="D507" s="1"/>
      <c r="E507" s="1"/>
      <c r="F507" s="1" t="s">
        <v>4466</v>
      </c>
      <c r="G507" s="1"/>
      <c r="H507" s="1"/>
      <c r="I507" s="1" t="s">
        <v>4467</v>
      </c>
      <c r="J507" s="1" t="s">
        <v>551</v>
      </c>
      <c r="K507" s="1"/>
      <c r="L507" s="1"/>
      <c r="M507" s="1"/>
      <c r="N507" s="1"/>
      <c r="O507" s="1"/>
      <c r="P507" s="2"/>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t="s">
        <v>553</v>
      </c>
      <c r="AP507" s="1"/>
      <c r="AQ507" s="1"/>
      <c r="AR507" s="1"/>
      <c r="AS507" s="1"/>
      <c r="AT507" s="1"/>
      <c r="AU507" s="3">
        <v>2008</v>
      </c>
      <c r="AV507" s="2"/>
      <c r="AW507" s="3">
        <v>498</v>
      </c>
      <c r="AX507" s="2"/>
      <c r="AY507" s="2"/>
      <c r="AZ507" s="1"/>
      <c r="BA507" s="2"/>
      <c r="BB507" s="3">
        <v>143</v>
      </c>
      <c r="BC507" s="3">
        <v>151</v>
      </c>
      <c r="BD507" s="2"/>
      <c r="BE507" s="1"/>
      <c r="BF507" s="1"/>
      <c r="BG507" s="1"/>
      <c r="BH507" s="1"/>
      <c r="BI507" s="1"/>
      <c r="BJ507" s="1"/>
      <c r="BK507" s="1"/>
      <c r="BL507" s="1"/>
      <c r="BM507" s="1"/>
      <c r="BN507" s="2"/>
      <c r="BO507" s="1"/>
      <c r="BP507" s="1"/>
      <c r="BQ507" s="1"/>
      <c r="BR507" s="1"/>
      <c r="BS507" s="1" t="s">
        <v>4468</v>
      </c>
      <c r="BT507" s="5">
        <f>HYPERLINK("https%3A%2F%2Fwww.webofscience.com%2Fwos%2Fwoscc%2Ffull-record%2FWOS:000268231300009","View Full Record in Web of Science")</f>
      </c>
    </row>
    <row x14ac:dyDescent="0.25" r="508" customHeight="1" ht="12.75">
      <c r="A508" s="1" t="s">
        <v>303</v>
      </c>
      <c r="B508" s="1" t="s">
        <v>4469</v>
      </c>
      <c r="C508" s="1"/>
      <c r="D508" s="1" t="s">
        <v>4470</v>
      </c>
      <c r="E508" s="1"/>
      <c r="F508" s="1" t="s">
        <v>4471</v>
      </c>
      <c r="G508" s="1"/>
      <c r="H508" s="1"/>
      <c r="I508" s="1" t="s">
        <v>4472</v>
      </c>
      <c r="J508" s="1" t="s">
        <v>4473</v>
      </c>
      <c r="K508" s="1" t="s">
        <v>3617</v>
      </c>
      <c r="L508" s="1"/>
      <c r="M508" s="1"/>
      <c r="N508" s="1"/>
      <c r="O508" s="1" t="s">
        <v>4474</v>
      </c>
      <c r="P508" s="2" t="s">
        <v>4475</v>
      </c>
      <c r="Q508" s="1" t="s">
        <v>2073</v>
      </c>
      <c r="R508" s="1" t="s">
        <v>4476</v>
      </c>
      <c r="S508" s="1"/>
      <c r="T508" s="1"/>
      <c r="U508" s="1"/>
      <c r="V508" s="1" t="s">
        <v>4477</v>
      </c>
      <c r="W508" s="1"/>
      <c r="X508" s="1"/>
      <c r="Y508" s="1"/>
      <c r="Z508" s="1"/>
      <c r="AA508" s="1"/>
      <c r="AB508" s="1"/>
      <c r="AC508" s="1"/>
      <c r="AD508" s="1"/>
      <c r="AE508" s="1"/>
      <c r="AF508" s="1"/>
      <c r="AG508" s="1"/>
      <c r="AH508" s="1"/>
      <c r="AI508" s="1"/>
      <c r="AJ508" s="1"/>
      <c r="AK508" s="1"/>
      <c r="AL508" s="1"/>
      <c r="AM508" s="1"/>
      <c r="AN508" s="1"/>
      <c r="AO508" s="1" t="s">
        <v>3108</v>
      </c>
      <c r="AP508" s="1" t="s">
        <v>1054</v>
      </c>
      <c r="AQ508" s="1" t="s">
        <v>4478</v>
      </c>
      <c r="AR508" s="1"/>
      <c r="AS508" s="1"/>
      <c r="AT508" s="1"/>
      <c r="AU508" s="3">
        <v>2007</v>
      </c>
      <c r="AV508" s="3">
        <v>4756</v>
      </c>
      <c r="AW508" s="2"/>
      <c r="AX508" s="2"/>
      <c r="AY508" s="2"/>
      <c r="AZ508" s="1"/>
      <c r="BA508" s="2"/>
      <c r="BB508" s="3">
        <v>684</v>
      </c>
      <c r="BC508" s="3">
        <v>693</v>
      </c>
      <c r="BD508" s="2"/>
      <c r="BE508" s="1"/>
      <c r="BF508" s="1"/>
      <c r="BG508" s="1"/>
      <c r="BH508" s="1"/>
      <c r="BI508" s="1"/>
      <c r="BJ508" s="1"/>
      <c r="BK508" s="1"/>
      <c r="BL508" s="1"/>
      <c r="BM508" s="1"/>
      <c r="BN508" s="2"/>
      <c r="BO508" s="1"/>
      <c r="BP508" s="1"/>
      <c r="BQ508" s="1"/>
      <c r="BR508" s="1"/>
      <c r="BS508" s="1" t="s">
        <v>4479</v>
      </c>
      <c r="BT508" s="5">
        <f>HYPERLINK("https%3A%2F%2Fwww.webofscience.com%2Fwos%2Fwoscc%2Ffull-record%2FWOS:000252725900071","View Full Record in Web of Science")</f>
      </c>
    </row>
    <row x14ac:dyDescent="0.25" r="509" customHeight="1" ht="12.75">
      <c r="A509" s="1" t="s">
        <v>72</v>
      </c>
      <c r="B509" s="1" t="s">
        <v>4480</v>
      </c>
      <c r="C509" s="1"/>
      <c r="D509" s="1"/>
      <c r="E509" s="1"/>
      <c r="F509" s="1" t="s">
        <v>4481</v>
      </c>
      <c r="G509" s="1"/>
      <c r="H509" s="1"/>
      <c r="I509" s="1" t="s">
        <v>4482</v>
      </c>
      <c r="J509" s="1" t="s">
        <v>4483</v>
      </c>
      <c r="K509" s="1"/>
      <c r="L509" s="1"/>
      <c r="M509" s="1"/>
      <c r="N509" s="1"/>
      <c r="O509" s="1"/>
      <c r="P509" s="2"/>
      <c r="Q509" s="1"/>
      <c r="R509" s="1"/>
      <c r="S509" s="1"/>
      <c r="T509" s="1"/>
      <c r="U509" s="1"/>
      <c r="V509" s="1" t="s">
        <v>4484</v>
      </c>
      <c r="W509" s="1"/>
      <c r="X509" s="1"/>
      <c r="Y509" s="1"/>
      <c r="Z509" s="1"/>
      <c r="AA509" s="1"/>
      <c r="AB509" s="1"/>
      <c r="AC509" s="1"/>
      <c r="AD509" s="1"/>
      <c r="AE509" s="1"/>
      <c r="AF509" s="1"/>
      <c r="AG509" s="1"/>
      <c r="AH509" s="1"/>
      <c r="AI509" s="1"/>
      <c r="AJ509" s="1"/>
      <c r="AK509" s="1"/>
      <c r="AL509" s="1"/>
      <c r="AM509" s="1"/>
      <c r="AN509" s="1"/>
      <c r="AO509" s="1" t="s">
        <v>4485</v>
      </c>
      <c r="AP509" s="1" t="s">
        <v>4486</v>
      </c>
      <c r="AQ509" s="1"/>
      <c r="AR509" s="1"/>
      <c r="AS509" s="1"/>
      <c r="AT509" s="1" t="s">
        <v>292</v>
      </c>
      <c r="AU509" s="3">
        <v>2006</v>
      </c>
      <c r="AV509" s="3">
        <v>84</v>
      </c>
      <c r="AW509" s="3">
        <v>9</v>
      </c>
      <c r="AX509" s="2"/>
      <c r="AY509" s="2"/>
      <c r="AZ509" s="1"/>
      <c r="BA509" s="2"/>
      <c r="BB509" s="3">
        <v>787</v>
      </c>
      <c r="BC509" s="3">
        <v>800</v>
      </c>
      <c r="BD509" s="2"/>
      <c r="BE509" s="1" t="s">
        <v>4487</v>
      </c>
      <c r="BF509" s="4">
        <f>HYPERLINK("http://dx.doi.org/10.1139/P06-072","http://dx.doi.org/10.1139/P06-072")</f>
      </c>
      <c r="BG509" s="1"/>
      <c r="BH509" s="1"/>
      <c r="BI509" s="1"/>
      <c r="BJ509" s="1"/>
      <c r="BK509" s="1"/>
      <c r="BL509" s="1"/>
      <c r="BM509" s="1"/>
      <c r="BN509" s="2"/>
      <c r="BO509" s="1"/>
      <c r="BP509" s="1"/>
      <c r="BQ509" s="1"/>
      <c r="BR509" s="1"/>
      <c r="BS509" s="1" t="s">
        <v>4488</v>
      </c>
      <c r="BT509" s="5">
        <f>HYPERLINK("https%3A%2F%2Fwww.webofscience.com%2Fwos%2Fwoscc%2Ffull-record%2FWOS:000242724800002","View Full Record in Web of Science")</f>
      </c>
    </row>
    <row x14ac:dyDescent="0.25" r="510" customHeight="1" ht="12.75">
      <c r="A510" s="1" t="s">
        <v>303</v>
      </c>
      <c r="B510" s="1" t="s">
        <v>4489</v>
      </c>
      <c r="C510" s="1"/>
      <c r="D510" s="1" t="s">
        <v>4490</v>
      </c>
      <c r="E510" s="1"/>
      <c r="F510" s="1" t="s">
        <v>4491</v>
      </c>
      <c r="G510" s="1"/>
      <c r="H510" s="1"/>
      <c r="I510" s="1" t="s">
        <v>4492</v>
      </c>
      <c r="J510" s="1" t="s">
        <v>4493</v>
      </c>
      <c r="K510" s="1"/>
      <c r="L510" s="1"/>
      <c r="M510" s="1"/>
      <c r="N510" s="1"/>
      <c r="O510" s="1" t="s">
        <v>4494</v>
      </c>
      <c r="P510" s="2" t="s">
        <v>4495</v>
      </c>
      <c r="Q510" s="1" t="s">
        <v>4496</v>
      </c>
      <c r="R510" s="1" t="s">
        <v>4497</v>
      </c>
      <c r="S510" s="1" t="s">
        <v>4498</v>
      </c>
      <c r="T510" s="1"/>
      <c r="U510" s="1"/>
      <c r="V510" s="1" t="s">
        <v>4499</v>
      </c>
      <c r="W510" s="1"/>
      <c r="X510" s="1"/>
      <c r="Y510" s="1"/>
      <c r="Z510" s="1"/>
      <c r="AA510" s="1" t="s">
        <v>4500</v>
      </c>
      <c r="AB510" s="1" t="s">
        <v>4501</v>
      </c>
      <c r="AC510" s="1"/>
      <c r="AD510" s="1"/>
      <c r="AE510" s="1"/>
      <c r="AF510" s="1"/>
      <c r="AG510" s="1"/>
      <c r="AH510" s="1"/>
      <c r="AI510" s="1"/>
      <c r="AJ510" s="1"/>
      <c r="AK510" s="1"/>
      <c r="AL510" s="1"/>
      <c r="AM510" s="1"/>
      <c r="AN510" s="1"/>
      <c r="AO510" s="1"/>
      <c r="AP510" s="1"/>
      <c r="AQ510" s="1" t="s">
        <v>4502</v>
      </c>
      <c r="AR510" s="1"/>
      <c r="AS510" s="1"/>
      <c r="AT510" s="1"/>
      <c r="AU510" s="3">
        <v>2006</v>
      </c>
      <c r="AV510" s="2"/>
      <c r="AW510" s="2"/>
      <c r="AX510" s="2"/>
      <c r="AY510" s="2"/>
      <c r="AZ510" s="1"/>
      <c r="BA510" s="2"/>
      <c r="BB510" s="3">
        <v>26</v>
      </c>
      <c r="BC510" s="2" t="s">
        <v>1630</v>
      </c>
      <c r="BD510" s="2"/>
      <c r="BE510" s="1"/>
      <c r="BF510" s="1"/>
      <c r="BG510" s="1"/>
      <c r="BH510" s="1"/>
      <c r="BI510" s="1"/>
      <c r="BJ510" s="1"/>
      <c r="BK510" s="1"/>
      <c r="BL510" s="1"/>
      <c r="BM510" s="1"/>
      <c r="BN510" s="2"/>
      <c r="BO510" s="1"/>
      <c r="BP510" s="1"/>
      <c r="BQ510" s="1"/>
      <c r="BR510" s="1"/>
      <c r="BS510" s="1" t="s">
        <v>4503</v>
      </c>
      <c r="BT510" s="5">
        <f>HYPERLINK("https%3A%2F%2Fwww.webofscience.com%2Fwos%2Fwoscc%2Ffull-record%2FWOS:000245539500005","View Full Record in Web of Science")</f>
      </c>
    </row>
    <row x14ac:dyDescent="0.25" r="511" customHeight="1" ht="12.75">
      <c r="A511" s="1" t="s">
        <v>72</v>
      </c>
      <c r="B511" s="1" t="s">
        <v>4504</v>
      </c>
      <c r="C511" s="1"/>
      <c r="D511" s="1"/>
      <c r="E511" s="1"/>
      <c r="F511" s="1" t="s">
        <v>4504</v>
      </c>
      <c r="G511" s="1"/>
      <c r="H511" s="1"/>
      <c r="I511" s="1" t="s">
        <v>4505</v>
      </c>
      <c r="J511" s="1" t="s">
        <v>4506</v>
      </c>
      <c r="K511" s="1"/>
      <c r="L511" s="1"/>
      <c r="M511" s="1"/>
      <c r="N511" s="1"/>
      <c r="O511" s="1" t="s">
        <v>4507</v>
      </c>
      <c r="P511" s="2" t="s">
        <v>4508</v>
      </c>
      <c r="Q511" s="1" t="s">
        <v>507</v>
      </c>
      <c r="R511" s="1" t="s">
        <v>4509</v>
      </c>
      <c r="S511" s="1"/>
      <c r="T511" s="1"/>
      <c r="U511" s="1"/>
      <c r="V511" s="1"/>
      <c r="W511" s="1"/>
      <c r="X511" s="1"/>
      <c r="Y511" s="1"/>
      <c r="Z511" s="1"/>
      <c r="AA511" s="1"/>
      <c r="AB511" s="1"/>
      <c r="AC511" s="1"/>
      <c r="AD511" s="1"/>
      <c r="AE511" s="1"/>
      <c r="AF511" s="1"/>
      <c r="AG511" s="1"/>
      <c r="AH511" s="1"/>
      <c r="AI511" s="1"/>
      <c r="AJ511" s="1"/>
      <c r="AK511" s="1"/>
      <c r="AL511" s="1"/>
      <c r="AM511" s="1"/>
      <c r="AN511" s="1"/>
      <c r="AO511" s="1" t="s">
        <v>4510</v>
      </c>
      <c r="AP511" s="1"/>
      <c r="AQ511" s="1"/>
      <c r="AR511" s="1"/>
      <c r="AS511" s="1"/>
      <c r="AT511" s="1" t="s">
        <v>103</v>
      </c>
      <c r="AU511" s="3">
        <v>2006</v>
      </c>
      <c r="AV511" s="3">
        <v>27</v>
      </c>
      <c r="AW511" s="3">
        <v>1</v>
      </c>
      <c r="AX511" s="2"/>
      <c r="AY511" s="2"/>
      <c r="AZ511" s="1"/>
      <c r="BA511" s="2"/>
      <c r="BB511" s="2" t="s">
        <v>4511</v>
      </c>
      <c r="BC511" s="2" t="s">
        <v>4511</v>
      </c>
      <c r="BD511" s="2"/>
      <c r="BE511" s="1"/>
      <c r="BF511" s="1"/>
      <c r="BG511" s="1"/>
      <c r="BH511" s="1"/>
      <c r="BI511" s="1"/>
      <c r="BJ511" s="1"/>
      <c r="BK511" s="1"/>
      <c r="BL511" s="1"/>
      <c r="BM511" s="1"/>
      <c r="BN511" s="2"/>
      <c r="BO511" s="1"/>
      <c r="BP511" s="1"/>
      <c r="BQ511" s="1"/>
      <c r="BR511" s="1"/>
      <c r="BS511" s="1" t="s">
        <v>4512</v>
      </c>
      <c r="BT511" s="5">
        <f>HYPERLINK("https%3A%2F%2Fwww.webofscience.com%2Fwos%2Fwoscc%2Ffull-record%2FWOS:000233996200064","View Full Record in Web of Science")</f>
      </c>
    </row>
    <row x14ac:dyDescent="0.25" r="512" customHeight="1" ht="12.75">
      <c r="A512" s="1" t="s">
        <v>72</v>
      </c>
      <c r="B512" s="1" t="s">
        <v>4513</v>
      </c>
      <c r="C512" s="1"/>
      <c r="D512" s="1"/>
      <c r="E512" s="1"/>
      <c r="F512" s="1" t="s">
        <v>4513</v>
      </c>
      <c r="G512" s="1"/>
      <c r="H512" s="1"/>
      <c r="I512" s="1" t="s">
        <v>4514</v>
      </c>
      <c r="J512" s="1" t="s">
        <v>3780</v>
      </c>
      <c r="K512" s="1"/>
      <c r="L512" s="1"/>
      <c r="M512" s="1"/>
      <c r="N512" s="1"/>
      <c r="O512" s="1"/>
      <c r="P512" s="2"/>
      <c r="Q512" s="1"/>
      <c r="R512" s="1"/>
      <c r="S512" s="1"/>
      <c r="T512" s="1"/>
      <c r="U512" s="1"/>
      <c r="V512" s="1" t="s">
        <v>4515</v>
      </c>
      <c r="W512" s="1"/>
      <c r="X512" s="1"/>
      <c r="Y512" s="1"/>
      <c r="Z512" s="1"/>
      <c r="AA512" s="1" t="s">
        <v>4516</v>
      </c>
      <c r="AB512" s="1" t="s">
        <v>4517</v>
      </c>
      <c r="AC512" s="1"/>
      <c r="AD512" s="1"/>
      <c r="AE512" s="1"/>
      <c r="AF512" s="1"/>
      <c r="AG512" s="1"/>
      <c r="AH512" s="1"/>
      <c r="AI512" s="1"/>
      <c r="AJ512" s="1"/>
      <c r="AK512" s="1"/>
      <c r="AL512" s="1"/>
      <c r="AM512" s="1"/>
      <c r="AN512" s="1"/>
      <c r="AO512" s="1" t="s">
        <v>3784</v>
      </c>
      <c r="AP512" s="1"/>
      <c r="AQ512" s="1"/>
      <c r="AR512" s="1"/>
      <c r="AS512" s="1"/>
      <c r="AT512" s="1" t="s">
        <v>763</v>
      </c>
      <c r="AU512" s="3">
        <v>2004</v>
      </c>
      <c r="AV512" s="3">
        <v>57</v>
      </c>
      <c r="AW512" s="3">
        <v>3</v>
      </c>
      <c r="AX512" s="2"/>
      <c r="AY512" s="2"/>
      <c r="AZ512" s="1"/>
      <c r="BA512" s="2"/>
      <c r="BB512" s="3">
        <v>249</v>
      </c>
      <c r="BC512" s="3">
        <v>255</v>
      </c>
      <c r="BD512" s="2"/>
      <c r="BE512" s="1" t="s">
        <v>4518</v>
      </c>
      <c r="BF512" s="4">
        <f>HYPERLINK("http://dx.doi.org/10.1080/00958970410001677051","http://dx.doi.org/10.1080/00958970410001677051")</f>
      </c>
      <c r="BG512" s="1"/>
      <c r="BH512" s="1"/>
      <c r="BI512" s="1"/>
      <c r="BJ512" s="1"/>
      <c r="BK512" s="1"/>
      <c r="BL512" s="1"/>
      <c r="BM512" s="1"/>
      <c r="BN512" s="2"/>
      <c r="BO512" s="1"/>
      <c r="BP512" s="1"/>
      <c r="BQ512" s="1"/>
      <c r="BR512" s="1"/>
      <c r="BS512" s="1" t="s">
        <v>4519</v>
      </c>
      <c r="BT512" s="5">
        <f>HYPERLINK("https%3A%2F%2Fwww.webofscience.com%2Fwos%2Fwoscc%2Ffull-record%2FWOS:000221454300009","View Full Record in Web of Science")</f>
      </c>
    </row>
    <row x14ac:dyDescent="0.25" r="513" customHeight="1" ht="12.75">
      <c r="A513" s="1" t="s">
        <v>72</v>
      </c>
      <c r="B513" s="1" t="s">
        <v>4520</v>
      </c>
      <c r="C513" s="1"/>
      <c r="D513" s="1"/>
      <c r="E513" s="1"/>
      <c r="F513" s="1" t="s">
        <v>4520</v>
      </c>
      <c r="G513" s="1"/>
      <c r="H513" s="1"/>
      <c r="I513" s="1" t="s">
        <v>4521</v>
      </c>
      <c r="J513" s="1" t="s">
        <v>4522</v>
      </c>
      <c r="K513" s="1"/>
      <c r="L513" s="1"/>
      <c r="M513" s="1"/>
      <c r="N513" s="1"/>
      <c r="O513" s="1"/>
      <c r="P513" s="2"/>
      <c r="Q513" s="1"/>
      <c r="R513" s="1"/>
      <c r="S513" s="1"/>
      <c r="T513" s="1"/>
      <c r="U513" s="1"/>
      <c r="V513" s="1" t="s">
        <v>4523</v>
      </c>
      <c r="W513" s="1"/>
      <c r="X513" s="1"/>
      <c r="Y513" s="1"/>
      <c r="Z513" s="1"/>
      <c r="AA513" s="1"/>
      <c r="AB513" s="1"/>
      <c r="AC513" s="1"/>
      <c r="AD513" s="1"/>
      <c r="AE513" s="1"/>
      <c r="AF513" s="1"/>
      <c r="AG513" s="1"/>
      <c r="AH513" s="1"/>
      <c r="AI513" s="1"/>
      <c r="AJ513" s="1"/>
      <c r="AK513" s="1"/>
      <c r="AL513" s="1"/>
      <c r="AM513" s="1"/>
      <c r="AN513" s="1"/>
      <c r="AO513" s="1" t="s">
        <v>4524</v>
      </c>
      <c r="AP513" s="1"/>
      <c r="AQ513" s="1"/>
      <c r="AR513" s="1"/>
      <c r="AS513" s="1"/>
      <c r="AT513" s="1"/>
      <c r="AU513" s="3">
        <v>2003</v>
      </c>
      <c r="AV513" s="3">
        <v>355</v>
      </c>
      <c r="AW513" s="3">
        <v>7</v>
      </c>
      <c r="AX513" s="2"/>
      <c r="AY513" s="2"/>
      <c r="AZ513" s="1"/>
      <c r="BA513" s="2"/>
      <c r="BB513" s="3">
        <v>2905</v>
      </c>
      <c r="BC513" s="3">
        <v>2923</v>
      </c>
      <c r="BD513" s="2"/>
      <c r="BE513" s="1" t="s">
        <v>4525</v>
      </c>
      <c r="BF513" s="4">
        <f>HYPERLINK("http://dx.doi.org/10.1090/S0002-9947-03-03274-4","http://dx.doi.org/10.1090/S0002-9947-03-03274-4")</f>
      </c>
      <c r="BG513" s="1"/>
      <c r="BH513" s="1"/>
      <c r="BI513" s="1"/>
      <c r="BJ513" s="1"/>
      <c r="BK513" s="1"/>
      <c r="BL513" s="1"/>
      <c r="BM513" s="1"/>
      <c r="BN513" s="2"/>
      <c r="BO513" s="1"/>
      <c r="BP513" s="1"/>
      <c r="BQ513" s="1"/>
      <c r="BR513" s="1"/>
      <c r="BS513" s="1" t="s">
        <v>4526</v>
      </c>
      <c r="BT513" s="5">
        <f>HYPERLINK("https%3A%2F%2Fwww.webofscience.com%2Fwos%2Fwoscc%2Ffull-record%2FWOS:000182170300015","View Full Record in Web of Science")</f>
      </c>
    </row>
    <row x14ac:dyDescent="0.25" r="514" customHeight="1" ht="12.75">
      <c r="A514" s="1" t="s">
        <v>303</v>
      </c>
      <c r="B514" s="1" t="s">
        <v>4527</v>
      </c>
      <c r="C514" s="1"/>
      <c r="D514" s="1" t="s">
        <v>4528</v>
      </c>
      <c r="E514" s="1"/>
      <c r="F514" s="1" t="s">
        <v>4527</v>
      </c>
      <c r="G514" s="1"/>
      <c r="H514" s="1"/>
      <c r="I514" s="1" t="s">
        <v>4529</v>
      </c>
      <c r="J514" s="1" t="s">
        <v>4530</v>
      </c>
      <c r="K514" s="1"/>
      <c r="L514" s="1"/>
      <c r="M514" s="1"/>
      <c r="N514" s="1"/>
      <c r="O514" s="1" t="s">
        <v>4531</v>
      </c>
      <c r="P514" s="2" t="s">
        <v>4532</v>
      </c>
      <c r="Q514" s="1" t="s">
        <v>4533</v>
      </c>
      <c r="R514" s="1" t="s">
        <v>4534</v>
      </c>
      <c r="S514" s="1"/>
      <c r="T514" s="1"/>
      <c r="U514" s="1"/>
      <c r="V514" s="1" t="s">
        <v>4535</v>
      </c>
      <c r="W514" s="1"/>
      <c r="X514" s="1"/>
      <c r="Y514" s="1"/>
      <c r="Z514" s="1"/>
      <c r="AA514" s="1"/>
      <c r="AB514" s="1"/>
      <c r="AC514" s="1"/>
      <c r="AD514" s="1"/>
      <c r="AE514" s="1"/>
      <c r="AF514" s="1"/>
      <c r="AG514" s="1"/>
      <c r="AH514" s="1"/>
      <c r="AI514" s="1"/>
      <c r="AJ514" s="1"/>
      <c r="AK514" s="1"/>
      <c r="AL514" s="1"/>
      <c r="AM514" s="1"/>
      <c r="AN514" s="1"/>
      <c r="AO514" s="1"/>
      <c r="AP514" s="1"/>
      <c r="AQ514" s="1" t="s">
        <v>4536</v>
      </c>
      <c r="AR514" s="1"/>
      <c r="AS514" s="1"/>
      <c r="AT514" s="1"/>
      <c r="AU514" s="3">
        <v>2003</v>
      </c>
      <c r="AV514" s="2"/>
      <c r="AW514" s="2"/>
      <c r="AX514" s="2"/>
      <c r="AY514" s="2"/>
      <c r="AZ514" s="1"/>
      <c r="BA514" s="2"/>
      <c r="BB514" s="3">
        <v>189</v>
      </c>
      <c r="BC514" s="3">
        <v>194</v>
      </c>
      <c r="BD514" s="2"/>
      <c r="BE514" s="1"/>
      <c r="BF514" s="1"/>
      <c r="BG514" s="1"/>
      <c r="BH514" s="1"/>
      <c r="BI514" s="1"/>
      <c r="BJ514" s="1"/>
      <c r="BK514" s="1"/>
      <c r="BL514" s="1"/>
      <c r="BM514" s="1"/>
      <c r="BN514" s="2"/>
      <c r="BO514" s="1"/>
      <c r="BP514" s="1"/>
      <c r="BQ514" s="1"/>
      <c r="BR514" s="1"/>
      <c r="BS514" s="1" t="s">
        <v>4537</v>
      </c>
      <c r="BT514" s="5">
        <f>HYPERLINK("https%3A%2F%2Fwww.webofscience.com%2Fwos%2Fwoscc%2Ffull-record%2FWOS:000184437600025","View Full Record in Web of Science")</f>
      </c>
    </row>
    <row x14ac:dyDescent="0.25" r="515" customHeight="1" ht="12.75">
      <c r="A515" s="1" t="s">
        <v>72</v>
      </c>
      <c r="B515" s="1" t="s">
        <v>4538</v>
      </c>
      <c r="C515" s="1"/>
      <c r="D515" s="1"/>
      <c r="E515" s="1"/>
      <c r="F515" s="1" t="s">
        <v>4538</v>
      </c>
      <c r="G515" s="1"/>
      <c r="H515" s="1"/>
      <c r="I515" s="1" t="s">
        <v>4539</v>
      </c>
      <c r="J515" s="1" t="s">
        <v>793</v>
      </c>
      <c r="K515" s="1"/>
      <c r="L515" s="1"/>
      <c r="M515" s="1"/>
      <c r="N515" s="1"/>
      <c r="O515" s="1" t="s">
        <v>794</v>
      </c>
      <c r="P515" s="2" t="s">
        <v>795</v>
      </c>
      <c r="Q515" s="1" t="s">
        <v>796</v>
      </c>
      <c r="R515" s="1"/>
      <c r="S515" s="1"/>
      <c r="T515" s="1"/>
      <c r="U515" s="1"/>
      <c r="V515" s="1" t="s">
        <v>4540</v>
      </c>
      <c r="W515" s="1"/>
      <c r="X515" s="1"/>
      <c r="Y515" s="1"/>
      <c r="Z515" s="1"/>
      <c r="AA515" s="1" t="s">
        <v>3172</v>
      </c>
      <c r="AB515" s="1" t="s">
        <v>3173</v>
      </c>
      <c r="AC515" s="1"/>
      <c r="AD515" s="1"/>
      <c r="AE515" s="1"/>
      <c r="AF515" s="1"/>
      <c r="AG515" s="1"/>
      <c r="AH515" s="1"/>
      <c r="AI515" s="1"/>
      <c r="AJ515" s="1"/>
      <c r="AK515" s="1"/>
      <c r="AL515" s="1"/>
      <c r="AM515" s="1"/>
      <c r="AN515" s="1"/>
      <c r="AO515" s="1" t="s">
        <v>798</v>
      </c>
      <c r="AP515" s="1"/>
      <c r="AQ515" s="1"/>
      <c r="AR515" s="1"/>
      <c r="AS515" s="1"/>
      <c r="AT515" s="1" t="s">
        <v>204</v>
      </c>
      <c r="AU515" s="3">
        <v>2002</v>
      </c>
      <c r="AV515" s="3">
        <v>48</v>
      </c>
      <c r="AW515" s="2"/>
      <c r="AX515" s="2"/>
      <c r="AY515" s="3">
        <v>3</v>
      </c>
      <c r="AZ515" s="1"/>
      <c r="BA515" s="2"/>
      <c r="BB515" s="3">
        <v>80</v>
      </c>
      <c r="BC515" s="3">
        <v>81</v>
      </c>
      <c r="BD515" s="2"/>
      <c r="BE515" s="1"/>
      <c r="BF515" s="1"/>
      <c r="BG515" s="1"/>
      <c r="BH515" s="1"/>
      <c r="BI515" s="1"/>
      <c r="BJ515" s="1"/>
      <c r="BK515" s="1"/>
      <c r="BL515" s="1"/>
      <c r="BM515" s="1"/>
      <c r="BN515" s="2"/>
      <c r="BO515" s="1"/>
      <c r="BP515" s="1"/>
      <c r="BQ515" s="1"/>
      <c r="BR515" s="1"/>
      <c r="BS515" s="1" t="s">
        <v>4541</v>
      </c>
      <c r="BT515" s="5">
        <f>HYPERLINK("https%3A%2F%2Fwww.webofscience.com%2Fwos%2Fwoscc%2Ffull-record%2FWOS:000180065500028","View Full Record in Web of Science")</f>
      </c>
    </row>
    <row x14ac:dyDescent="0.25" r="516" customHeight="1" ht="12.75">
      <c r="A516" s="1" t="s">
        <v>72</v>
      </c>
      <c r="B516" s="1" t="s">
        <v>4542</v>
      </c>
      <c r="C516" s="1"/>
      <c r="D516" s="1"/>
      <c r="E516" s="1"/>
      <c r="F516" s="1" t="s">
        <v>4542</v>
      </c>
      <c r="G516" s="1"/>
      <c r="H516" s="1"/>
      <c r="I516" s="1" t="s">
        <v>4543</v>
      </c>
      <c r="J516" s="1" t="s">
        <v>3022</v>
      </c>
      <c r="K516" s="1"/>
      <c r="L516" s="1"/>
      <c r="M516" s="1"/>
      <c r="N516" s="1"/>
      <c r="O516" s="1"/>
      <c r="P516" s="2"/>
      <c r="Q516" s="1"/>
      <c r="R516" s="1"/>
      <c r="S516" s="1"/>
      <c r="T516" s="1"/>
      <c r="U516" s="1"/>
      <c r="V516" s="1" t="s">
        <v>4544</v>
      </c>
      <c r="W516" s="1"/>
      <c r="X516" s="1"/>
      <c r="Y516" s="1"/>
      <c r="Z516" s="1"/>
      <c r="AA516" s="1"/>
      <c r="AB516" s="1"/>
      <c r="AC516" s="1"/>
      <c r="AD516" s="1"/>
      <c r="AE516" s="1"/>
      <c r="AF516" s="1"/>
      <c r="AG516" s="1"/>
      <c r="AH516" s="1"/>
      <c r="AI516" s="1"/>
      <c r="AJ516" s="1"/>
      <c r="AK516" s="1"/>
      <c r="AL516" s="1"/>
      <c r="AM516" s="1"/>
      <c r="AN516" s="1"/>
      <c r="AO516" s="1" t="s">
        <v>3025</v>
      </c>
      <c r="AP516" s="1" t="s">
        <v>4545</v>
      </c>
      <c r="AQ516" s="1"/>
      <c r="AR516" s="1"/>
      <c r="AS516" s="1"/>
      <c r="AT516" s="1" t="s">
        <v>292</v>
      </c>
      <c r="AU516" s="3">
        <v>2002</v>
      </c>
      <c r="AV516" s="3">
        <v>42</v>
      </c>
      <c r="AW516" s="3">
        <v>4</v>
      </c>
      <c r="AX516" s="2"/>
      <c r="AY516" s="2"/>
      <c r="AZ516" s="1"/>
      <c r="BA516" s="2"/>
      <c r="BB516" s="3">
        <v>401</v>
      </c>
      <c r="BC516" s="3">
        <v>425</v>
      </c>
      <c r="BD516" s="2"/>
      <c r="BE516" s="1" t="s">
        <v>4546</v>
      </c>
      <c r="BF516" s="4">
        <f>HYPERLINK("http://dx.doi.org/10.1080/10407780290059620","http://dx.doi.org/10.1080/10407780290059620")</f>
      </c>
      <c r="BG516" s="1"/>
      <c r="BH516" s="1"/>
      <c r="BI516" s="1"/>
      <c r="BJ516" s="1"/>
      <c r="BK516" s="1"/>
      <c r="BL516" s="1"/>
      <c r="BM516" s="1"/>
      <c r="BN516" s="2"/>
      <c r="BO516" s="1"/>
      <c r="BP516" s="1"/>
      <c r="BQ516" s="1"/>
      <c r="BR516" s="1"/>
      <c r="BS516" s="1" t="s">
        <v>4547</v>
      </c>
      <c r="BT516" s="5">
        <f>HYPERLINK("https%3A%2F%2Fwww.webofscience.com%2Fwos%2Fwoscc%2Ffull-record%2FWOS:000177611800005","View Full Record in Web of Science")</f>
      </c>
    </row>
    <row x14ac:dyDescent="0.25" r="517" customHeight="1" ht="12.75">
      <c r="A517" s="1" t="s">
        <v>72</v>
      </c>
      <c r="B517" s="1" t="s">
        <v>4548</v>
      </c>
      <c r="C517" s="1"/>
      <c r="D517" s="1"/>
      <c r="E517" s="1"/>
      <c r="F517" s="1" t="s">
        <v>4548</v>
      </c>
      <c r="G517" s="1"/>
      <c r="H517" s="1"/>
      <c r="I517" s="1" t="s">
        <v>4549</v>
      </c>
      <c r="J517" s="1" t="s">
        <v>4550</v>
      </c>
      <c r="K517" s="1"/>
      <c r="L517" s="1"/>
      <c r="M517" s="1"/>
      <c r="N517" s="1"/>
      <c r="O517" s="1"/>
      <c r="P517" s="2"/>
      <c r="Q517" s="1"/>
      <c r="R517" s="1"/>
      <c r="S517" s="1"/>
      <c r="T517" s="1"/>
      <c r="U517" s="1"/>
      <c r="V517" s="1" t="s">
        <v>4551</v>
      </c>
      <c r="W517" s="1"/>
      <c r="X517" s="1"/>
      <c r="Y517" s="1"/>
      <c r="Z517" s="1"/>
      <c r="AA517" s="1" t="s">
        <v>4552</v>
      </c>
      <c r="AB517" s="1" t="s">
        <v>4553</v>
      </c>
      <c r="AC517" s="1"/>
      <c r="AD517" s="1"/>
      <c r="AE517" s="1"/>
      <c r="AF517" s="1"/>
      <c r="AG517" s="1"/>
      <c r="AH517" s="1"/>
      <c r="AI517" s="1"/>
      <c r="AJ517" s="1"/>
      <c r="AK517" s="1"/>
      <c r="AL517" s="1"/>
      <c r="AM517" s="1"/>
      <c r="AN517" s="1"/>
      <c r="AO517" s="1" t="s">
        <v>4554</v>
      </c>
      <c r="AP517" s="1"/>
      <c r="AQ517" s="1"/>
      <c r="AR517" s="1"/>
      <c r="AS517" s="1"/>
      <c r="AT517" s="1" t="s">
        <v>137</v>
      </c>
      <c r="AU517" s="3">
        <v>2002</v>
      </c>
      <c r="AV517" s="3">
        <v>43</v>
      </c>
      <c r="AW517" s="3">
        <v>2</v>
      </c>
      <c r="AX517" s="2"/>
      <c r="AY517" s="2"/>
      <c r="AZ517" s="1"/>
      <c r="BA517" s="2"/>
      <c r="BB517" s="3">
        <v>866</v>
      </c>
      <c r="BC517" s="3">
        <v>871</v>
      </c>
      <c r="BD517" s="2"/>
      <c r="BE517" s="1" t="s">
        <v>4555</v>
      </c>
      <c r="BF517" s="4">
        <f>HYPERLINK("http://dx.doi.org/10.1063/1.1428809","http://dx.doi.org/10.1063/1.1428809")</f>
      </c>
      <c r="BG517" s="1"/>
      <c r="BH517" s="1"/>
      <c r="BI517" s="1"/>
      <c r="BJ517" s="1"/>
      <c r="BK517" s="1"/>
      <c r="BL517" s="1"/>
      <c r="BM517" s="1"/>
      <c r="BN517" s="2"/>
      <c r="BO517" s="1"/>
      <c r="BP517" s="1"/>
      <c r="BQ517" s="1"/>
      <c r="BR517" s="1"/>
      <c r="BS517" s="1" t="s">
        <v>4556</v>
      </c>
      <c r="BT517" s="5">
        <f>HYPERLINK("https%3A%2F%2Fwww.webofscience.com%2Fwos%2Fwoscc%2Ffull-record%2FWOS:000173316700010","View Full Record in Web of Science")</f>
      </c>
    </row>
    <row x14ac:dyDescent="0.25" r="518" customHeight="1" ht="12.75">
      <c r="A518" s="1" t="s">
        <v>72</v>
      </c>
      <c r="B518" s="1" t="s">
        <v>4557</v>
      </c>
      <c r="C518" s="1"/>
      <c r="D518" s="1"/>
      <c r="E518" s="1"/>
      <c r="F518" s="1" t="s">
        <v>4557</v>
      </c>
      <c r="G518" s="1"/>
      <c r="H518" s="1"/>
      <c r="I518" s="1" t="s">
        <v>4558</v>
      </c>
      <c r="J518" s="1" t="s">
        <v>4559</v>
      </c>
      <c r="K518" s="1"/>
      <c r="L518" s="1"/>
      <c r="M518" s="1"/>
      <c r="N518" s="1"/>
      <c r="O518" s="1"/>
      <c r="P518" s="2"/>
      <c r="Q518" s="1"/>
      <c r="R518" s="1"/>
      <c r="S518" s="1"/>
      <c r="T518" s="1"/>
      <c r="U518" s="1"/>
      <c r="V518" s="1" t="s">
        <v>4560</v>
      </c>
      <c r="W518" s="1"/>
      <c r="X518" s="1"/>
      <c r="Y518" s="1"/>
      <c r="Z518" s="1"/>
      <c r="AA518" s="1" t="s">
        <v>4561</v>
      </c>
      <c r="AB518" s="1" t="s">
        <v>4562</v>
      </c>
      <c r="AC518" s="1"/>
      <c r="AD518" s="1"/>
      <c r="AE518" s="1"/>
      <c r="AF518" s="1"/>
      <c r="AG518" s="1"/>
      <c r="AH518" s="1"/>
      <c r="AI518" s="1"/>
      <c r="AJ518" s="1"/>
      <c r="AK518" s="1"/>
      <c r="AL518" s="1"/>
      <c r="AM518" s="1"/>
      <c r="AN518" s="1"/>
      <c r="AO518" s="1" t="s">
        <v>4563</v>
      </c>
      <c r="AP518" s="1"/>
      <c r="AQ518" s="1"/>
      <c r="AR518" s="1"/>
      <c r="AS518" s="1"/>
      <c r="AT518" s="1" t="s">
        <v>4564</v>
      </c>
      <c r="AU518" s="3">
        <v>2001</v>
      </c>
      <c r="AV518" s="3">
        <v>51</v>
      </c>
      <c r="AW518" s="3">
        <v>10</v>
      </c>
      <c r="AX518" s="2"/>
      <c r="AY518" s="2"/>
      <c r="AZ518" s="1"/>
      <c r="BA518" s="2"/>
      <c r="BB518" s="3">
        <v>1231</v>
      </c>
      <c r="BC518" s="3">
        <v>1258</v>
      </c>
      <c r="BD518" s="2"/>
      <c r="BE518" s="1" t="s">
        <v>4565</v>
      </c>
      <c r="BF518" s="4">
        <f>HYPERLINK("http://dx.doi.org/10.1002/nme.236","http://dx.doi.org/10.1002/nme.236")</f>
      </c>
      <c r="BG518" s="1"/>
      <c r="BH518" s="1"/>
      <c r="BI518" s="1"/>
      <c r="BJ518" s="1"/>
      <c r="BK518" s="1"/>
      <c r="BL518" s="1"/>
      <c r="BM518" s="1"/>
      <c r="BN518" s="2"/>
      <c r="BO518" s="1"/>
      <c r="BP518" s="1"/>
      <c r="BQ518" s="1"/>
      <c r="BR518" s="1"/>
      <c r="BS518" s="1" t="s">
        <v>4566</v>
      </c>
      <c r="BT518" s="5">
        <f>HYPERLINK("https%3A%2F%2Fwww.webofscience.com%2Fwos%2Fwoscc%2Ffull-record%2FWOS:000169927400006","View Full Record in Web of Science")</f>
      </c>
    </row>
    <row x14ac:dyDescent="0.25" r="519" customHeight="1" ht="12.75">
      <c r="A519" s="1" t="s">
        <v>72</v>
      </c>
      <c r="B519" s="1" t="s">
        <v>4018</v>
      </c>
      <c r="C519" s="1"/>
      <c r="D519" s="1"/>
      <c r="E519" s="1"/>
      <c r="F519" s="1" t="s">
        <v>4018</v>
      </c>
      <c r="G519" s="1"/>
      <c r="H519" s="1"/>
      <c r="I519" s="1" t="s">
        <v>4567</v>
      </c>
      <c r="J519" s="1" t="s">
        <v>4568</v>
      </c>
      <c r="K519" s="1"/>
      <c r="L519" s="1"/>
      <c r="M519" s="1"/>
      <c r="N519" s="1"/>
      <c r="O519" s="1"/>
      <c r="P519" s="2"/>
      <c r="Q519" s="1"/>
      <c r="R519" s="1"/>
      <c r="S519" s="1"/>
      <c r="T519" s="1"/>
      <c r="U519" s="1"/>
      <c r="V519" s="1" t="s">
        <v>4569</v>
      </c>
      <c r="W519" s="1"/>
      <c r="X519" s="1"/>
      <c r="Y519" s="1"/>
      <c r="Z519" s="1"/>
      <c r="AA519" s="1" t="s">
        <v>4570</v>
      </c>
      <c r="AB519" s="1" t="s">
        <v>4571</v>
      </c>
      <c r="AC519" s="1"/>
      <c r="AD519" s="1"/>
      <c r="AE519" s="1"/>
      <c r="AF519" s="1"/>
      <c r="AG519" s="1"/>
      <c r="AH519" s="1"/>
      <c r="AI519" s="1"/>
      <c r="AJ519" s="1"/>
      <c r="AK519" s="1"/>
      <c r="AL519" s="1"/>
      <c r="AM519" s="1"/>
      <c r="AN519" s="1"/>
      <c r="AO519" s="1" t="s">
        <v>4572</v>
      </c>
      <c r="AP519" s="1"/>
      <c r="AQ519" s="1"/>
      <c r="AR519" s="1"/>
      <c r="AS519" s="1"/>
      <c r="AT519" s="1" t="s">
        <v>4573</v>
      </c>
      <c r="AU519" s="3">
        <v>2001</v>
      </c>
      <c r="AV519" s="3">
        <v>18</v>
      </c>
      <c r="AW519" s="3">
        <v>2</v>
      </c>
      <c r="AX519" s="2"/>
      <c r="AY519" s="2"/>
      <c r="AZ519" s="1"/>
      <c r="BA519" s="2"/>
      <c r="BB519" s="3">
        <v>225</v>
      </c>
      <c r="BC519" s="3">
        <v>231</v>
      </c>
      <c r="BD519" s="2"/>
      <c r="BE519" s="1" t="s">
        <v>4574</v>
      </c>
      <c r="BF519" s="4">
        <f>HYPERLINK("http://dx.doi.org/10.1088/0264-9381/18/2/302","http://dx.doi.org/10.1088/0264-9381/18/2/302")</f>
      </c>
      <c r="BG519" s="1"/>
      <c r="BH519" s="1"/>
      <c r="BI519" s="1"/>
      <c r="BJ519" s="1"/>
      <c r="BK519" s="1"/>
      <c r="BL519" s="1"/>
      <c r="BM519" s="1"/>
      <c r="BN519" s="2"/>
      <c r="BO519" s="1"/>
      <c r="BP519" s="1"/>
      <c r="BQ519" s="1"/>
      <c r="BR519" s="1"/>
      <c r="BS519" s="1" t="s">
        <v>4575</v>
      </c>
      <c r="BT519" s="5">
        <f>HYPERLINK("https%3A%2F%2Fwww.webofscience.com%2Fwos%2Fwoscc%2Ffull-record%2FWOS:000166659500004","View Full Record in Web of Science")</f>
      </c>
    </row>
    <row x14ac:dyDescent="0.25" r="520" customHeight="1" ht="12.75">
      <c r="A520" s="1" t="s">
        <v>72</v>
      </c>
      <c r="B520" s="1" t="s">
        <v>2502</v>
      </c>
      <c r="C520" s="1"/>
      <c r="D520" s="1"/>
      <c r="E520" s="1"/>
      <c r="F520" s="1" t="s">
        <v>2502</v>
      </c>
      <c r="G520" s="1"/>
      <c r="H520" s="1"/>
      <c r="I520" s="1" t="s">
        <v>4576</v>
      </c>
      <c r="J520" s="1" t="s">
        <v>897</v>
      </c>
      <c r="K520" s="1"/>
      <c r="L520" s="1"/>
      <c r="M520" s="1"/>
      <c r="N520" s="1"/>
      <c r="O520" s="1"/>
      <c r="P520" s="2"/>
      <c r="Q520" s="1"/>
      <c r="R520" s="1"/>
      <c r="S520" s="1"/>
      <c r="T520" s="1"/>
      <c r="U520" s="1"/>
      <c r="V520" s="1" t="s">
        <v>4577</v>
      </c>
      <c r="W520" s="1"/>
      <c r="X520" s="1"/>
      <c r="Y520" s="1"/>
      <c r="Z520" s="1"/>
      <c r="AA520" s="1"/>
      <c r="AB520" s="1"/>
      <c r="AC520" s="1"/>
      <c r="AD520" s="1"/>
      <c r="AE520" s="1"/>
      <c r="AF520" s="1"/>
      <c r="AG520" s="1"/>
      <c r="AH520" s="1"/>
      <c r="AI520" s="1"/>
      <c r="AJ520" s="1"/>
      <c r="AK520" s="1"/>
      <c r="AL520" s="1"/>
      <c r="AM520" s="1"/>
      <c r="AN520" s="1"/>
      <c r="AO520" s="1" t="s">
        <v>900</v>
      </c>
      <c r="AP520" s="1"/>
      <c r="AQ520" s="1"/>
      <c r="AR520" s="1"/>
      <c r="AS520" s="1"/>
      <c r="AT520" s="1" t="s">
        <v>757</v>
      </c>
      <c r="AU520" s="3">
        <v>2000</v>
      </c>
      <c r="AV520" s="3">
        <v>45</v>
      </c>
      <c r="AW520" s="3">
        <v>2</v>
      </c>
      <c r="AX520" s="2"/>
      <c r="AY520" s="2"/>
      <c r="AZ520" s="1"/>
      <c r="BA520" s="2"/>
      <c r="BB520" s="3">
        <v>289</v>
      </c>
      <c r="BC520" s="3">
        <v>295</v>
      </c>
      <c r="BD520" s="2"/>
      <c r="BE520" s="1"/>
      <c r="BF520" s="1"/>
      <c r="BG520" s="1"/>
      <c r="BH520" s="1"/>
      <c r="BI520" s="1"/>
      <c r="BJ520" s="1"/>
      <c r="BK520" s="1"/>
      <c r="BL520" s="1"/>
      <c r="BM520" s="1"/>
      <c r="BN520" s="2"/>
      <c r="BO520" s="1"/>
      <c r="BP520" s="1"/>
      <c r="BQ520" s="1"/>
      <c r="BR520" s="1"/>
      <c r="BS520" s="1" t="s">
        <v>4578</v>
      </c>
      <c r="BT520" s="5">
        <f>HYPERLINK("https%3A%2F%2Fwww.webofscience.com%2Fwos%2Fwoscc%2Ffull-record%2FWOS:000088306000016","View Full Record in Web of Science")</f>
      </c>
    </row>
    <row x14ac:dyDescent="0.25" r="521" customHeight="1" ht="12.75">
      <c r="A521" s="1" t="s">
        <v>72</v>
      </c>
      <c r="B521" s="1" t="s">
        <v>4579</v>
      </c>
      <c r="C521" s="1"/>
      <c r="D521" s="1"/>
      <c r="E521" s="1"/>
      <c r="F521" s="1" t="s">
        <v>4579</v>
      </c>
      <c r="G521" s="1"/>
      <c r="H521" s="1"/>
      <c r="I521" s="1" t="s">
        <v>4580</v>
      </c>
      <c r="J521" s="1" t="s">
        <v>1609</v>
      </c>
      <c r="K521" s="1"/>
      <c r="L521" s="1"/>
      <c r="M521" s="1"/>
      <c r="N521" s="1"/>
      <c r="O521" s="1"/>
      <c r="P521" s="2"/>
      <c r="Q521" s="1"/>
      <c r="R521" s="1"/>
      <c r="S521" s="1"/>
      <c r="T521" s="1"/>
      <c r="U521" s="1"/>
      <c r="V521" s="1"/>
      <c r="W521" s="1"/>
      <c r="X521" s="1"/>
      <c r="Y521" s="1"/>
      <c r="Z521" s="1"/>
      <c r="AA521" s="1"/>
      <c r="AB521" s="1" t="s">
        <v>1610</v>
      </c>
      <c r="AC521" s="1"/>
      <c r="AD521" s="1"/>
      <c r="AE521" s="1"/>
      <c r="AF521" s="1"/>
      <c r="AG521" s="1"/>
      <c r="AH521" s="1"/>
      <c r="AI521" s="1"/>
      <c r="AJ521" s="1"/>
      <c r="AK521" s="1"/>
      <c r="AL521" s="1"/>
      <c r="AM521" s="1"/>
      <c r="AN521" s="1"/>
      <c r="AO521" s="1" t="s">
        <v>1611</v>
      </c>
      <c r="AP521" s="1"/>
      <c r="AQ521" s="1"/>
      <c r="AR521" s="1"/>
      <c r="AS521" s="1"/>
      <c r="AT521" s="1" t="s">
        <v>757</v>
      </c>
      <c r="AU521" s="3">
        <v>2000</v>
      </c>
      <c r="AV521" s="3">
        <v>28</v>
      </c>
      <c r="AW521" s="3">
        <v>5</v>
      </c>
      <c r="AX521" s="2"/>
      <c r="AY521" s="2"/>
      <c r="AZ521" s="1"/>
      <c r="BA521" s="2"/>
      <c r="BB521" s="3">
        <v>491</v>
      </c>
      <c r="BC521" s="3">
        <v>493</v>
      </c>
      <c r="BD521" s="2"/>
      <c r="BE521" s="1" t="s">
        <v>4581</v>
      </c>
      <c r="BF521" s="4">
        <f>HYPERLINK("http://dx.doi.org/10.1016/S0305-1978(99)00080-0","http://dx.doi.org/10.1016/S0305-1978(99)00080-0")</f>
      </c>
      <c r="BG521" s="1"/>
      <c r="BH521" s="1"/>
      <c r="BI521" s="1"/>
      <c r="BJ521" s="1"/>
      <c r="BK521" s="1"/>
      <c r="BL521" s="1"/>
      <c r="BM521" s="1"/>
      <c r="BN521" s="3">
        <v>10725607</v>
      </c>
      <c r="BO521" s="1"/>
      <c r="BP521" s="1"/>
      <c r="BQ521" s="1"/>
      <c r="BR521" s="1"/>
      <c r="BS521" s="1" t="s">
        <v>4582</v>
      </c>
      <c r="BT521" s="5">
        <f>HYPERLINK("https%3A%2F%2Fwww.webofscience.com%2Fwos%2Fwoscc%2Ffull-record%2FWOS:000086859700010","View Full Record in Web of Science")</f>
      </c>
    </row>
    <row x14ac:dyDescent="0.25" r="522" customHeight="1" ht="12.75">
      <c r="A522" s="1" t="s">
        <v>72</v>
      </c>
      <c r="B522" s="1" t="s">
        <v>4583</v>
      </c>
      <c r="C522" s="1"/>
      <c r="D522" s="1"/>
      <c r="E522" s="1"/>
      <c r="F522" s="1" t="s">
        <v>4583</v>
      </c>
      <c r="G522" s="1"/>
      <c r="H522" s="1"/>
      <c r="I522" s="1" t="s">
        <v>4584</v>
      </c>
      <c r="J522" s="1" t="s">
        <v>4585</v>
      </c>
      <c r="K522" s="1"/>
      <c r="L522" s="1"/>
      <c r="M522" s="1"/>
      <c r="N522" s="1"/>
      <c r="O522" s="1"/>
      <c r="P522" s="2"/>
      <c r="Q522" s="1"/>
      <c r="R522" s="1"/>
      <c r="S522" s="1"/>
      <c r="T522" s="1"/>
      <c r="U522" s="1"/>
      <c r="V522" s="1" t="s">
        <v>4586</v>
      </c>
      <c r="W522" s="1"/>
      <c r="X522" s="1"/>
      <c r="Y522" s="1"/>
      <c r="Z522" s="1"/>
      <c r="AA522" s="1" t="s">
        <v>2438</v>
      </c>
      <c r="AB522" s="1" t="s">
        <v>4587</v>
      </c>
      <c r="AC522" s="1"/>
      <c r="AD522" s="1"/>
      <c r="AE522" s="1"/>
      <c r="AF522" s="1"/>
      <c r="AG522" s="1"/>
      <c r="AH522" s="1"/>
      <c r="AI522" s="1"/>
      <c r="AJ522" s="1"/>
      <c r="AK522" s="1"/>
      <c r="AL522" s="1"/>
      <c r="AM522" s="1"/>
      <c r="AN522" s="1"/>
      <c r="AO522" s="1" t="s">
        <v>4588</v>
      </c>
      <c r="AP522" s="1"/>
      <c r="AQ522" s="1"/>
      <c r="AR522" s="1"/>
      <c r="AS522" s="1"/>
      <c r="AT522" s="1"/>
      <c r="AU522" s="3">
        <v>1999</v>
      </c>
      <c r="AV522" s="3">
        <v>26</v>
      </c>
      <c r="AW522" s="3">
        <v>6</v>
      </c>
      <c r="AX522" s="2"/>
      <c r="AY522" s="2"/>
      <c r="AZ522" s="1"/>
      <c r="BA522" s="2"/>
      <c r="BB522" s="3">
        <v>449</v>
      </c>
      <c r="BC522" s="3">
        <v>456</v>
      </c>
      <c r="BD522" s="2"/>
      <c r="BE522" s="1" t="s">
        <v>4589</v>
      </c>
      <c r="BF522" s="4">
        <f>HYPERLINK("http://dx.doi.org/10.1179/030192399677293","http://dx.doi.org/10.1179/030192399677293")</f>
      </c>
      <c r="BG522" s="1"/>
      <c r="BH522" s="1"/>
      <c r="BI522" s="1"/>
      <c r="BJ522" s="1"/>
      <c r="BK522" s="1"/>
      <c r="BL522" s="1"/>
      <c r="BM522" s="1"/>
      <c r="BN522" s="2"/>
      <c r="BO522" s="1"/>
      <c r="BP522" s="1"/>
      <c r="BQ522" s="1"/>
      <c r="BR522" s="1"/>
      <c r="BS522" s="1" t="s">
        <v>4590</v>
      </c>
      <c r="BT522" s="5">
        <f>HYPERLINK("https%3A%2F%2Fwww.webofscience.com%2Fwos%2Fwoscc%2Ffull-record%2FWOS:000085050800022","View Full Record in Web of Science")</f>
      </c>
    </row>
    <row x14ac:dyDescent="0.25" r="523" customHeight="1" ht="12.75">
      <c r="A523" s="1" t="s">
        <v>72</v>
      </c>
      <c r="B523" s="1" t="s">
        <v>4591</v>
      </c>
      <c r="C523" s="1"/>
      <c r="D523" s="1"/>
      <c r="E523" s="1"/>
      <c r="F523" s="1" t="s">
        <v>4591</v>
      </c>
      <c r="G523" s="1"/>
      <c r="H523" s="1"/>
      <c r="I523" s="1" t="s">
        <v>4592</v>
      </c>
      <c r="J523" s="1" t="s">
        <v>3064</v>
      </c>
      <c r="K523" s="1"/>
      <c r="L523" s="1"/>
      <c r="M523" s="1"/>
      <c r="N523" s="1"/>
      <c r="O523" s="1"/>
      <c r="P523" s="2"/>
      <c r="Q523" s="1"/>
      <c r="R523" s="1"/>
      <c r="S523" s="1"/>
      <c r="T523" s="1"/>
      <c r="U523" s="1"/>
      <c r="V523" s="1" t="s">
        <v>4593</v>
      </c>
      <c r="W523" s="1"/>
      <c r="X523" s="1"/>
      <c r="Y523" s="1"/>
      <c r="Z523" s="1"/>
      <c r="AA523" s="1"/>
      <c r="AB523" s="1"/>
      <c r="AC523" s="1"/>
      <c r="AD523" s="1"/>
      <c r="AE523" s="1"/>
      <c r="AF523" s="1"/>
      <c r="AG523" s="1"/>
      <c r="AH523" s="1"/>
      <c r="AI523" s="1"/>
      <c r="AJ523" s="1"/>
      <c r="AK523" s="1"/>
      <c r="AL523" s="1"/>
      <c r="AM523" s="1"/>
      <c r="AN523" s="1"/>
      <c r="AO523" s="1" t="s">
        <v>3066</v>
      </c>
      <c r="AP523" s="1"/>
      <c r="AQ523" s="1"/>
      <c r="AR523" s="1"/>
      <c r="AS523" s="1"/>
      <c r="AT523" s="1" t="s">
        <v>683</v>
      </c>
      <c r="AU523" s="3">
        <v>1998</v>
      </c>
      <c r="AV523" s="3">
        <v>126</v>
      </c>
      <c r="AW523" s="3">
        <v>5</v>
      </c>
      <c r="AX523" s="2"/>
      <c r="AY523" s="2"/>
      <c r="AZ523" s="1"/>
      <c r="BA523" s="2"/>
      <c r="BB523" s="3">
        <v>525</v>
      </c>
      <c r="BC523" s="3">
        <v>532</v>
      </c>
      <c r="BD523" s="2"/>
      <c r="BE523" s="1"/>
      <c r="BF523" s="1"/>
      <c r="BG523" s="1"/>
      <c r="BH523" s="1"/>
      <c r="BI523" s="1"/>
      <c r="BJ523" s="1"/>
      <c r="BK523" s="1"/>
      <c r="BL523" s="1"/>
      <c r="BM523" s="1"/>
      <c r="BN523" s="3">
        <v>9731434</v>
      </c>
      <c r="BO523" s="1"/>
      <c r="BP523" s="1"/>
      <c r="BQ523" s="1"/>
      <c r="BR523" s="1"/>
      <c r="BS523" s="1" t="s">
        <v>4594</v>
      </c>
      <c r="BT523" s="5">
        <f>HYPERLINK("https%3A%2F%2Fwww.webofscience.com%2Fwos%2Fwoscc%2Ffull-record%2FWOS:000074898500007","View Full Record in Web of Science")</f>
      </c>
    </row>
    <row x14ac:dyDescent="0.25" r="524" customHeight="1" ht="12.75">
      <c r="A524" s="1" t="s">
        <v>303</v>
      </c>
      <c r="B524" s="1" t="s">
        <v>4595</v>
      </c>
      <c r="C524" s="1"/>
      <c r="D524" s="1" t="s">
        <v>4596</v>
      </c>
      <c r="E524" s="1"/>
      <c r="F524" s="1" t="s">
        <v>4595</v>
      </c>
      <c r="G524" s="1"/>
      <c r="H524" s="1"/>
      <c r="I524" s="1" t="s">
        <v>4597</v>
      </c>
      <c r="J524" s="1" t="s">
        <v>4598</v>
      </c>
      <c r="K524" s="1" t="s">
        <v>4599</v>
      </c>
      <c r="L524" s="1"/>
      <c r="M524" s="1"/>
      <c r="N524" s="1"/>
      <c r="O524" s="1" t="s">
        <v>4600</v>
      </c>
      <c r="P524" s="2" t="s">
        <v>4601</v>
      </c>
      <c r="Q524" s="1" t="s">
        <v>4602</v>
      </c>
      <c r="R524" s="1" t="s">
        <v>4603</v>
      </c>
      <c r="S524" s="1" t="s">
        <v>4604</v>
      </c>
      <c r="T524" s="1"/>
      <c r="U524" s="1"/>
      <c r="V524" s="1"/>
      <c r="W524" s="1"/>
      <c r="X524" s="1"/>
      <c r="Y524" s="1"/>
      <c r="Z524" s="1"/>
      <c r="AA524" s="1"/>
      <c r="AB524" s="1"/>
      <c r="AC524" s="1"/>
      <c r="AD524" s="1"/>
      <c r="AE524" s="1"/>
      <c r="AF524" s="1"/>
      <c r="AG524" s="1"/>
      <c r="AH524" s="1"/>
      <c r="AI524" s="1"/>
      <c r="AJ524" s="1"/>
      <c r="AK524" s="1"/>
      <c r="AL524" s="1"/>
      <c r="AM524" s="1"/>
      <c r="AN524" s="1"/>
      <c r="AO524" s="1" t="s">
        <v>4605</v>
      </c>
      <c r="AP524" s="1"/>
      <c r="AQ524" s="1" t="s">
        <v>4606</v>
      </c>
      <c r="AR524" s="1"/>
      <c r="AS524" s="1"/>
      <c r="AT524" s="1"/>
      <c r="AU524" s="3">
        <v>1998</v>
      </c>
      <c r="AV524" s="3">
        <v>194</v>
      </c>
      <c r="AW524" s="2"/>
      <c r="AX524" s="2"/>
      <c r="AY524" s="2"/>
      <c r="AZ524" s="1"/>
      <c r="BA524" s="2"/>
      <c r="BB524" s="3">
        <v>289</v>
      </c>
      <c r="BC524" s="3">
        <v>298</v>
      </c>
      <c r="BD524" s="2"/>
      <c r="BE524" s="1"/>
      <c r="BF524" s="1"/>
      <c r="BG524" s="1"/>
      <c r="BH524" s="1"/>
      <c r="BI524" s="1"/>
      <c r="BJ524" s="1"/>
      <c r="BK524" s="1"/>
      <c r="BL524" s="1"/>
      <c r="BM524" s="1"/>
      <c r="BN524" s="2"/>
      <c r="BO524" s="1"/>
      <c r="BP524" s="1"/>
      <c r="BQ524" s="1"/>
      <c r="BR524" s="1"/>
      <c r="BS524" s="1" t="s">
        <v>4607</v>
      </c>
      <c r="BT524" s="5">
        <f>HYPERLINK("https%3A%2F%2Fwww.webofscience.com%2Fwos%2Fwoscc%2Ffull-record%2FWOS:A1998BJ57F00021","View Full Record in Web of Science")</f>
      </c>
    </row>
    <row x14ac:dyDescent="0.25" r="525" customHeight="1" ht="12.75">
      <c r="A525" s="1" t="s">
        <v>72</v>
      </c>
      <c r="B525" s="1" t="s">
        <v>4608</v>
      </c>
      <c r="C525" s="1"/>
      <c r="D525" s="1"/>
      <c r="E525" s="1"/>
      <c r="F525" s="1" t="s">
        <v>4608</v>
      </c>
      <c r="G525" s="1"/>
      <c r="H525" s="1"/>
      <c r="I525" s="1" t="s">
        <v>4609</v>
      </c>
      <c r="J525" s="1" t="s">
        <v>4215</v>
      </c>
      <c r="K525" s="1"/>
      <c r="L525" s="1"/>
      <c r="M525" s="1"/>
      <c r="N525" s="1"/>
      <c r="O525" s="1"/>
      <c r="P525" s="2"/>
      <c r="Q525" s="1"/>
      <c r="R525" s="1"/>
      <c r="S525" s="1"/>
      <c r="T525" s="1"/>
      <c r="U525" s="1"/>
      <c r="V525" s="1" t="s">
        <v>4610</v>
      </c>
      <c r="W525" s="1"/>
      <c r="X525" s="1"/>
      <c r="Y525" s="1"/>
      <c r="Z525" s="1"/>
      <c r="AA525" s="1"/>
      <c r="AB525" s="1"/>
      <c r="AC525" s="1"/>
      <c r="AD525" s="1"/>
      <c r="AE525" s="1"/>
      <c r="AF525" s="1"/>
      <c r="AG525" s="1"/>
      <c r="AH525" s="1"/>
      <c r="AI525" s="1"/>
      <c r="AJ525" s="1"/>
      <c r="AK525" s="1"/>
      <c r="AL525" s="1"/>
      <c r="AM525" s="1"/>
      <c r="AN525" s="1"/>
      <c r="AO525" s="1" t="s">
        <v>4219</v>
      </c>
      <c r="AP525" s="1" t="s">
        <v>4220</v>
      </c>
      <c r="AQ525" s="1"/>
      <c r="AR525" s="1"/>
      <c r="AS525" s="1"/>
      <c r="AT525" s="1" t="s">
        <v>1119</v>
      </c>
      <c r="AU525" s="3">
        <v>1997</v>
      </c>
      <c r="AV525" s="3">
        <v>34</v>
      </c>
      <c r="AW525" s="3">
        <v>4</v>
      </c>
      <c r="AX525" s="2"/>
      <c r="AY525" s="2"/>
      <c r="AZ525" s="1"/>
      <c r="BA525" s="2"/>
      <c r="BB525" s="3">
        <v>397</v>
      </c>
      <c r="BC525" s="3">
        <v>401</v>
      </c>
      <c r="BD525" s="2"/>
      <c r="BE525" s="1" t="s">
        <v>4611</v>
      </c>
      <c r="BF525" s="4">
        <f>HYPERLINK("http://dx.doi.org/10.1016/S0144-8617(97)00117-3","http://dx.doi.org/10.1016/S0144-8617(97)00117-3")</f>
      </c>
      <c r="BG525" s="1"/>
      <c r="BH525" s="1"/>
      <c r="BI525" s="1"/>
      <c r="BJ525" s="1"/>
      <c r="BK525" s="1"/>
      <c r="BL525" s="1"/>
      <c r="BM525" s="1"/>
      <c r="BN525" s="2"/>
      <c r="BO525" s="1"/>
      <c r="BP525" s="1"/>
      <c r="BQ525" s="1"/>
      <c r="BR525" s="1"/>
      <c r="BS525" s="1" t="s">
        <v>4612</v>
      </c>
      <c r="BT525" s="5">
        <f>HYPERLINK("https%3A%2F%2Fwww.webofscience.com%2Fwos%2Fwoscc%2Ffull-record%2FWOS:000073173200025","View Full Record in Web of Science")</f>
      </c>
    </row>
    <row x14ac:dyDescent="0.25" r="526" customHeight="1" ht="12.75">
      <c r="A526" s="1" t="s">
        <v>72</v>
      </c>
      <c r="B526" s="1" t="s">
        <v>4613</v>
      </c>
      <c r="C526" s="1"/>
      <c r="D526" s="1"/>
      <c r="E526" s="1"/>
      <c r="F526" s="1" t="s">
        <v>4613</v>
      </c>
      <c r="G526" s="1"/>
      <c r="H526" s="1"/>
      <c r="I526" s="1" t="s">
        <v>4614</v>
      </c>
      <c r="J526" s="1" t="s">
        <v>98</v>
      </c>
      <c r="K526" s="1"/>
      <c r="L526" s="1"/>
      <c r="M526" s="1"/>
      <c r="N526" s="1"/>
      <c r="O526" s="1"/>
      <c r="P526" s="2"/>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t="s">
        <v>101</v>
      </c>
      <c r="AP526" s="1"/>
      <c r="AQ526" s="1"/>
      <c r="AR526" s="1"/>
      <c r="AS526" s="1"/>
      <c r="AT526" s="1" t="s">
        <v>137</v>
      </c>
      <c r="AU526" s="3">
        <v>1997</v>
      </c>
      <c r="AV526" s="3">
        <v>28</v>
      </c>
      <c r="AW526" s="3">
        <v>3</v>
      </c>
      <c r="AX526" s="2"/>
      <c r="AY526" s="2"/>
      <c r="AZ526" s="1"/>
      <c r="BA526" s="2"/>
      <c r="BB526" s="3">
        <v>513</v>
      </c>
      <c r="BC526" s="3">
        <v>531</v>
      </c>
      <c r="BD526" s="2"/>
      <c r="BE526" s="1" t="s">
        <v>4615</v>
      </c>
      <c r="BF526" s="4">
        <f>HYPERLINK("http://dx.doi.org/10.1016/0362-546X(95)00160-W","http://dx.doi.org/10.1016/0362-546X(95)00160-W")</f>
      </c>
      <c r="BG526" s="1"/>
      <c r="BH526" s="1"/>
      <c r="BI526" s="1"/>
      <c r="BJ526" s="1"/>
      <c r="BK526" s="1"/>
      <c r="BL526" s="1"/>
      <c r="BM526" s="1"/>
      <c r="BN526" s="2"/>
      <c r="BO526" s="1"/>
      <c r="BP526" s="1"/>
      <c r="BQ526" s="1"/>
      <c r="BR526" s="1"/>
      <c r="BS526" s="1" t="s">
        <v>4616</v>
      </c>
      <c r="BT526" s="5">
        <f>HYPERLINK("https%3A%2F%2Fwww.webofscience.com%2Fwos%2Fwoscc%2Ffull-record%2FWOS:A1997VV68800007","View Full Record in Web of Science")</f>
      </c>
    </row>
    <row x14ac:dyDescent="0.25" r="527" customHeight="1" ht="12.75">
      <c r="A527" s="1" t="s">
        <v>72</v>
      </c>
      <c r="B527" s="1" t="s">
        <v>4617</v>
      </c>
      <c r="C527" s="1"/>
      <c r="D527" s="1"/>
      <c r="E527" s="1"/>
      <c r="F527" s="1" t="s">
        <v>4617</v>
      </c>
      <c r="G527" s="1"/>
      <c r="H527" s="1"/>
      <c r="I527" s="1" t="s">
        <v>4618</v>
      </c>
      <c r="J527" s="1" t="s">
        <v>1474</v>
      </c>
      <c r="K527" s="1"/>
      <c r="L527" s="1"/>
      <c r="M527" s="1"/>
      <c r="N527" s="1"/>
      <c r="O527" s="1"/>
      <c r="P527" s="2"/>
      <c r="Q527" s="1"/>
      <c r="R527" s="1"/>
      <c r="S527" s="1"/>
      <c r="T527" s="1"/>
      <c r="U527" s="1"/>
      <c r="V527" s="1" t="s">
        <v>4619</v>
      </c>
      <c r="W527" s="1"/>
      <c r="X527" s="1"/>
      <c r="Y527" s="1"/>
      <c r="Z527" s="1"/>
      <c r="AA527" s="1" t="s">
        <v>4620</v>
      </c>
      <c r="AB527" s="1" t="s">
        <v>2155</v>
      </c>
      <c r="AC527" s="1"/>
      <c r="AD527" s="1"/>
      <c r="AE527" s="1"/>
      <c r="AF527" s="1"/>
      <c r="AG527" s="1"/>
      <c r="AH527" s="1"/>
      <c r="AI527" s="1"/>
      <c r="AJ527" s="1"/>
      <c r="AK527" s="1"/>
      <c r="AL527" s="1"/>
      <c r="AM527" s="1"/>
      <c r="AN527" s="1"/>
      <c r="AO527" s="1" t="s">
        <v>4621</v>
      </c>
      <c r="AP527" s="1"/>
      <c r="AQ527" s="1"/>
      <c r="AR527" s="1"/>
      <c r="AS527" s="1"/>
      <c r="AT527" s="1" t="s">
        <v>2855</v>
      </c>
      <c r="AU527" s="3">
        <v>1996</v>
      </c>
      <c r="AV527" s="3">
        <v>405</v>
      </c>
      <c r="AW527" s="2" t="s">
        <v>1479</v>
      </c>
      <c r="AX527" s="2"/>
      <c r="AY527" s="2"/>
      <c r="AZ527" s="1"/>
      <c r="BA527" s="2"/>
      <c r="BB527" s="3">
        <v>159</v>
      </c>
      <c r="BC527" s="3">
        <v>167</v>
      </c>
      <c r="BD527" s="2"/>
      <c r="BE527" s="1" t="s">
        <v>4622</v>
      </c>
      <c r="BF527" s="4">
        <f>HYPERLINK("http://dx.doi.org/10.1016/0022-0728(95)04407-8","http://dx.doi.org/10.1016/0022-0728(95)04407-8")</f>
      </c>
      <c r="BG527" s="1"/>
      <c r="BH527" s="1"/>
      <c r="BI527" s="1"/>
      <c r="BJ527" s="1"/>
      <c r="BK527" s="1"/>
      <c r="BL527" s="1"/>
      <c r="BM527" s="1"/>
      <c r="BN527" s="2"/>
      <c r="BO527" s="1"/>
      <c r="BP527" s="1"/>
      <c r="BQ527" s="1"/>
      <c r="BR527" s="1"/>
      <c r="BS527" s="1" t="s">
        <v>4623</v>
      </c>
      <c r="BT527" s="5">
        <f>HYPERLINK("https%3A%2F%2Fwww.webofscience.com%2Fwos%2Fwoscc%2Ffull-record%2FWOS:A1996UN54700018","View Full Record in Web of Science")</f>
      </c>
    </row>
    <row x14ac:dyDescent="0.25" r="528" customHeight="1" ht="12.75">
      <c r="A528" s="1" t="s">
        <v>72</v>
      </c>
      <c r="B528" s="1" t="s">
        <v>4624</v>
      </c>
      <c r="C528" s="1"/>
      <c r="D528" s="1"/>
      <c r="E528" s="1"/>
      <c r="F528" s="1" t="s">
        <v>4624</v>
      </c>
      <c r="G528" s="1"/>
      <c r="H528" s="1"/>
      <c r="I528" s="1" t="s">
        <v>4625</v>
      </c>
      <c r="J528" s="1" t="s">
        <v>897</v>
      </c>
      <c r="K528" s="1"/>
      <c r="L528" s="1"/>
      <c r="M528" s="1"/>
      <c r="N528" s="1"/>
      <c r="O528" s="1"/>
      <c r="P528" s="2"/>
      <c r="Q528" s="1"/>
      <c r="R528" s="1"/>
      <c r="S528" s="1"/>
      <c r="T528" s="1"/>
      <c r="U528" s="1"/>
      <c r="V528" s="1" t="s">
        <v>4626</v>
      </c>
      <c r="W528" s="1"/>
      <c r="X528" s="1"/>
      <c r="Y528" s="1"/>
      <c r="Z528" s="1"/>
      <c r="AA528" s="1"/>
      <c r="AB528" s="1"/>
      <c r="AC528" s="1"/>
      <c r="AD528" s="1"/>
      <c r="AE528" s="1"/>
      <c r="AF528" s="1"/>
      <c r="AG528" s="1"/>
      <c r="AH528" s="1"/>
      <c r="AI528" s="1"/>
      <c r="AJ528" s="1"/>
      <c r="AK528" s="1"/>
      <c r="AL528" s="1"/>
      <c r="AM528" s="1"/>
      <c r="AN528" s="1"/>
      <c r="AO528" s="1" t="s">
        <v>900</v>
      </c>
      <c r="AP528" s="1"/>
      <c r="AQ528" s="1"/>
      <c r="AR528" s="1"/>
      <c r="AS528" s="1"/>
      <c r="AT528" s="1" t="s">
        <v>204</v>
      </c>
      <c r="AU528" s="3">
        <v>1995</v>
      </c>
      <c r="AV528" s="3">
        <v>40</v>
      </c>
      <c r="AW528" s="3">
        <v>4</v>
      </c>
      <c r="AX528" s="2"/>
      <c r="AY528" s="2"/>
      <c r="AZ528" s="1"/>
      <c r="BA528" s="2"/>
      <c r="BB528" s="3">
        <v>375</v>
      </c>
      <c r="BC528" s="3">
        <v>381</v>
      </c>
      <c r="BD528" s="2"/>
      <c r="BE528" s="1"/>
      <c r="BF528" s="1"/>
      <c r="BG528" s="1"/>
      <c r="BH528" s="1"/>
      <c r="BI528" s="1"/>
      <c r="BJ528" s="1"/>
      <c r="BK528" s="1"/>
      <c r="BL528" s="1"/>
      <c r="BM528" s="1"/>
      <c r="BN528" s="2"/>
      <c r="BO528" s="1"/>
      <c r="BP528" s="1"/>
      <c r="BQ528" s="1"/>
      <c r="BR528" s="1"/>
      <c r="BS528" s="1" t="s">
        <v>4627</v>
      </c>
      <c r="BT528" s="5">
        <f>HYPERLINK("https%3A%2F%2Fwww.webofscience.com%2Fwos%2Fwoscc%2Ffull-record%2FWOS:A1995TN57900005","View Full Record in Web of Science")</f>
      </c>
    </row>
    <row x14ac:dyDescent="0.25" r="529" customHeight="1" ht="12.75">
      <c r="A529" s="1" t="s">
        <v>72</v>
      </c>
      <c r="B529" s="1" t="s">
        <v>4628</v>
      </c>
      <c r="C529" s="1"/>
      <c r="D529" s="1"/>
      <c r="E529" s="1"/>
      <c r="F529" s="1" t="s">
        <v>4628</v>
      </c>
      <c r="G529" s="1"/>
      <c r="H529" s="1"/>
      <c r="I529" s="1" t="s">
        <v>4629</v>
      </c>
      <c r="J529" s="1" t="s">
        <v>1609</v>
      </c>
      <c r="K529" s="1"/>
      <c r="L529" s="1"/>
      <c r="M529" s="1"/>
      <c r="N529" s="1"/>
      <c r="O529" s="1"/>
      <c r="P529" s="2"/>
      <c r="Q529" s="1"/>
      <c r="R529" s="1"/>
      <c r="S529" s="1"/>
      <c r="T529" s="1"/>
      <c r="U529" s="1"/>
      <c r="V529" s="1"/>
      <c r="W529" s="1"/>
      <c r="X529" s="1"/>
      <c r="Y529" s="1"/>
      <c r="Z529" s="1"/>
      <c r="AA529" s="1"/>
      <c r="AB529" s="1" t="s">
        <v>1610</v>
      </c>
      <c r="AC529" s="1"/>
      <c r="AD529" s="1"/>
      <c r="AE529" s="1"/>
      <c r="AF529" s="1"/>
      <c r="AG529" s="1"/>
      <c r="AH529" s="1"/>
      <c r="AI529" s="1"/>
      <c r="AJ529" s="1"/>
      <c r="AK529" s="1"/>
      <c r="AL529" s="1"/>
      <c r="AM529" s="1"/>
      <c r="AN529" s="1"/>
      <c r="AO529" s="1" t="s">
        <v>1611</v>
      </c>
      <c r="AP529" s="1"/>
      <c r="AQ529" s="1"/>
      <c r="AR529" s="1"/>
      <c r="AS529" s="1"/>
      <c r="AT529" s="1" t="s">
        <v>757</v>
      </c>
      <c r="AU529" s="3">
        <v>1995</v>
      </c>
      <c r="AV529" s="3">
        <v>23</v>
      </c>
      <c r="AW529" s="3">
        <v>4</v>
      </c>
      <c r="AX529" s="2"/>
      <c r="AY529" s="2"/>
      <c r="AZ529" s="1"/>
      <c r="BA529" s="2"/>
      <c r="BB529" s="3">
        <v>459</v>
      </c>
      <c r="BC529" s="3">
        <v>459</v>
      </c>
      <c r="BD529" s="2"/>
      <c r="BE529" s="1" t="s">
        <v>4630</v>
      </c>
      <c r="BF529" s="4">
        <f>HYPERLINK("http://dx.doi.org/10.1016/0305-1978(95)00025-P","http://dx.doi.org/10.1016/0305-1978(95)00025-P")</f>
      </c>
      <c r="BG529" s="1"/>
      <c r="BH529" s="1"/>
      <c r="BI529" s="1"/>
      <c r="BJ529" s="1"/>
      <c r="BK529" s="1"/>
      <c r="BL529" s="1"/>
      <c r="BM529" s="1"/>
      <c r="BN529" s="2"/>
      <c r="BO529" s="1"/>
      <c r="BP529" s="1"/>
      <c r="BQ529" s="1"/>
      <c r="BR529" s="1"/>
      <c r="BS529" s="1" t="s">
        <v>4631</v>
      </c>
      <c r="BT529" s="5">
        <f>HYPERLINK("https%3A%2F%2Fwww.webofscience.com%2Fwos%2Fwoscc%2Ffull-record%2FWOS:A1995RW15900017","View Full Record in Web of Science")</f>
      </c>
    </row>
    <row x14ac:dyDescent="0.25" r="530" customHeight="1" ht="12.75">
      <c r="A530" s="1" t="s">
        <v>72</v>
      </c>
      <c r="B530" s="1" t="s">
        <v>4632</v>
      </c>
      <c r="C530" s="1"/>
      <c r="D530" s="1"/>
      <c r="E530" s="1"/>
      <c r="F530" s="1" t="s">
        <v>4632</v>
      </c>
      <c r="G530" s="1"/>
      <c r="H530" s="1"/>
      <c r="I530" s="1" t="s">
        <v>4633</v>
      </c>
      <c r="J530" s="1" t="s">
        <v>3807</v>
      </c>
      <c r="K530" s="1"/>
      <c r="L530" s="1"/>
      <c r="M530" s="1"/>
      <c r="N530" s="1"/>
      <c r="O530" s="1"/>
      <c r="P530" s="2"/>
      <c r="Q530" s="1"/>
      <c r="R530" s="1"/>
      <c r="S530" s="1"/>
      <c r="T530" s="1"/>
      <c r="U530" s="1"/>
      <c r="V530" s="1" t="s">
        <v>4634</v>
      </c>
      <c r="W530" s="1"/>
      <c r="X530" s="1"/>
      <c r="Y530" s="1"/>
      <c r="Z530" s="1"/>
      <c r="AA530" s="1"/>
      <c r="AB530" s="1"/>
      <c r="AC530" s="1"/>
      <c r="AD530" s="1"/>
      <c r="AE530" s="1"/>
      <c r="AF530" s="1"/>
      <c r="AG530" s="1"/>
      <c r="AH530" s="1"/>
      <c r="AI530" s="1"/>
      <c r="AJ530" s="1"/>
      <c r="AK530" s="1"/>
      <c r="AL530" s="1"/>
      <c r="AM530" s="1"/>
      <c r="AN530" s="1"/>
      <c r="AO530" s="1" t="s">
        <v>3809</v>
      </c>
      <c r="AP530" s="1"/>
      <c r="AQ530" s="1"/>
      <c r="AR530" s="1"/>
      <c r="AS530" s="1"/>
      <c r="AT530" s="1" t="s">
        <v>877</v>
      </c>
      <c r="AU530" s="3">
        <v>1995</v>
      </c>
      <c r="AV530" s="3">
        <v>190</v>
      </c>
      <c r="AW530" s="3">
        <v>2</v>
      </c>
      <c r="AX530" s="2"/>
      <c r="AY530" s="2"/>
      <c r="AZ530" s="1"/>
      <c r="BA530" s="2"/>
      <c r="BB530" s="3">
        <v>611</v>
      </c>
      <c r="BC530" s="3">
        <v>623</v>
      </c>
      <c r="BD530" s="2"/>
      <c r="BE530" s="1" t="s">
        <v>4635</v>
      </c>
      <c r="BF530" s="4">
        <f>HYPERLINK("http://dx.doi.org/10.1006/jmaa.1995.1097","http://dx.doi.org/10.1006/jmaa.1995.1097")</f>
      </c>
      <c r="BG530" s="1"/>
      <c r="BH530" s="1"/>
      <c r="BI530" s="1"/>
      <c r="BJ530" s="1"/>
      <c r="BK530" s="1"/>
      <c r="BL530" s="1"/>
      <c r="BM530" s="1"/>
      <c r="BN530" s="2"/>
      <c r="BO530" s="1"/>
      <c r="BP530" s="1"/>
      <c r="BQ530" s="1"/>
      <c r="BR530" s="1"/>
      <c r="BS530" s="1" t="s">
        <v>4636</v>
      </c>
      <c r="BT530" s="5">
        <f>HYPERLINK("https%3A%2F%2Fwww.webofscience.com%2Fwos%2Fwoscc%2Ffull-record%2FWOS:A1995QL81500019","View Full Record in Web of Science")</f>
      </c>
    </row>
    <row x14ac:dyDescent="0.25" r="531" customHeight="1" ht="12.75">
      <c r="A531" s="1" t="s">
        <v>72</v>
      </c>
      <c r="B531" s="1" t="s">
        <v>4637</v>
      </c>
      <c r="C531" s="1"/>
      <c r="D531" s="1"/>
      <c r="E531" s="1"/>
      <c r="F531" s="1" t="s">
        <v>4637</v>
      </c>
      <c r="G531" s="1"/>
      <c r="H531" s="1"/>
      <c r="I531" s="1" t="s">
        <v>4638</v>
      </c>
      <c r="J531" s="1" t="s">
        <v>3055</v>
      </c>
      <c r="K531" s="1"/>
      <c r="L531" s="1"/>
      <c r="M531" s="1"/>
      <c r="N531" s="1"/>
      <c r="O531" s="1" t="s">
        <v>4639</v>
      </c>
      <c r="P531" s="2" t="s">
        <v>4640</v>
      </c>
      <c r="Q531" s="1" t="s">
        <v>4641</v>
      </c>
      <c r="R531" s="1" t="s">
        <v>4642</v>
      </c>
      <c r="S531" s="1"/>
      <c r="T531" s="1"/>
      <c r="U531" s="1"/>
      <c r="V531" s="1"/>
      <c r="W531" s="1"/>
      <c r="X531" s="1"/>
      <c r="Y531" s="1"/>
      <c r="Z531" s="1"/>
      <c r="AA531" s="1"/>
      <c r="AB531" s="1" t="s">
        <v>4643</v>
      </c>
      <c r="AC531" s="1"/>
      <c r="AD531" s="1"/>
      <c r="AE531" s="1"/>
      <c r="AF531" s="1"/>
      <c r="AG531" s="1"/>
      <c r="AH531" s="1"/>
      <c r="AI531" s="1"/>
      <c r="AJ531" s="1"/>
      <c r="AK531" s="1"/>
      <c r="AL531" s="1"/>
      <c r="AM531" s="1"/>
      <c r="AN531" s="1"/>
      <c r="AO531" s="1" t="s">
        <v>3059</v>
      </c>
      <c r="AP531" s="1"/>
      <c r="AQ531" s="1"/>
      <c r="AR531" s="1"/>
      <c r="AS531" s="1"/>
      <c r="AT531" s="1"/>
      <c r="AU531" s="3">
        <v>1995</v>
      </c>
      <c r="AV531" s="2"/>
      <c r="AW531" s="2"/>
      <c r="AX531" s="2"/>
      <c r="AY531" s="3">
        <v>11</v>
      </c>
      <c r="AZ531" s="1"/>
      <c r="BA531" s="2"/>
      <c r="BB531" s="3">
        <v>23</v>
      </c>
      <c r="BC531" s="3">
        <v>23</v>
      </c>
      <c r="BD531" s="2"/>
      <c r="BE531" s="1"/>
      <c r="BF531" s="1"/>
      <c r="BG531" s="1"/>
      <c r="BH531" s="1"/>
      <c r="BI531" s="1"/>
      <c r="BJ531" s="1"/>
      <c r="BK531" s="1"/>
      <c r="BL531" s="1"/>
      <c r="BM531" s="1"/>
      <c r="BN531" s="3">
        <v>7547329</v>
      </c>
      <c r="BO531" s="1"/>
      <c r="BP531" s="1"/>
      <c r="BQ531" s="1"/>
      <c r="BR531" s="1"/>
      <c r="BS531" s="1" t="s">
        <v>4644</v>
      </c>
      <c r="BT531" s="5">
        <f>HYPERLINK("https%3A%2F%2Fwww.webofscience.com%2Fwos%2Fwoscc%2Ffull-record%2FWOS:A1995RG86700012","View Full Record in Web of Science")</f>
      </c>
    </row>
    <row x14ac:dyDescent="0.25" r="532" customHeight="1" ht="12.75">
      <c r="A532" s="1" t="s">
        <v>72</v>
      </c>
      <c r="B532" s="1" t="s">
        <v>4645</v>
      </c>
      <c r="C532" s="1"/>
      <c r="D532" s="1"/>
      <c r="E532" s="1"/>
      <c r="F532" s="1" t="s">
        <v>4645</v>
      </c>
      <c r="G532" s="1"/>
      <c r="H532" s="1"/>
      <c r="I532" s="1" t="s">
        <v>4646</v>
      </c>
      <c r="J532" s="1" t="s">
        <v>4647</v>
      </c>
      <c r="K532" s="1"/>
      <c r="L532" s="1"/>
      <c r="M532" s="1"/>
      <c r="N532" s="1"/>
      <c r="O532" s="1"/>
      <c r="P532" s="2"/>
      <c r="Q532" s="1"/>
      <c r="R532" s="1"/>
      <c r="S532" s="1"/>
      <c r="T532" s="1"/>
      <c r="U532" s="1"/>
      <c r="V532" s="1" t="s">
        <v>4648</v>
      </c>
      <c r="W532" s="1"/>
      <c r="X532" s="1"/>
      <c r="Y532" s="1"/>
      <c r="Z532" s="1"/>
      <c r="AA532" s="1"/>
      <c r="AB532" s="1"/>
      <c r="AC532" s="1"/>
      <c r="AD532" s="1"/>
      <c r="AE532" s="1"/>
      <c r="AF532" s="1"/>
      <c r="AG532" s="1"/>
      <c r="AH532" s="1"/>
      <c r="AI532" s="1"/>
      <c r="AJ532" s="1"/>
      <c r="AK532" s="1"/>
      <c r="AL532" s="1"/>
      <c r="AM532" s="1"/>
      <c r="AN532" s="1"/>
      <c r="AO532" s="1" t="s">
        <v>4649</v>
      </c>
      <c r="AP532" s="1"/>
      <c r="AQ532" s="1"/>
      <c r="AR532" s="1"/>
      <c r="AS532" s="1"/>
      <c r="AT532" s="1" t="s">
        <v>137</v>
      </c>
      <c r="AU532" s="3">
        <v>1994</v>
      </c>
      <c r="AV532" s="3">
        <v>48</v>
      </c>
      <c r="AW532" s="3">
        <v>2</v>
      </c>
      <c r="AX532" s="2"/>
      <c r="AY532" s="2"/>
      <c r="AZ532" s="1"/>
      <c r="BA532" s="2"/>
      <c r="BB532" s="3">
        <v>123</v>
      </c>
      <c r="BC532" s="3">
        <v>127</v>
      </c>
      <c r="BD532" s="2"/>
      <c r="BE532" s="1"/>
      <c r="BF532" s="1"/>
      <c r="BG532" s="1"/>
      <c r="BH532" s="1"/>
      <c r="BI532" s="1"/>
      <c r="BJ532" s="1"/>
      <c r="BK532" s="1"/>
      <c r="BL532" s="1"/>
      <c r="BM532" s="1"/>
      <c r="BN532" s="2"/>
      <c r="BO532" s="1"/>
      <c r="BP532" s="1"/>
      <c r="BQ532" s="1"/>
      <c r="BR532" s="1"/>
      <c r="BS532" s="1" t="s">
        <v>4650</v>
      </c>
      <c r="BT532" s="5">
        <f>HYPERLINK("https%3A%2F%2Fwww.webofscience.com%2Fwos%2Fwoscc%2Ffull-record%2FWOS:A1994NB36900009","View Full Record in Web of Science")</f>
      </c>
    </row>
    <row x14ac:dyDescent="0.25" r="533" customHeight="1" ht="12.75">
      <c r="A533" s="1" t="s">
        <v>72</v>
      </c>
      <c r="B533" s="1" t="s">
        <v>4651</v>
      </c>
      <c r="C533" s="1"/>
      <c r="D533" s="1"/>
      <c r="E533" s="1"/>
      <c r="F533" s="1" t="s">
        <v>4651</v>
      </c>
      <c r="G533" s="1"/>
      <c r="H533" s="1"/>
      <c r="I533" s="1" t="s">
        <v>4652</v>
      </c>
      <c r="J533" s="1" t="s">
        <v>3807</v>
      </c>
      <c r="K533" s="1"/>
      <c r="L533" s="1"/>
      <c r="M533" s="1"/>
      <c r="N533" s="1"/>
      <c r="O533" s="1"/>
      <c r="P533" s="2"/>
      <c r="Q533" s="1"/>
      <c r="R533" s="1"/>
      <c r="S533" s="1"/>
      <c r="T533" s="1"/>
      <c r="U533" s="1"/>
      <c r="V533" s="1"/>
      <c r="W533" s="1"/>
      <c r="X533" s="1"/>
      <c r="Y533" s="1"/>
      <c r="Z533" s="1"/>
      <c r="AA533" s="1" t="s">
        <v>2180</v>
      </c>
      <c r="AB533" s="1" t="s">
        <v>2181</v>
      </c>
      <c r="AC533" s="1"/>
      <c r="AD533" s="1"/>
      <c r="AE533" s="1"/>
      <c r="AF533" s="1"/>
      <c r="AG533" s="1"/>
      <c r="AH533" s="1"/>
      <c r="AI533" s="1"/>
      <c r="AJ533" s="1"/>
      <c r="AK533" s="1"/>
      <c r="AL533" s="1"/>
      <c r="AM533" s="1"/>
      <c r="AN533" s="1"/>
      <c r="AO533" s="1" t="s">
        <v>3809</v>
      </c>
      <c r="AP533" s="1"/>
      <c r="AQ533" s="1"/>
      <c r="AR533" s="1"/>
      <c r="AS533" s="1"/>
      <c r="AT533" s="1" t="s">
        <v>1849</v>
      </c>
      <c r="AU533" s="3">
        <v>1994</v>
      </c>
      <c r="AV533" s="3">
        <v>181</v>
      </c>
      <c r="AW533" s="3">
        <v>1</v>
      </c>
      <c r="AX533" s="2"/>
      <c r="AY533" s="2"/>
      <c r="AZ533" s="1"/>
      <c r="BA533" s="2"/>
      <c r="BB533" s="3">
        <v>89</v>
      </c>
      <c r="BC533" s="3">
        <v>103</v>
      </c>
      <c r="BD533" s="2"/>
      <c r="BE533" s="1" t="s">
        <v>4653</v>
      </c>
      <c r="BF533" s="4">
        <f>HYPERLINK("http://dx.doi.org/10.1006/jmaa.1994.1007","http://dx.doi.org/10.1006/jmaa.1994.1007")</f>
      </c>
      <c r="BG533" s="1"/>
      <c r="BH533" s="1"/>
      <c r="BI533" s="1"/>
      <c r="BJ533" s="1"/>
      <c r="BK533" s="1"/>
      <c r="BL533" s="1"/>
      <c r="BM533" s="1"/>
      <c r="BN533" s="2"/>
      <c r="BO533" s="1"/>
      <c r="BP533" s="1"/>
      <c r="BQ533" s="1"/>
      <c r="BR533" s="1"/>
      <c r="BS533" s="1" t="s">
        <v>4654</v>
      </c>
      <c r="BT533" s="5">
        <f>HYPERLINK("https%3A%2F%2Fwww.webofscience.com%2Fwos%2Fwoscc%2Ffull-record%2FWOS:A1994MW30900007","View Full Record in Web of Science")</f>
      </c>
    </row>
    <row x14ac:dyDescent="0.25" r="534" customHeight="1" ht="12.75">
      <c r="A534" s="1" t="s">
        <v>303</v>
      </c>
      <c r="B534" s="1" t="s">
        <v>3236</v>
      </c>
      <c r="C534" s="1"/>
      <c r="D534" s="1" t="s">
        <v>4655</v>
      </c>
      <c r="E534" s="1"/>
      <c r="F534" s="1" t="s">
        <v>3236</v>
      </c>
      <c r="G534" s="1"/>
      <c r="H534" s="1"/>
      <c r="I534" s="1" t="s">
        <v>4656</v>
      </c>
      <c r="J534" s="1" t="s">
        <v>4657</v>
      </c>
      <c r="K534" s="1" t="s">
        <v>4658</v>
      </c>
      <c r="L534" s="1"/>
      <c r="M534" s="1"/>
      <c r="N534" s="1"/>
      <c r="O534" s="1" t="s">
        <v>4659</v>
      </c>
      <c r="P534" s="2" t="s">
        <v>4660</v>
      </c>
      <c r="Q534" s="1" t="s">
        <v>796</v>
      </c>
      <c r="R534" s="1" t="s">
        <v>4661</v>
      </c>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t="s">
        <v>4662</v>
      </c>
      <c r="AR534" s="1"/>
      <c r="AS534" s="1"/>
      <c r="AT534" s="1"/>
      <c r="AU534" s="3">
        <v>1994</v>
      </c>
      <c r="AV534" s="3">
        <v>282</v>
      </c>
      <c r="AW534" s="2"/>
      <c r="AX534" s="2"/>
      <c r="AY534" s="2"/>
      <c r="AZ534" s="1"/>
      <c r="BA534" s="2"/>
      <c r="BB534" s="3">
        <v>167</v>
      </c>
      <c r="BC534" s="3">
        <v>189</v>
      </c>
      <c r="BD534" s="2"/>
      <c r="BE534" s="1"/>
      <c r="BF534" s="1"/>
      <c r="BG534" s="1"/>
      <c r="BH534" s="1"/>
      <c r="BI534" s="1"/>
      <c r="BJ534" s="1"/>
      <c r="BK534" s="1"/>
      <c r="BL534" s="1"/>
      <c r="BM534" s="1"/>
      <c r="BN534" s="2"/>
      <c r="BO534" s="1"/>
      <c r="BP534" s="1"/>
      <c r="BQ534" s="1"/>
      <c r="BR534" s="1"/>
      <c r="BS534" s="1" t="s">
        <v>4663</v>
      </c>
      <c r="BT534" s="5">
        <f>HYPERLINK("https%3A%2F%2Fwww.webofscience.com%2Fwos%2Fwoscc%2Ffull-record%2FWOS:A1994BA80A00005","View Full Record in Web of Science")</f>
      </c>
    </row>
    <row x14ac:dyDescent="0.25" r="535" customHeight="1" ht="12.75">
      <c r="A535" s="1" t="s">
        <v>72</v>
      </c>
      <c r="B535" s="1" t="s">
        <v>4664</v>
      </c>
      <c r="C535" s="1"/>
      <c r="D535" s="1"/>
      <c r="E535" s="1"/>
      <c r="F535" s="1" t="s">
        <v>4664</v>
      </c>
      <c r="G535" s="1"/>
      <c r="H535" s="1"/>
      <c r="I535" s="1" t="s">
        <v>4665</v>
      </c>
      <c r="J535" s="1" t="s">
        <v>4666</v>
      </c>
      <c r="K535" s="1"/>
      <c r="L535" s="1"/>
      <c r="M535" s="1"/>
      <c r="N535" s="1"/>
      <c r="O535" s="1"/>
      <c r="P535" s="2"/>
      <c r="Q535" s="1"/>
      <c r="R535" s="1"/>
      <c r="S535" s="1"/>
      <c r="T535" s="1"/>
      <c r="U535" s="1"/>
      <c r="V535" s="1" t="s">
        <v>4667</v>
      </c>
      <c r="W535" s="1"/>
      <c r="X535" s="1"/>
      <c r="Y535" s="1"/>
      <c r="Z535" s="1"/>
      <c r="AA535" s="1" t="s">
        <v>905</v>
      </c>
      <c r="AB535" s="1"/>
      <c r="AC535" s="1"/>
      <c r="AD535" s="1"/>
      <c r="AE535" s="1"/>
      <c r="AF535" s="1"/>
      <c r="AG535" s="1"/>
      <c r="AH535" s="1"/>
      <c r="AI535" s="1"/>
      <c r="AJ535" s="1"/>
      <c r="AK535" s="1"/>
      <c r="AL535" s="1"/>
      <c r="AM535" s="1"/>
      <c r="AN535" s="1"/>
      <c r="AO535" s="1" t="s">
        <v>4668</v>
      </c>
      <c r="AP535" s="1" t="s">
        <v>4669</v>
      </c>
      <c r="AQ535" s="1"/>
      <c r="AR535" s="1"/>
      <c r="AS535" s="1"/>
      <c r="AT535" s="1" t="s">
        <v>567</v>
      </c>
      <c r="AU535" s="3">
        <v>1993</v>
      </c>
      <c r="AV535" s="3">
        <v>57</v>
      </c>
      <c r="AW535" s="3">
        <v>4</v>
      </c>
      <c r="AX535" s="2"/>
      <c r="AY535" s="2"/>
      <c r="AZ535" s="1"/>
      <c r="BA535" s="2"/>
      <c r="BB535" s="3">
        <v>603</v>
      </c>
      <c r="BC535" s="3">
        <v>608</v>
      </c>
      <c r="BD535" s="2"/>
      <c r="BE535" s="1" t="s">
        <v>4670</v>
      </c>
      <c r="BF535" s="4">
        <f>HYPERLINK("http://dx.doi.org/10.1111/j.1751-1097.1993.tb02924.x","http://dx.doi.org/10.1111/j.1751-1097.1993.tb02924.x")</f>
      </c>
      <c r="BG535" s="1"/>
      <c r="BH535" s="1"/>
      <c r="BI535" s="1"/>
      <c r="BJ535" s="1"/>
      <c r="BK535" s="1"/>
      <c r="BL535" s="1"/>
      <c r="BM535" s="1"/>
      <c r="BN535" s="2"/>
      <c r="BO535" s="1"/>
      <c r="BP535" s="1"/>
      <c r="BQ535" s="1"/>
      <c r="BR535" s="1"/>
      <c r="BS535" s="1" t="s">
        <v>4671</v>
      </c>
      <c r="BT535" s="5">
        <f>HYPERLINK("https%3A%2F%2Fwww.webofscience.com%2Fwos%2Fwoscc%2Ffull-record%2FWOS:A1993LB36600004","View Full Record in Web of Science")</f>
      </c>
    </row>
    <row x14ac:dyDescent="0.25" r="536" customHeight="1" ht="12.75">
      <c r="A536" s="1" t="s">
        <v>303</v>
      </c>
      <c r="B536" s="1" t="s">
        <v>4672</v>
      </c>
      <c r="C536" s="1"/>
      <c r="D536" s="1" t="s">
        <v>4673</v>
      </c>
      <c r="E536" s="1"/>
      <c r="F536" s="1" t="s">
        <v>4672</v>
      </c>
      <c r="G536" s="1"/>
      <c r="H536" s="1"/>
      <c r="I536" s="1" t="s">
        <v>4674</v>
      </c>
      <c r="J536" s="1" t="s">
        <v>4675</v>
      </c>
      <c r="K536" s="1"/>
      <c r="L536" s="1"/>
      <c r="M536" s="1"/>
      <c r="N536" s="1"/>
      <c r="O536" s="1" t="s">
        <v>4676</v>
      </c>
      <c r="P536" s="2" t="s">
        <v>4677</v>
      </c>
      <c r="Q536" s="1" t="s">
        <v>4678</v>
      </c>
      <c r="R536" s="1" t="s">
        <v>4679</v>
      </c>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t="s">
        <v>4680</v>
      </c>
      <c r="AR536" s="1"/>
      <c r="AS536" s="1"/>
      <c r="AT536" s="1"/>
      <c r="AU536" s="3">
        <v>1993</v>
      </c>
      <c r="AV536" s="2"/>
      <c r="AW536" s="2"/>
      <c r="AX536" s="2"/>
      <c r="AY536" s="2"/>
      <c r="AZ536" s="1"/>
      <c r="BA536" s="2"/>
      <c r="BB536" s="3">
        <v>641</v>
      </c>
      <c r="BC536" s="3">
        <v>641</v>
      </c>
      <c r="BD536" s="2"/>
      <c r="BE536" s="1"/>
      <c r="BF536" s="1"/>
      <c r="BG536" s="1"/>
      <c r="BH536" s="1"/>
      <c r="BI536" s="1"/>
      <c r="BJ536" s="1"/>
      <c r="BK536" s="1"/>
      <c r="BL536" s="1"/>
      <c r="BM536" s="1"/>
      <c r="BN536" s="2"/>
      <c r="BO536" s="1"/>
      <c r="BP536" s="1"/>
      <c r="BQ536" s="1"/>
      <c r="BR536" s="1"/>
      <c r="BS536" s="1" t="s">
        <v>4681</v>
      </c>
      <c r="BT536" s="5">
        <f>HYPERLINK("https%3A%2F%2Fwww.webofscience.com%2Fwos%2Fwoscc%2Ffull-record%2FWOS:A1993BC60T00115","View Full Record in Web of Science")</f>
      </c>
    </row>
    <row x14ac:dyDescent="0.25" r="537" customHeight="1" ht="12.75">
      <c r="A537" s="1" t="s">
        <v>72</v>
      </c>
      <c r="B537" s="1" t="s">
        <v>4682</v>
      </c>
      <c r="C537" s="1"/>
      <c r="D537" s="1"/>
      <c r="E537" s="1"/>
      <c r="F537" s="1" t="s">
        <v>4682</v>
      </c>
      <c r="G537" s="1"/>
      <c r="H537" s="1"/>
      <c r="I537" s="1" t="s">
        <v>4683</v>
      </c>
      <c r="J537" s="1" t="s">
        <v>4684</v>
      </c>
      <c r="K537" s="1"/>
      <c r="L537" s="1"/>
      <c r="M537" s="1"/>
      <c r="N537" s="1"/>
      <c r="O537" s="1"/>
      <c r="P537" s="2"/>
      <c r="Q537" s="1"/>
      <c r="R537" s="1"/>
      <c r="S537" s="1"/>
      <c r="T537" s="1"/>
      <c r="U537" s="1"/>
      <c r="V537" s="1" t="s">
        <v>4685</v>
      </c>
      <c r="W537" s="1"/>
      <c r="X537" s="1"/>
      <c r="Y537" s="1"/>
      <c r="Z537" s="1"/>
      <c r="AA537" s="1"/>
      <c r="AB537" s="1"/>
      <c r="AC537" s="1"/>
      <c r="AD537" s="1"/>
      <c r="AE537" s="1"/>
      <c r="AF537" s="1"/>
      <c r="AG537" s="1"/>
      <c r="AH537" s="1"/>
      <c r="AI537" s="1"/>
      <c r="AJ537" s="1"/>
      <c r="AK537" s="1"/>
      <c r="AL537" s="1"/>
      <c r="AM537" s="1"/>
      <c r="AN537" s="1"/>
      <c r="AO537" s="1" t="s">
        <v>4686</v>
      </c>
      <c r="AP537" s="1"/>
      <c r="AQ537" s="1"/>
      <c r="AR537" s="1"/>
      <c r="AS537" s="1"/>
      <c r="AT537" s="1" t="s">
        <v>103</v>
      </c>
      <c r="AU537" s="3">
        <v>1993</v>
      </c>
      <c r="AV537" s="3">
        <v>106</v>
      </c>
      <c r="AW537" s="3">
        <v>1</v>
      </c>
      <c r="AX537" s="2"/>
      <c r="AY537" s="2"/>
      <c r="AZ537" s="1"/>
      <c r="BA537" s="2"/>
      <c r="BB537" s="3">
        <v>1</v>
      </c>
      <c r="BC537" s="3">
        <v>17</v>
      </c>
      <c r="BD537" s="2"/>
      <c r="BE537" s="1" t="s">
        <v>4687</v>
      </c>
      <c r="BF537" s="4">
        <f>HYPERLINK("http://dx.doi.org/10.1007/BF02771501","http://dx.doi.org/10.1007/BF02771501")</f>
      </c>
      <c r="BG537" s="1"/>
      <c r="BH537" s="1"/>
      <c r="BI537" s="1"/>
      <c r="BJ537" s="1"/>
      <c r="BK537" s="1"/>
      <c r="BL537" s="1"/>
      <c r="BM537" s="1"/>
      <c r="BN537" s="2"/>
      <c r="BO537" s="1"/>
      <c r="BP537" s="1"/>
      <c r="BQ537" s="1"/>
      <c r="BR537" s="1"/>
      <c r="BS537" s="1" t="s">
        <v>4688</v>
      </c>
      <c r="BT537" s="5">
        <f>HYPERLINK("https%3A%2F%2Fwww.webofscience.com%2Fwos%2Fwoscc%2Ffull-record%2FWOS:A1993KT80300001","View Full Record in Web of Science")</f>
      </c>
    </row>
    <row x14ac:dyDescent="0.25" r="538" customHeight="1" ht="12.75">
      <c r="A538" s="1" t="s">
        <v>72</v>
      </c>
      <c r="B538" s="1" t="s">
        <v>4689</v>
      </c>
      <c r="C538" s="1"/>
      <c r="D538" s="1"/>
      <c r="E538" s="1"/>
      <c r="F538" s="1" t="s">
        <v>4689</v>
      </c>
      <c r="G538" s="1"/>
      <c r="H538" s="1"/>
      <c r="I538" s="1" t="s">
        <v>4690</v>
      </c>
      <c r="J538" s="1" t="s">
        <v>4691</v>
      </c>
      <c r="K538" s="1"/>
      <c r="L538" s="1"/>
      <c r="M538" s="1"/>
      <c r="N538" s="1"/>
      <c r="O538" s="1"/>
      <c r="P538" s="2"/>
      <c r="Q538" s="1"/>
      <c r="R538" s="1"/>
      <c r="S538" s="1"/>
      <c r="T538" s="1"/>
      <c r="U538" s="1"/>
      <c r="V538" s="1" t="s">
        <v>4692</v>
      </c>
      <c r="W538" s="1"/>
      <c r="X538" s="1"/>
      <c r="Y538" s="1"/>
      <c r="Z538" s="1"/>
      <c r="AA538" s="1"/>
      <c r="AB538" s="1"/>
      <c r="AC538" s="1"/>
      <c r="AD538" s="1"/>
      <c r="AE538" s="1"/>
      <c r="AF538" s="1"/>
      <c r="AG538" s="1"/>
      <c r="AH538" s="1"/>
      <c r="AI538" s="1"/>
      <c r="AJ538" s="1"/>
      <c r="AK538" s="1"/>
      <c r="AL538" s="1"/>
      <c r="AM538" s="1"/>
      <c r="AN538" s="1"/>
      <c r="AO538" s="1" t="s">
        <v>4693</v>
      </c>
      <c r="AP538" s="1"/>
      <c r="AQ538" s="1"/>
      <c r="AR538" s="1"/>
      <c r="AS538" s="1"/>
      <c r="AT538" s="1" t="s">
        <v>137</v>
      </c>
      <c r="AU538" s="3">
        <v>1992</v>
      </c>
      <c r="AV538" s="3">
        <v>8</v>
      </c>
      <c r="AW538" s="3">
        <v>2</v>
      </c>
      <c r="AX538" s="2"/>
      <c r="AY538" s="2"/>
      <c r="AZ538" s="1"/>
      <c r="BA538" s="2"/>
      <c r="BB538" s="3">
        <v>452</v>
      </c>
      <c r="BC538" s="3">
        <v>455</v>
      </c>
      <c r="BD538" s="2"/>
      <c r="BE538" s="1" t="s">
        <v>4694</v>
      </c>
      <c r="BF538" s="4">
        <f>HYPERLINK("http://dx.doi.org/10.1021/la00038a023","http://dx.doi.org/10.1021/la00038a023")</f>
      </c>
      <c r="BG538" s="1"/>
      <c r="BH538" s="1"/>
      <c r="BI538" s="1"/>
      <c r="BJ538" s="1"/>
      <c r="BK538" s="1"/>
      <c r="BL538" s="1"/>
      <c r="BM538" s="1"/>
      <c r="BN538" s="2"/>
      <c r="BO538" s="1"/>
      <c r="BP538" s="1"/>
      <c r="BQ538" s="1"/>
      <c r="BR538" s="1"/>
      <c r="BS538" s="1" t="s">
        <v>4695</v>
      </c>
      <c r="BT538" s="5">
        <f>HYPERLINK("https%3A%2F%2Fwww.webofscience.com%2Fwos%2Fwoscc%2Ffull-record%2FWOS:A1992HG56600023","View Full Record in Web of Science")</f>
      </c>
    </row>
    <row x14ac:dyDescent="0.25" r="539" customHeight="1" ht="12.75">
      <c r="A539" s="1" t="s">
        <v>72</v>
      </c>
      <c r="B539" s="1" t="s">
        <v>4696</v>
      </c>
      <c r="C539" s="1"/>
      <c r="D539" s="1"/>
      <c r="E539" s="1"/>
      <c r="F539" s="1" t="s">
        <v>4696</v>
      </c>
      <c r="G539" s="1"/>
      <c r="H539" s="1"/>
      <c r="I539" s="1" t="s">
        <v>4697</v>
      </c>
      <c r="J539" s="1" t="s">
        <v>3884</v>
      </c>
      <c r="K539" s="1"/>
      <c r="L539" s="1"/>
      <c r="M539" s="1"/>
      <c r="N539" s="1"/>
      <c r="O539" s="1"/>
      <c r="P539" s="2"/>
      <c r="Q539" s="1"/>
      <c r="R539" s="1"/>
      <c r="S539" s="1"/>
      <c r="T539" s="1"/>
      <c r="U539" s="1"/>
      <c r="V539" s="1" t="s">
        <v>4698</v>
      </c>
      <c r="W539" s="1"/>
      <c r="X539" s="1"/>
      <c r="Y539" s="1"/>
      <c r="Z539" s="1"/>
      <c r="AA539" s="1"/>
      <c r="AB539" s="1"/>
      <c r="AC539" s="1"/>
      <c r="AD539" s="1"/>
      <c r="AE539" s="1"/>
      <c r="AF539" s="1"/>
      <c r="AG539" s="1"/>
      <c r="AH539" s="1"/>
      <c r="AI539" s="1"/>
      <c r="AJ539" s="1"/>
      <c r="AK539" s="1"/>
      <c r="AL539" s="1"/>
      <c r="AM539" s="1"/>
      <c r="AN539" s="1"/>
      <c r="AO539" s="1" t="s">
        <v>3885</v>
      </c>
      <c r="AP539" s="1"/>
      <c r="AQ539" s="1"/>
      <c r="AR539" s="1"/>
      <c r="AS539" s="1"/>
      <c r="AT539" s="1" t="s">
        <v>265</v>
      </c>
      <c r="AU539" s="3">
        <v>1990</v>
      </c>
      <c r="AV539" s="3">
        <v>30</v>
      </c>
      <c r="AW539" s="3">
        <v>3</v>
      </c>
      <c r="AX539" s="2"/>
      <c r="AY539" s="2"/>
      <c r="AZ539" s="1"/>
      <c r="BA539" s="2"/>
      <c r="BB539" s="3">
        <v>302</v>
      </c>
      <c r="BC539" s="3">
        <v>307</v>
      </c>
      <c r="BD539" s="2"/>
      <c r="BE539" s="1" t="s">
        <v>4699</v>
      </c>
      <c r="BF539" s="4">
        <f>HYPERLINK("http://dx.doi.org/10.1021/ci00067a014","http://dx.doi.org/10.1021/ci00067a014")</f>
      </c>
      <c r="BG539" s="1"/>
      <c r="BH539" s="1"/>
      <c r="BI539" s="1"/>
      <c r="BJ539" s="1"/>
      <c r="BK539" s="1"/>
      <c r="BL539" s="1"/>
      <c r="BM539" s="1"/>
      <c r="BN539" s="2"/>
      <c r="BO539" s="1"/>
      <c r="BP539" s="1"/>
      <c r="BQ539" s="1"/>
      <c r="BR539" s="1"/>
      <c r="BS539" s="1" t="s">
        <v>4700</v>
      </c>
      <c r="BT539" s="5">
        <f>HYPERLINK("https%3A%2F%2Fwww.webofscience.com%2Fwos%2Fwoscc%2Ffull-record%2FWOS:A1990DV91000014","View Full Record in Web of Science")</f>
      </c>
    </row>
    <row x14ac:dyDescent="0.25" r="540" customHeight="1" ht="12.75">
      <c r="A540" s="1" t="s">
        <v>72</v>
      </c>
      <c r="B540" s="1" t="s">
        <v>4701</v>
      </c>
      <c r="C540" s="1"/>
      <c r="D540" s="1"/>
      <c r="E540" s="1"/>
      <c r="F540" s="1" t="s">
        <v>4701</v>
      </c>
      <c r="G540" s="1"/>
      <c r="H540" s="1"/>
      <c r="I540" s="1" t="s">
        <v>4702</v>
      </c>
      <c r="J540" s="1" t="s">
        <v>3884</v>
      </c>
      <c r="K540" s="1"/>
      <c r="L540" s="1"/>
      <c r="M540" s="1"/>
      <c r="N540" s="1"/>
      <c r="O540" s="1"/>
      <c r="P540" s="2"/>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t="s">
        <v>3885</v>
      </c>
      <c r="AP540" s="1"/>
      <c r="AQ540" s="1"/>
      <c r="AR540" s="1"/>
      <c r="AS540" s="1"/>
      <c r="AT540" s="1" t="s">
        <v>137</v>
      </c>
      <c r="AU540" s="3">
        <v>1990</v>
      </c>
      <c r="AV540" s="3">
        <v>30</v>
      </c>
      <c r="AW540" s="3">
        <v>1</v>
      </c>
      <c r="AX540" s="2"/>
      <c r="AY540" s="2"/>
      <c r="AZ540" s="1"/>
      <c r="BA540" s="2"/>
      <c r="BB540" s="3">
        <v>7</v>
      </c>
      <c r="BC540" s="3">
        <v>12</v>
      </c>
      <c r="BD540" s="2"/>
      <c r="BE540" s="1" t="s">
        <v>4703</v>
      </c>
      <c r="BF540" s="4">
        <f>HYPERLINK("http://dx.doi.org/10.1021/ci00065a003","http://dx.doi.org/10.1021/ci00065a003")</f>
      </c>
      <c r="BG540" s="1"/>
      <c r="BH540" s="1"/>
      <c r="BI540" s="1"/>
      <c r="BJ540" s="1"/>
      <c r="BK540" s="1"/>
      <c r="BL540" s="1"/>
      <c r="BM540" s="1"/>
      <c r="BN540" s="2"/>
      <c r="BO540" s="1"/>
      <c r="BP540" s="1"/>
      <c r="BQ540" s="1"/>
      <c r="BR540" s="1"/>
      <c r="BS540" s="1" t="s">
        <v>4704</v>
      </c>
      <c r="BT540" s="5">
        <f>HYPERLINK("https%3A%2F%2Fwww.webofscience.com%2Fwos%2Fwoscc%2Ffull-record%2FWOS:A1990CP94600003","View Full Record in Web of Science")</f>
      </c>
    </row>
    <row x14ac:dyDescent="0.25" r="541" customHeight="1" ht="12.75">
      <c r="A541" s="1" t="s">
        <v>72</v>
      </c>
      <c r="B541" s="1" t="s">
        <v>4705</v>
      </c>
      <c r="C541" s="1"/>
      <c r="D541" s="1"/>
      <c r="E541" s="1"/>
      <c r="F541" s="1" t="s">
        <v>4705</v>
      </c>
      <c r="G541" s="1"/>
      <c r="H541" s="1"/>
      <c r="I541" s="1" t="s">
        <v>4706</v>
      </c>
      <c r="J541" s="1" t="s">
        <v>4707</v>
      </c>
      <c r="K541" s="1"/>
      <c r="L541" s="1"/>
      <c r="M541" s="1"/>
      <c r="N541" s="1"/>
      <c r="O541" s="1"/>
      <c r="P541" s="2"/>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t="s">
        <v>4708</v>
      </c>
      <c r="AP541" s="1"/>
      <c r="AQ541" s="1"/>
      <c r="AR541" s="1"/>
      <c r="AS541" s="1"/>
      <c r="AT541" s="1" t="s">
        <v>431</v>
      </c>
      <c r="AU541" s="3">
        <v>1989</v>
      </c>
      <c r="AV541" s="3">
        <v>67</v>
      </c>
      <c r="AW541" s="3">
        <v>5</v>
      </c>
      <c r="AX541" s="2"/>
      <c r="AY541" s="2"/>
      <c r="AZ541" s="1"/>
      <c r="BA541" s="2"/>
      <c r="BB541" s="3">
        <v>839</v>
      </c>
      <c r="BC541" s="3">
        <v>845</v>
      </c>
      <c r="BD541" s="2"/>
      <c r="BE541" s="1" t="s">
        <v>4709</v>
      </c>
      <c r="BF541" s="4">
        <f>HYPERLINK("http://dx.doi.org/10.1002/cjce.5450670516","http://dx.doi.org/10.1002/cjce.5450670516")</f>
      </c>
      <c r="BG541" s="1"/>
      <c r="BH541" s="1"/>
      <c r="BI541" s="1"/>
      <c r="BJ541" s="1"/>
      <c r="BK541" s="1"/>
      <c r="BL541" s="1"/>
      <c r="BM541" s="1"/>
      <c r="BN541" s="2"/>
      <c r="BO541" s="1"/>
      <c r="BP541" s="1"/>
      <c r="BQ541" s="1"/>
      <c r="BR541" s="1"/>
      <c r="BS541" s="1" t="s">
        <v>4710</v>
      </c>
      <c r="BT541" s="5">
        <f>HYPERLINK("https%3A%2F%2Fwww.webofscience.com%2Fwos%2Fwoscc%2Ffull-record%2FWOS:A1989CA59200016","View Full Record in Web of Science")</f>
      </c>
    </row>
    <row x14ac:dyDescent="0.25" r="542" customHeight="1" ht="12.75">
      <c r="A542" s="1" t="s">
        <v>72</v>
      </c>
      <c r="B542" s="1" t="s">
        <v>1755</v>
      </c>
      <c r="C542" s="1"/>
      <c r="D542" s="1"/>
      <c r="E542" s="1"/>
      <c r="F542" s="1" t="s">
        <v>1755</v>
      </c>
      <c r="G542" s="1"/>
      <c r="H542" s="1"/>
      <c r="I542" s="1" t="s">
        <v>4711</v>
      </c>
      <c r="J542" s="1" t="s">
        <v>4712</v>
      </c>
      <c r="K542" s="1"/>
      <c r="L542" s="1"/>
      <c r="M542" s="1"/>
      <c r="N542" s="1"/>
      <c r="O542" s="1"/>
      <c r="P542" s="2"/>
      <c r="Q542" s="1"/>
      <c r="R542" s="1"/>
      <c r="S542" s="1"/>
      <c r="T542" s="1"/>
      <c r="U542" s="1"/>
      <c r="V542" s="1" t="s">
        <v>4713</v>
      </c>
      <c r="W542" s="1"/>
      <c r="X542" s="1"/>
      <c r="Y542" s="1"/>
      <c r="Z542" s="1"/>
      <c r="AA542" s="1"/>
      <c r="AB542" s="1"/>
      <c r="AC542" s="1"/>
      <c r="AD542" s="1"/>
      <c r="AE542" s="1"/>
      <c r="AF542" s="1"/>
      <c r="AG542" s="1"/>
      <c r="AH542" s="1"/>
      <c r="AI542" s="1"/>
      <c r="AJ542" s="1"/>
      <c r="AK542" s="1"/>
      <c r="AL542" s="1"/>
      <c r="AM542" s="1"/>
      <c r="AN542" s="1"/>
      <c r="AO542" s="1" t="s">
        <v>4714</v>
      </c>
      <c r="AP542" s="1"/>
      <c r="AQ542" s="1"/>
      <c r="AR542" s="1"/>
      <c r="AS542" s="1"/>
      <c r="AT542" s="1" t="s">
        <v>4715</v>
      </c>
      <c r="AU542" s="3">
        <v>1989</v>
      </c>
      <c r="AV542" s="3">
        <v>996</v>
      </c>
      <c r="AW542" s="3">
        <v>3</v>
      </c>
      <c r="AX542" s="2"/>
      <c r="AY542" s="2"/>
      <c r="AZ542" s="1"/>
      <c r="BA542" s="2"/>
      <c r="BB542" s="3">
        <v>257</v>
      </c>
      <c r="BC542" s="3">
        <v>259</v>
      </c>
      <c r="BD542" s="2"/>
      <c r="BE542" s="1" t="s">
        <v>4716</v>
      </c>
      <c r="BF542" s="4">
        <f>HYPERLINK("http://dx.doi.org/10.1016/0167-4838(89)90256-2","http://dx.doi.org/10.1016/0167-4838(89)90256-2")</f>
      </c>
      <c r="BG542" s="1"/>
      <c r="BH542" s="1"/>
      <c r="BI542" s="1"/>
      <c r="BJ542" s="1"/>
      <c r="BK542" s="1"/>
      <c r="BL542" s="1"/>
      <c r="BM542" s="1"/>
      <c r="BN542" s="3">
        <v>2752048</v>
      </c>
      <c r="BO542" s="1"/>
      <c r="BP542" s="1"/>
      <c r="BQ542" s="1"/>
      <c r="BR542" s="1"/>
      <c r="BS542" s="1" t="s">
        <v>4717</v>
      </c>
      <c r="BT542" s="5">
        <f>HYPERLINK("https%3A%2F%2Fwww.webofscience.com%2Fwos%2Fwoscc%2Ffull-record%2FWOS:A1989AF34400017","View Full Record in Web of Science")</f>
      </c>
    </row>
    <row x14ac:dyDescent="0.25" r="543" customHeight="1" ht="12.75">
      <c r="A543" s="1" t="s">
        <v>72</v>
      </c>
      <c r="B543" s="1" t="s">
        <v>4718</v>
      </c>
      <c r="C543" s="1"/>
      <c r="D543" s="1"/>
      <c r="E543" s="1"/>
      <c r="F543" s="1" t="s">
        <v>4718</v>
      </c>
      <c r="G543" s="1"/>
      <c r="H543" s="1"/>
      <c r="I543" s="1" t="s">
        <v>4719</v>
      </c>
      <c r="J543" s="1" t="s">
        <v>4720</v>
      </c>
      <c r="K543" s="1"/>
      <c r="L543" s="1"/>
      <c r="M543" s="1"/>
      <c r="N543" s="1"/>
      <c r="O543" s="1"/>
      <c r="P543" s="2"/>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t="s">
        <v>4721</v>
      </c>
      <c r="AP543" s="1"/>
      <c r="AQ543" s="1"/>
      <c r="AR543" s="1"/>
      <c r="AS543" s="1"/>
      <c r="AT543" s="1" t="s">
        <v>169</v>
      </c>
      <c r="AU543" s="3">
        <v>1987</v>
      </c>
      <c r="AV543" s="3">
        <v>20</v>
      </c>
      <c r="AW543" s="3">
        <v>2</v>
      </c>
      <c r="AX543" s="2"/>
      <c r="AY543" s="2"/>
      <c r="AZ543" s="1"/>
      <c r="BA543" s="2"/>
      <c r="BB543" s="2" t="s">
        <v>4722</v>
      </c>
      <c r="BC543" s="2" t="s">
        <v>4722</v>
      </c>
      <c r="BD543" s="2"/>
      <c r="BE543" s="1"/>
      <c r="BF543" s="1"/>
      <c r="BG543" s="1"/>
      <c r="BH543" s="1"/>
      <c r="BI543" s="1"/>
      <c r="BJ543" s="1"/>
      <c r="BK543" s="1"/>
      <c r="BL543" s="1"/>
      <c r="BM543" s="1"/>
      <c r="BN543" s="2"/>
      <c r="BO543" s="1"/>
      <c r="BP543" s="1"/>
      <c r="BQ543" s="1"/>
      <c r="BR543" s="1"/>
      <c r="BS543" s="1" t="s">
        <v>4723</v>
      </c>
      <c r="BT543" s="5">
        <f>HYPERLINK("https%3A%2F%2Fwww.webofscience.com%2Fwos%2Fwoscc%2Ffull-record%2FWOS:A1987L151200093","View Full Record in Web of Science")</f>
      </c>
    </row>
    <row x14ac:dyDescent="0.25" r="544" customHeight="1" ht="12.75">
      <c r="A544" s="1" t="s">
        <v>72</v>
      </c>
      <c r="B544" s="1" t="s">
        <v>4724</v>
      </c>
      <c r="C544" s="1"/>
      <c r="D544" s="1"/>
      <c r="E544" s="1"/>
      <c r="F544" s="1" t="s">
        <v>4724</v>
      </c>
      <c r="G544" s="1"/>
      <c r="H544" s="1"/>
      <c r="I544" s="1" t="s">
        <v>4725</v>
      </c>
      <c r="J544" s="1" t="s">
        <v>4726</v>
      </c>
      <c r="K544" s="1"/>
      <c r="L544" s="1"/>
      <c r="M544" s="1"/>
      <c r="N544" s="1"/>
      <c r="O544" s="1"/>
      <c r="P544" s="2"/>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t="s">
        <v>4727</v>
      </c>
      <c r="AP544" s="1"/>
      <c r="AQ544" s="1"/>
      <c r="AR544" s="1"/>
      <c r="AS544" s="1"/>
      <c r="AT544" s="1" t="s">
        <v>605</v>
      </c>
      <c r="AU544" s="3">
        <v>1986</v>
      </c>
      <c r="AV544" s="3">
        <v>2</v>
      </c>
      <c r="AW544" s="2"/>
      <c r="AX544" s="2"/>
      <c r="AY544" s="2"/>
      <c r="AZ544" s="1"/>
      <c r="BA544" s="2"/>
      <c r="BB544" s="3">
        <v>155</v>
      </c>
      <c r="BC544" s="3">
        <v>160</v>
      </c>
      <c r="BD544" s="2"/>
      <c r="BE544" s="1" t="s">
        <v>4728</v>
      </c>
      <c r="BF544" s="4">
        <f>HYPERLINK("http://dx.doi.org/10.1002/masy.19860020116","http://dx.doi.org/10.1002/masy.19860020116")</f>
      </c>
      <c r="BG544" s="1"/>
      <c r="BH544" s="1"/>
      <c r="BI544" s="1"/>
      <c r="BJ544" s="1"/>
      <c r="BK544" s="1"/>
      <c r="BL544" s="1"/>
      <c r="BM544" s="1"/>
      <c r="BN544" s="2"/>
      <c r="BO544" s="1"/>
      <c r="BP544" s="1"/>
      <c r="BQ544" s="1"/>
      <c r="BR544" s="1"/>
      <c r="BS544" s="1" t="s">
        <v>4729</v>
      </c>
      <c r="BT544" s="5">
        <f>HYPERLINK("https%3A%2F%2Fwww.webofscience.com%2Fwos%2Fwoscc%2Ffull-record%2FWOS:A1986C170700015","View Full Record in Web of Science")</f>
      </c>
    </row>
    <row x14ac:dyDescent="0.25" r="545" customHeight="1" ht="12.75">
      <c r="A545" s="1" t="s">
        <v>72</v>
      </c>
      <c r="B545" s="1" t="s">
        <v>4730</v>
      </c>
      <c r="C545" s="1"/>
      <c r="D545" s="1"/>
      <c r="E545" s="1"/>
      <c r="F545" s="1" t="s">
        <v>4730</v>
      </c>
      <c r="G545" s="1"/>
      <c r="H545" s="1"/>
      <c r="I545" s="1" t="s">
        <v>4731</v>
      </c>
      <c r="J545" s="1" t="s">
        <v>3926</v>
      </c>
      <c r="K545" s="1"/>
      <c r="L545" s="1"/>
      <c r="M545" s="1"/>
      <c r="N545" s="1"/>
      <c r="O545" s="1"/>
      <c r="P545" s="2"/>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t="s">
        <v>3927</v>
      </c>
      <c r="AP545" s="1"/>
      <c r="AQ545" s="1"/>
      <c r="AR545" s="1"/>
      <c r="AS545" s="1"/>
      <c r="AT545" s="1"/>
      <c r="AU545" s="3">
        <v>1985</v>
      </c>
      <c r="AV545" s="3">
        <v>48</v>
      </c>
      <c r="AW545" s="3">
        <v>5</v>
      </c>
      <c r="AX545" s="2"/>
      <c r="AY545" s="2"/>
      <c r="AZ545" s="1"/>
      <c r="BA545" s="2"/>
      <c r="BB545" s="3">
        <v>841</v>
      </c>
      <c r="BC545" s="3">
        <v>842</v>
      </c>
      <c r="BD545" s="2"/>
      <c r="BE545" s="1" t="s">
        <v>4732</v>
      </c>
      <c r="BF545" s="4">
        <f>HYPERLINK("http://dx.doi.org/10.1021/np50041a028","http://dx.doi.org/10.1021/np50041a028")</f>
      </c>
      <c r="BG545" s="1"/>
      <c r="BH545" s="1"/>
      <c r="BI545" s="1"/>
      <c r="BJ545" s="1"/>
      <c r="BK545" s="1"/>
      <c r="BL545" s="1"/>
      <c r="BM545" s="1"/>
      <c r="BN545" s="2"/>
      <c r="BO545" s="1"/>
      <c r="BP545" s="1"/>
      <c r="BQ545" s="1"/>
      <c r="BR545" s="1"/>
      <c r="BS545" s="1" t="s">
        <v>4733</v>
      </c>
      <c r="BT545" s="5">
        <f>HYPERLINK("https%3A%2F%2Fwww.webofscience.com%2Fwos%2Fwoscc%2Ffull-record%2FWOS:A1985AVJ5500028","View Full Record in Web of Science")</f>
      </c>
    </row>
    <row x14ac:dyDescent="0.25" r="546" customHeight="1" ht="12.75">
      <c r="A546" s="1" t="s">
        <v>72</v>
      </c>
      <c r="B546" s="1" t="s">
        <v>4734</v>
      </c>
      <c r="C546" s="1"/>
      <c r="D546" s="1"/>
      <c r="E546" s="1"/>
      <c r="F546" s="1" t="s">
        <v>4734</v>
      </c>
      <c r="G546" s="1"/>
      <c r="H546" s="1"/>
      <c r="I546" s="1" t="s">
        <v>4735</v>
      </c>
      <c r="J546" s="1" t="s">
        <v>874</v>
      </c>
      <c r="K546" s="1"/>
      <c r="L546" s="1"/>
      <c r="M546" s="1"/>
      <c r="N546" s="1"/>
      <c r="O546" s="1"/>
      <c r="P546" s="2"/>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t="s">
        <v>876</v>
      </c>
      <c r="AP546" s="1"/>
      <c r="AQ546" s="1"/>
      <c r="AR546" s="1"/>
      <c r="AS546" s="1"/>
      <c r="AT546" s="1"/>
      <c r="AU546" s="3">
        <v>1984</v>
      </c>
      <c r="AV546" s="3">
        <v>101</v>
      </c>
      <c r="AW546" s="3">
        <v>2</v>
      </c>
      <c r="AX546" s="2"/>
      <c r="AY546" s="2"/>
      <c r="AZ546" s="1"/>
      <c r="BA546" s="2"/>
      <c r="BB546" s="3">
        <v>401</v>
      </c>
      <c r="BC546" s="3">
        <v>409</v>
      </c>
      <c r="BD546" s="2"/>
      <c r="BE546" s="1" t="s">
        <v>4736</v>
      </c>
      <c r="BF546" s="4">
        <f>HYPERLINK("http://dx.doi.org/10.1016/0021-9797(84)90051-1","http://dx.doi.org/10.1016/0021-9797(84)90051-1")</f>
      </c>
      <c r="BG546" s="1"/>
      <c r="BH546" s="1"/>
      <c r="BI546" s="1"/>
      <c r="BJ546" s="1"/>
      <c r="BK546" s="1"/>
      <c r="BL546" s="1"/>
      <c r="BM546" s="1"/>
      <c r="BN546" s="2"/>
      <c r="BO546" s="1"/>
      <c r="BP546" s="1"/>
      <c r="BQ546" s="1"/>
      <c r="BR546" s="1"/>
      <c r="BS546" s="1" t="s">
        <v>4737</v>
      </c>
      <c r="BT546" s="5">
        <f>HYPERLINK("https%3A%2F%2Fwww.webofscience.com%2Fwos%2Fwoscc%2Ffull-record%2FWOS:A1984TM71400014","View Full Record in Web of Science")</f>
      </c>
    </row>
    <row x14ac:dyDescent="0.25" r="547" customHeight="1" ht="12.75">
      <c r="A547" s="1" t="s">
        <v>72</v>
      </c>
      <c r="B547" s="1" t="s">
        <v>4738</v>
      </c>
      <c r="C547" s="1"/>
      <c r="D547" s="1"/>
      <c r="E547" s="1"/>
      <c r="F547" s="1" t="s">
        <v>4739</v>
      </c>
      <c r="G547" s="1"/>
      <c r="H547" s="1"/>
      <c r="I547" s="1" t="s">
        <v>4740</v>
      </c>
      <c r="J547" s="1" t="s">
        <v>4741</v>
      </c>
      <c r="K547" s="1"/>
      <c r="L547" s="1"/>
      <c r="M547" s="1"/>
      <c r="N547" s="1"/>
      <c r="O547" s="1"/>
      <c r="P547" s="2"/>
      <c r="Q547" s="1"/>
      <c r="R547" s="1"/>
      <c r="S547" s="1"/>
      <c r="T547" s="1"/>
      <c r="U547" s="1"/>
      <c r="V547" s="1" t="s">
        <v>4742</v>
      </c>
      <c r="W547" s="1"/>
      <c r="X547" s="1"/>
      <c r="Y547" s="1"/>
      <c r="Z547" s="1"/>
      <c r="AA547" s="1"/>
      <c r="AB547" s="1" t="s">
        <v>4743</v>
      </c>
      <c r="AC547" s="1"/>
      <c r="AD547" s="1"/>
      <c r="AE547" s="1"/>
      <c r="AF547" s="1"/>
      <c r="AG547" s="1"/>
      <c r="AH547" s="1"/>
      <c r="AI547" s="1"/>
      <c r="AJ547" s="1"/>
      <c r="AK547" s="1"/>
      <c r="AL547" s="1"/>
      <c r="AM547" s="1"/>
      <c r="AN547" s="1"/>
      <c r="AO547" s="1" t="s">
        <v>4744</v>
      </c>
      <c r="AP547" s="1" t="s">
        <v>4745</v>
      </c>
      <c r="AQ547" s="1"/>
      <c r="AR547" s="1"/>
      <c r="AS547" s="1"/>
      <c r="AT547" s="1" t="s">
        <v>4746</v>
      </c>
      <c r="AU547" s="3">
        <v>2025</v>
      </c>
      <c r="AV547" s="3">
        <v>38</v>
      </c>
      <c r="AW547" s="3">
        <v>3</v>
      </c>
      <c r="AX547" s="2"/>
      <c r="AY547" s="2"/>
      <c r="AZ547" s="1" t="s">
        <v>170</v>
      </c>
      <c r="BA547" s="2"/>
      <c r="BB547" s="3">
        <v>356</v>
      </c>
      <c r="BC547" s="3">
        <v>373</v>
      </c>
      <c r="BD547" s="2"/>
      <c r="BE547" s="1" t="s">
        <v>4747</v>
      </c>
      <c r="BF547" s="4">
        <f>HYPERLINK("http://dx.doi.org/10.1080/09518398.2025.2454293","http://dx.doi.org/10.1080/09518398.2025.2454293")</f>
      </c>
      <c r="BG547" s="1"/>
      <c r="BH547" s="1" t="s">
        <v>955</v>
      </c>
      <c r="BI547" s="1"/>
      <c r="BJ547" s="1"/>
      <c r="BK547" s="1"/>
      <c r="BL547" s="1"/>
      <c r="BM547" s="1"/>
      <c r="BN547" s="2"/>
      <c r="BO547" s="1"/>
      <c r="BP547" s="1"/>
      <c r="BQ547" s="1"/>
      <c r="BR547" s="1"/>
      <c r="BS547" s="1" t="s">
        <v>4748</v>
      </c>
      <c r="BT547" s="5">
        <f>HYPERLINK("https%3A%2F%2Fwww.webofscience.com%2Fwos%2Fwoscc%2Ffull-record%2FWOS:001407002400001","View Full Record in Web of Science")</f>
      </c>
    </row>
    <row x14ac:dyDescent="0.25" r="548" customHeight="1" ht="12.75">
      <c r="A548" s="1" t="s">
        <v>72</v>
      </c>
      <c r="B548" s="1" t="s">
        <v>4749</v>
      </c>
      <c r="C548" s="1"/>
      <c r="D548" s="1"/>
      <c r="E548" s="1"/>
      <c r="F548" s="1" t="s">
        <v>4750</v>
      </c>
      <c r="G548" s="1"/>
      <c r="H548" s="1"/>
      <c r="I548" s="1" t="s">
        <v>4751</v>
      </c>
      <c r="J548" s="1" t="s">
        <v>2592</v>
      </c>
      <c r="K548" s="1"/>
      <c r="L548" s="1"/>
      <c r="M548" s="1"/>
      <c r="N548" s="1"/>
      <c r="O548" s="1"/>
      <c r="P548" s="2"/>
      <c r="Q548" s="1"/>
      <c r="R548" s="1"/>
      <c r="S548" s="1"/>
      <c r="T548" s="1"/>
      <c r="U548" s="1"/>
      <c r="V548" s="1" t="s">
        <v>4752</v>
      </c>
      <c r="W548" s="1"/>
      <c r="X548" s="1"/>
      <c r="Y548" s="1"/>
      <c r="Z548" s="1"/>
      <c r="AA548" s="1"/>
      <c r="AB548" s="1"/>
      <c r="AC548" s="1"/>
      <c r="AD548" s="1"/>
      <c r="AE548" s="1"/>
      <c r="AF548" s="1"/>
      <c r="AG548" s="1"/>
      <c r="AH548" s="1"/>
      <c r="AI548" s="1"/>
      <c r="AJ548" s="1"/>
      <c r="AK548" s="1"/>
      <c r="AL548" s="1"/>
      <c r="AM548" s="1"/>
      <c r="AN548" s="1"/>
      <c r="AO548" s="1" t="s">
        <v>2594</v>
      </c>
      <c r="AP548" s="1" t="s">
        <v>2595</v>
      </c>
      <c r="AQ548" s="1"/>
      <c r="AR548" s="1"/>
      <c r="AS548" s="1"/>
      <c r="AT548" s="1" t="s">
        <v>1592</v>
      </c>
      <c r="AU548" s="3">
        <v>2024</v>
      </c>
      <c r="AV548" s="3">
        <v>21</v>
      </c>
      <c r="AW548" s="3">
        <v>43</v>
      </c>
      <c r="AX548" s="2"/>
      <c r="AY548" s="2"/>
      <c r="AZ548" s="1"/>
      <c r="BA548" s="2"/>
      <c r="BB548" s="2"/>
      <c r="BC548" s="2"/>
      <c r="BD548" s="2"/>
      <c r="BE548" s="1" t="s">
        <v>4753</v>
      </c>
      <c r="BF548" s="4">
        <f>HYPERLINK("http://dx.doi.org/10.21830/19006586.1252","http://dx.doi.org/10.21830/19006586.1252")</f>
      </c>
      <c r="BG548" s="1"/>
      <c r="BH548" s="1"/>
      <c r="BI548" s="1"/>
      <c r="BJ548" s="1"/>
      <c r="BK548" s="1"/>
      <c r="BL548" s="1"/>
      <c r="BM548" s="1"/>
      <c r="BN548" s="2"/>
      <c r="BO548" s="1"/>
      <c r="BP548" s="1"/>
      <c r="BQ548" s="1"/>
      <c r="BR548" s="1"/>
      <c r="BS548" s="1" t="s">
        <v>4754</v>
      </c>
      <c r="BT548" s="5">
        <f>HYPERLINK("https%3A%2F%2Fwww.webofscience.com%2Fwos%2Fwoscc%2Ffull-record%2FWOS:001296541600011","View Full Record in Web of Science")</f>
      </c>
    </row>
    <row x14ac:dyDescent="0.25" r="549" customHeight="1" ht="12.75">
      <c r="A549" s="1" t="s">
        <v>72</v>
      </c>
      <c r="B549" s="1" t="s">
        <v>4755</v>
      </c>
      <c r="C549" s="1"/>
      <c r="D549" s="1"/>
      <c r="E549" s="1"/>
      <c r="F549" s="1" t="s">
        <v>4756</v>
      </c>
      <c r="G549" s="1"/>
      <c r="H549" s="1"/>
      <c r="I549" s="1" t="s">
        <v>4757</v>
      </c>
      <c r="J549" s="1" t="s">
        <v>1907</v>
      </c>
      <c r="K549" s="1"/>
      <c r="L549" s="1"/>
      <c r="M549" s="1"/>
      <c r="N549" s="1"/>
      <c r="O549" s="1"/>
      <c r="P549" s="2"/>
      <c r="Q549" s="1"/>
      <c r="R549" s="1"/>
      <c r="S549" s="1"/>
      <c r="T549" s="1"/>
      <c r="U549" s="1"/>
      <c r="V549" s="1" t="s">
        <v>4758</v>
      </c>
      <c r="W549" s="1"/>
      <c r="X549" s="1"/>
      <c r="Y549" s="1"/>
      <c r="Z549" s="1"/>
      <c r="AA549" s="1"/>
      <c r="AB549" s="1" t="s">
        <v>1909</v>
      </c>
      <c r="AC549" s="1"/>
      <c r="AD549" s="1"/>
      <c r="AE549" s="1"/>
      <c r="AF549" s="1"/>
      <c r="AG549" s="1"/>
      <c r="AH549" s="1"/>
      <c r="AI549" s="1"/>
      <c r="AJ549" s="1"/>
      <c r="AK549" s="1"/>
      <c r="AL549" s="1"/>
      <c r="AM549" s="1"/>
      <c r="AN549" s="1"/>
      <c r="AO549" s="1" t="s">
        <v>1910</v>
      </c>
      <c r="AP549" s="1"/>
      <c r="AQ549" s="1"/>
      <c r="AR549" s="1"/>
      <c r="AS549" s="1"/>
      <c r="AT549" s="1" t="s">
        <v>683</v>
      </c>
      <c r="AU549" s="3">
        <v>2024</v>
      </c>
      <c r="AV549" s="3">
        <v>57</v>
      </c>
      <c r="AW549" s="2"/>
      <c r="AX549" s="2"/>
      <c r="AY549" s="2"/>
      <c r="AZ549" s="1"/>
      <c r="BA549" s="2"/>
      <c r="BB549" s="2"/>
      <c r="BC549" s="2"/>
      <c r="BD549" s="3">
        <v>104328</v>
      </c>
      <c r="BE549" s="1"/>
      <c r="BF549" s="1"/>
      <c r="BG549" s="1"/>
      <c r="BH549" s="1"/>
      <c r="BI549" s="1"/>
      <c r="BJ549" s="1"/>
      <c r="BK549" s="1"/>
      <c r="BL549" s="1"/>
      <c r="BM549" s="1"/>
      <c r="BN549" s="2"/>
      <c r="BO549" s="1"/>
      <c r="BP549" s="1"/>
      <c r="BQ549" s="1"/>
      <c r="BR549" s="1"/>
      <c r="BS549" s="1" t="s">
        <v>4759</v>
      </c>
      <c r="BT549" s="5">
        <f>HYPERLINK("https%3A%2F%2Fwww.webofscience.com%2Fwos%2Fwoscc%2Ffull-record%2FWOS:001224063600001","View Full Record in Web of Science")</f>
      </c>
    </row>
    <row x14ac:dyDescent="0.25" r="550" customHeight="1" ht="12.75">
      <c r="A550" s="1" t="s">
        <v>72</v>
      </c>
      <c r="B550" s="1" t="s">
        <v>4760</v>
      </c>
      <c r="C550" s="1"/>
      <c r="D550" s="1"/>
      <c r="E550" s="1"/>
      <c r="F550" s="1" t="s">
        <v>4761</v>
      </c>
      <c r="G550" s="1"/>
      <c r="H550" s="1"/>
      <c r="I550" s="1" t="s">
        <v>4762</v>
      </c>
      <c r="J550" s="1" t="s">
        <v>4763</v>
      </c>
      <c r="K550" s="1"/>
      <c r="L550" s="1"/>
      <c r="M550" s="1"/>
      <c r="N550" s="1"/>
      <c r="O550" s="1"/>
      <c r="P550" s="2"/>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t="s">
        <v>4764</v>
      </c>
      <c r="AP550" s="1"/>
      <c r="AQ550" s="1"/>
      <c r="AR550" s="1"/>
      <c r="AS550" s="1"/>
      <c r="AT550" s="1"/>
      <c r="AU550" s="3">
        <v>2024</v>
      </c>
      <c r="AV550" s="3">
        <v>42</v>
      </c>
      <c r="AW550" s="3">
        <v>2</v>
      </c>
      <c r="AX550" s="2"/>
      <c r="AY550" s="2"/>
      <c r="AZ550" s="1"/>
      <c r="BA550" s="2"/>
      <c r="BB550" s="3">
        <v>218</v>
      </c>
      <c r="BC550" s="3">
        <v>221</v>
      </c>
      <c r="BD550" s="2"/>
      <c r="BE550" s="1"/>
      <c r="BF550" s="1"/>
      <c r="BG550" s="1"/>
      <c r="BH550" s="1"/>
      <c r="BI550" s="1"/>
      <c r="BJ550" s="1"/>
      <c r="BK550" s="1"/>
      <c r="BL550" s="1"/>
      <c r="BM550" s="1"/>
      <c r="BN550" s="2"/>
      <c r="BO550" s="1"/>
      <c r="BP550" s="1"/>
      <c r="BQ550" s="1"/>
      <c r="BR550" s="1"/>
      <c r="BS550" s="1" t="s">
        <v>4765</v>
      </c>
      <c r="BT550" s="5">
        <f>HYPERLINK("https%3A%2F%2Fwww.webofscience.com%2Fwos%2Fwoscc%2Ffull-record%2FWOS:001352623600011","View Full Record in Web of Science")</f>
      </c>
    </row>
    <row x14ac:dyDescent="0.25" r="551" customHeight="1" ht="12.75">
      <c r="A551" s="1" t="s">
        <v>72</v>
      </c>
      <c r="B551" s="1" t="s">
        <v>4766</v>
      </c>
      <c r="C551" s="1"/>
      <c r="D551" s="1"/>
      <c r="E551" s="1"/>
      <c r="F551" s="1" t="s">
        <v>4767</v>
      </c>
      <c r="G551" s="1"/>
      <c r="H551" s="1"/>
      <c r="I551" s="1" t="s">
        <v>4768</v>
      </c>
      <c r="J551" s="1" t="s">
        <v>1926</v>
      </c>
      <c r="K551" s="1"/>
      <c r="L551" s="1"/>
      <c r="M551" s="1"/>
      <c r="N551" s="1"/>
      <c r="O551" s="1"/>
      <c r="P551" s="2"/>
      <c r="Q551" s="1"/>
      <c r="R551" s="1"/>
      <c r="S551" s="1"/>
      <c r="T551" s="1"/>
      <c r="U551" s="1"/>
      <c r="V551" s="1" t="s">
        <v>4769</v>
      </c>
      <c r="W551" s="1"/>
      <c r="X551" s="1"/>
      <c r="Y551" s="1"/>
      <c r="Z551" s="1"/>
      <c r="AA551" s="1" t="s">
        <v>4770</v>
      </c>
      <c r="AB551" s="1"/>
      <c r="AC551" s="1"/>
      <c r="AD551" s="1"/>
      <c r="AE551" s="1"/>
      <c r="AF551" s="1"/>
      <c r="AG551" s="1"/>
      <c r="AH551" s="1"/>
      <c r="AI551" s="1"/>
      <c r="AJ551" s="1"/>
      <c r="AK551" s="1"/>
      <c r="AL551" s="1"/>
      <c r="AM551" s="1"/>
      <c r="AN551" s="1"/>
      <c r="AO551" s="1" t="s">
        <v>1928</v>
      </c>
      <c r="AP551" s="1"/>
      <c r="AQ551" s="1"/>
      <c r="AR551" s="1"/>
      <c r="AS551" s="1"/>
      <c r="AT551" s="1" t="s">
        <v>265</v>
      </c>
      <c r="AU551" s="3">
        <v>2023</v>
      </c>
      <c r="AV551" s="3">
        <v>52</v>
      </c>
      <c r="AW551" s="2"/>
      <c r="AX551" s="2"/>
      <c r="AY551" s="2"/>
      <c r="AZ551" s="1"/>
      <c r="BA551" s="2"/>
      <c r="BB551" s="2"/>
      <c r="BC551" s="2"/>
      <c r="BD551" s="2"/>
      <c r="BE551" s="1"/>
      <c r="BF551" s="1"/>
      <c r="BG551" s="1"/>
      <c r="BH551" s="1"/>
      <c r="BI551" s="1"/>
      <c r="BJ551" s="1"/>
      <c r="BK551" s="1"/>
      <c r="BL551" s="1"/>
      <c r="BM551" s="1"/>
      <c r="BN551" s="2"/>
      <c r="BO551" s="1"/>
      <c r="BP551" s="1"/>
      <c r="BQ551" s="1"/>
      <c r="BR551" s="1"/>
      <c r="BS551" s="1" t="s">
        <v>4771</v>
      </c>
      <c r="BT551" s="5">
        <f>HYPERLINK("https%3A%2F%2Fwww.webofscience.com%2Fwos%2Fwoscc%2Ffull-record%2FWOS:001078994100002","View Full Record in Web of Science")</f>
      </c>
    </row>
    <row x14ac:dyDescent="0.25" r="552" customHeight="1" ht="12.75">
      <c r="A552" s="1" t="s">
        <v>72</v>
      </c>
      <c r="B552" s="1" t="s">
        <v>969</v>
      </c>
      <c r="C552" s="1"/>
      <c r="D552" s="1"/>
      <c r="E552" s="1"/>
      <c r="F552" s="1" t="s">
        <v>4323</v>
      </c>
      <c r="G552" s="1"/>
      <c r="H552" s="1"/>
      <c r="I552" s="1" t="s">
        <v>4772</v>
      </c>
      <c r="J552" s="1" t="s">
        <v>3322</v>
      </c>
      <c r="K552" s="1"/>
      <c r="L552" s="1"/>
      <c r="M552" s="1"/>
      <c r="N552" s="1"/>
      <c r="O552" s="1"/>
      <c r="P552" s="2"/>
      <c r="Q552" s="1"/>
      <c r="R552" s="1"/>
      <c r="S552" s="1"/>
      <c r="T552" s="1"/>
      <c r="U552" s="1"/>
      <c r="V552" s="1" t="s">
        <v>4773</v>
      </c>
      <c r="W552" s="1"/>
      <c r="X552" s="1"/>
      <c r="Y552" s="1"/>
      <c r="Z552" s="1"/>
      <c r="AA552" s="1"/>
      <c r="AB552" s="1"/>
      <c r="AC552" s="1"/>
      <c r="AD552" s="1"/>
      <c r="AE552" s="1"/>
      <c r="AF552" s="1"/>
      <c r="AG552" s="1"/>
      <c r="AH552" s="1"/>
      <c r="AI552" s="1"/>
      <c r="AJ552" s="1"/>
      <c r="AK552" s="1"/>
      <c r="AL552" s="1"/>
      <c r="AM552" s="1"/>
      <c r="AN552" s="1"/>
      <c r="AO552" s="1" t="s">
        <v>3323</v>
      </c>
      <c r="AP552" s="1" t="s">
        <v>3324</v>
      </c>
      <c r="AQ552" s="1"/>
      <c r="AR552" s="1"/>
      <c r="AS552" s="1"/>
      <c r="AT552" s="1" t="s">
        <v>757</v>
      </c>
      <c r="AU552" s="3">
        <v>2023</v>
      </c>
      <c r="AV552" s="3">
        <v>24</v>
      </c>
      <c r="AW552" s="3">
        <v>39</v>
      </c>
      <c r="AX552" s="2"/>
      <c r="AY552" s="2"/>
      <c r="AZ552" s="1"/>
      <c r="BA552" s="2"/>
      <c r="BB552" s="3">
        <v>17</v>
      </c>
      <c r="BC552" s="3">
        <v>40</v>
      </c>
      <c r="BD552" s="2"/>
      <c r="BE552" s="1"/>
      <c r="BF552" s="1"/>
      <c r="BG552" s="1"/>
      <c r="BH552" s="1"/>
      <c r="BI552" s="1"/>
      <c r="BJ552" s="1"/>
      <c r="BK552" s="1"/>
      <c r="BL552" s="1"/>
      <c r="BM552" s="1"/>
      <c r="BN552" s="2"/>
      <c r="BO552" s="1"/>
      <c r="BP552" s="1"/>
      <c r="BQ552" s="1"/>
      <c r="BR552" s="1"/>
      <c r="BS552" s="1" t="s">
        <v>4774</v>
      </c>
      <c r="BT552" s="5">
        <f>HYPERLINK("https%3A%2F%2Fwww.webofscience.com%2Fwos%2Fwoscc%2Ffull-record%2FWOS:001004544400002","View Full Record in Web of Science")</f>
      </c>
    </row>
    <row x14ac:dyDescent="0.25" r="553" customHeight="1" ht="12.75">
      <c r="A553" s="1" t="s">
        <v>72</v>
      </c>
      <c r="B553" s="1" t="s">
        <v>2598</v>
      </c>
      <c r="C553" s="1"/>
      <c r="D553" s="1"/>
      <c r="E553" s="1"/>
      <c r="F553" s="1" t="s">
        <v>2599</v>
      </c>
      <c r="G553" s="1"/>
      <c r="H553" s="1"/>
      <c r="I553" s="1" t="s">
        <v>4775</v>
      </c>
      <c r="J553" s="1" t="s">
        <v>4776</v>
      </c>
      <c r="K553" s="1"/>
      <c r="L553" s="1"/>
      <c r="M553" s="1"/>
      <c r="N553" s="1"/>
      <c r="O553" s="1"/>
      <c r="P553" s="2"/>
      <c r="Q553" s="1"/>
      <c r="R553" s="1"/>
      <c r="S553" s="1"/>
      <c r="T553" s="1"/>
      <c r="U553" s="1"/>
      <c r="V553" s="1" t="s">
        <v>4777</v>
      </c>
      <c r="W553" s="1"/>
      <c r="X553" s="1"/>
      <c r="Y553" s="1"/>
      <c r="Z553" s="1"/>
      <c r="AA553" s="1"/>
      <c r="AB553" s="1"/>
      <c r="AC553" s="1"/>
      <c r="AD553" s="1"/>
      <c r="AE553" s="1"/>
      <c r="AF553" s="1"/>
      <c r="AG553" s="1"/>
      <c r="AH553" s="1"/>
      <c r="AI553" s="1"/>
      <c r="AJ553" s="1"/>
      <c r="AK553" s="1"/>
      <c r="AL553" s="1"/>
      <c r="AM553" s="1"/>
      <c r="AN553" s="1"/>
      <c r="AO553" s="1" t="s">
        <v>4778</v>
      </c>
      <c r="AP553" s="1" t="s">
        <v>4779</v>
      </c>
      <c r="AQ553" s="1"/>
      <c r="AR553" s="1"/>
      <c r="AS553" s="1"/>
      <c r="AT553" s="1"/>
      <c r="AU553" s="3">
        <v>2023</v>
      </c>
      <c r="AV553" s="3">
        <v>18</v>
      </c>
      <c r="AW553" s="2"/>
      <c r="AX553" s="2"/>
      <c r="AY553" s="2"/>
      <c r="AZ553" s="1"/>
      <c r="BA553" s="2"/>
      <c r="BB553" s="2"/>
      <c r="BC553" s="2"/>
      <c r="BD553" s="2"/>
      <c r="BE553" s="1"/>
      <c r="BF553" s="1"/>
      <c r="BG553" s="1"/>
      <c r="BH553" s="1"/>
      <c r="BI553" s="1"/>
      <c r="BJ553" s="1"/>
      <c r="BK553" s="1"/>
      <c r="BL553" s="1"/>
      <c r="BM553" s="1"/>
      <c r="BN553" s="2"/>
      <c r="BO553" s="1"/>
      <c r="BP553" s="1"/>
      <c r="BQ553" s="1"/>
      <c r="BR553" s="1"/>
      <c r="BS553" s="1" t="s">
        <v>4780</v>
      </c>
      <c r="BT553" s="5">
        <f>HYPERLINK("https%3A%2F%2Fwww.webofscience.com%2Fwos%2Fwoscc%2Ffull-record%2FWOS:001057514100004","View Full Record in Web of Science")</f>
      </c>
    </row>
    <row x14ac:dyDescent="0.25" r="554" customHeight="1" ht="12.75">
      <c r="A554" s="1" t="s">
        <v>72</v>
      </c>
      <c r="B554" s="1" t="s">
        <v>2598</v>
      </c>
      <c r="C554" s="1"/>
      <c r="D554" s="1"/>
      <c r="E554" s="1"/>
      <c r="F554" s="1" t="s">
        <v>2599</v>
      </c>
      <c r="G554" s="1"/>
      <c r="H554" s="1"/>
      <c r="I554" s="1" t="s">
        <v>4781</v>
      </c>
      <c r="J554" s="1" t="s">
        <v>4782</v>
      </c>
      <c r="K554" s="1"/>
      <c r="L554" s="1"/>
      <c r="M554" s="1"/>
      <c r="N554" s="1"/>
      <c r="O554" s="1"/>
      <c r="P554" s="2"/>
      <c r="Q554" s="1"/>
      <c r="R554" s="1"/>
      <c r="S554" s="1"/>
      <c r="T554" s="1"/>
      <c r="U554" s="1"/>
      <c r="V554" s="1" t="s">
        <v>4783</v>
      </c>
      <c r="W554" s="1"/>
      <c r="X554" s="1"/>
      <c r="Y554" s="1"/>
      <c r="Z554" s="1"/>
      <c r="AA554" s="1"/>
      <c r="AB554" s="1"/>
      <c r="AC554" s="1"/>
      <c r="AD554" s="1"/>
      <c r="AE554" s="1"/>
      <c r="AF554" s="1"/>
      <c r="AG554" s="1"/>
      <c r="AH554" s="1"/>
      <c r="AI554" s="1"/>
      <c r="AJ554" s="1"/>
      <c r="AK554" s="1"/>
      <c r="AL554" s="1"/>
      <c r="AM554" s="1"/>
      <c r="AN554" s="1"/>
      <c r="AO554" s="1" t="s">
        <v>4784</v>
      </c>
      <c r="AP554" s="1" t="s">
        <v>4785</v>
      </c>
      <c r="AQ554" s="1"/>
      <c r="AR554" s="1"/>
      <c r="AS554" s="1"/>
      <c r="AT554" s="1"/>
      <c r="AU554" s="3">
        <v>2023</v>
      </c>
      <c r="AV554" s="2"/>
      <c r="AW554" s="3">
        <v>23</v>
      </c>
      <c r="AX554" s="2"/>
      <c r="AY554" s="2"/>
      <c r="AZ554" s="1"/>
      <c r="BA554" s="2"/>
      <c r="BB554" s="3">
        <v>225</v>
      </c>
      <c r="BC554" s="3">
        <v>238</v>
      </c>
      <c r="BD554" s="2"/>
      <c r="BE554" s="1" t="s">
        <v>4786</v>
      </c>
      <c r="BF554" s="4">
        <f>HYPERLINK("http://dx.doi.org/10.22370/rhv2023iss23pp225-238","http://dx.doi.org/10.22370/rhv2023iss23pp225-238")</f>
      </c>
      <c r="BG554" s="1"/>
      <c r="BH554" s="1"/>
      <c r="BI554" s="1"/>
      <c r="BJ554" s="1"/>
      <c r="BK554" s="1"/>
      <c r="BL554" s="1"/>
      <c r="BM554" s="1"/>
      <c r="BN554" s="2"/>
      <c r="BO554" s="1"/>
      <c r="BP554" s="1"/>
      <c r="BQ554" s="1"/>
      <c r="BR554" s="1"/>
      <c r="BS554" s="1" t="s">
        <v>4787</v>
      </c>
      <c r="BT554" s="5">
        <f>HYPERLINK("https%3A%2F%2Fwww.webofscience.com%2Fwos%2Fwoscc%2Ffull-record%2FWOS:001244750300014","View Full Record in Web of Science")</f>
      </c>
    </row>
    <row x14ac:dyDescent="0.25" r="555" customHeight="1" ht="12.75">
      <c r="A555" s="1" t="s">
        <v>303</v>
      </c>
      <c r="B555" s="1" t="s">
        <v>4788</v>
      </c>
      <c r="C555" s="1"/>
      <c r="D555" s="1" t="s">
        <v>4789</v>
      </c>
      <c r="E555" s="1"/>
      <c r="F555" s="1" t="s">
        <v>4790</v>
      </c>
      <c r="G555" s="1"/>
      <c r="H555" s="1"/>
      <c r="I555" s="1" t="s">
        <v>4791</v>
      </c>
      <c r="J555" s="1" t="s">
        <v>4792</v>
      </c>
      <c r="K555" s="1"/>
      <c r="L555" s="1"/>
      <c r="M555" s="1"/>
      <c r="N555" s="1"/>
      <c r="O555" s="1" t="s">
        <v>4793</v>
      </c>
      <c r="P555" s="2" t="s">
        <v>4794</v>
      </c>
      <c r="Q555" s="1" t="s">
        <v>4795</v>
      </c>
      <c r="R555" s="1" t="s">
        <v>4796</v>
      </c>
      <c r="S555" s="1"/>
      <c r="T555" s="1"/>
      <c r="U555" s="1"/>
      <c r="V555" s="1" t="s">
        <v>4797</v>
      </c>
      <c r="W555" s="1"/>
      <c r="X555" s="1"/>
      <c r="Y555" s="1"/>
      <c r="Z555" s="1"/>
      <c r="AA555" s="1"/>
      <c r="AB555" s="1"/>
      <c r="AC555" s="1"/>
      <c r="AD555" s="1"/>
      <c r="AE555" s="1"/>
      <c r="AF555" s="1"/>
      <c r="AG555" s="1"/>
      <c r="AH555" s="1"/>
      <c r="AI555" s="1"/>
      <c r="AJ555" s="1"/>
      <c r="AK555" s="1"/>
      <c r="AL555" s="1"/>
      <c r="AM555" s="1"/>
      <c r="AN555" s="1"/>
      <c r="AO555" s="1"/>
      <c r="AP555" s="1"/>
      <c r="AQ555" s="1" t="s">
        <v>4798</v>
      </c>
      <c r="AR555" s="1"/>
      <c r="AS555" s="1"/>
      <c r="AT555" s="1"/>
      <c r="AU555" s="3">
        <v>2023</v>
      </c>
      <c r="AV555" s="2"/>
      <c r="AW555" s="2"/>
      <c r="AX555" s="2"/>
      <c r="AY555" s="2"/>
      <c r="AZ555" s="1"/>
      <c r="BA555" s="2"/>
      <c r="BB555" s="3">
        <v>45</v>
      </c>
      <c r="BC555" s="3">
        <v>53</v>
      </c>
      <c r="BD555" s="2"/>
      <c r="BE555" s="1" t="s">
        <v>4799</v>
      </c>
      <c r="BF555" s="4">
        <f>HYPERLINK("http://dx.doi.org/10.1201/9781003429241-5","http://dx.doi.org/10.1201/9781003429241-5")</f>
      </c>
      <c r="BG555" s="1"/>
      <c r="BH555" s="1"/>
      <c r="BI555" s="1"/>
      <c r="BJ555" s="1"/>
      <c r="BK555" s="1"/>
      <c r="BL555" s="1"/>
      <c r="BM555" s="1"/>
      <c r="BN555" s="2"/>
      <c r="BO555" s="1"/>
      <c r="BP555" s="1"/>
      <c r="BQ555" s="1"/>
      <c r="BR555" s="1"/>
      <c r="BS555" s="1" t="s">
        <v>4800</v>
      </c>
      <c r="BT555" s="5">
        <f>HYPERLINK("https%3A%2F%2Fwww.webofscience.com%2Fwos%2Fwoscc%2Ffull-record%2FWOS:001457800700005","View Full Record in Web of Science")</f>
      </c>
    </row>
    <row x14ac:dyDescent="0.25" r="556" customHeight="1" ht="12.75">
      <c r="A556" s="1" t="s">
        <v>72</v>
      </c>
      <c r="B556" s="1" t="s">
        <v>4801</v>
      </c>
      <c r="C556" s="1"/>
      <c r="D556" s="1"/>
      <c r="E556" s="1"/>
      <c r="F556" s="1" t="s">
        <v>4802</v>
      </c>
      <c r="G556" s="1"/>
      <c r="H556" s="1"/>
      <c r="I556" s="1" t="s">
        <v>4803</v>
      </c>
      <c r="J556" s="1" t="s">
        <v>1926</v>
      </c>
      <c r="K556" s="1"/>
      <c r="L556" s="1"/>
      <c r="M556" s="1"/>
      <c r="N556" s="1"/>
      <c r="O556" s="1"/>
      <c r="P556" s="2"/>
      <c r="Q556" s="1"/>
      <c r="R556" s="1"/>
      <c r="S556" s="1"/>
      <c r="T556" s="1"/>
      <c r="U556" s="1"/>
      <c r="V556" s="1" t="s">
        <v>4804</v>
      </c>
      <c r="W556" s="1"/>
      <c r="X556" s="1"/>
      <c r="Y556" s="1"/>
      <c r="Z556" s="1"/>
      <c r="AA556" s="1"/>
      <c r="AB556" s="1"/>
      <c r="AC556" s="1"/>
      <c r="AD556" s="1"/>
      <c r="AE556" s="1"/>
      <c r="AF556" s="1"/>
      <c r="AG556" s="1"/>
      <c r="AH556" s="1"/>
      <c r="AI556" s="1"/>
      <c r="AJ556" s="1"/>
      <c r="AK556" s="1"/>
      <c r="AL556" s="1"/>
      <c r="AM556" s="1"/>
      <c r="AN556" s="1"/>
      <c r="AO556" s="1" t="s">
        <v>1928</v>
      </c>
      <c r="AP556" s="1"/>
      <c r="AQ556" s="1"/>
      <c r="AR556" s="1"/>
      <c r="AS556" s="1"/>
      <c r="AT556" s="1" t="s">
        <v>292</v>
      </c>
      <c r="AU556" s="3">
        <v>2022</v>
      </c>
      <c r="AV556" s="3">
        <v>51</v>
      </c>
      <c r="AW556" s="2"/>
      <c r="AX556" s="2"/>
      <c r="AY556" s="2"/>
      <c r="AZ556" s="1"/>
      <c r="BA556" s="2"/>
      <c r="BB556" s="2"/>
      <c r="BC556" s="2"/>
      <c r="BD556" s="2"/>
      <c r="BE556" s="1"/>
      <c r="BF556" s="1"/>
      <c r="BG556" s="1"/>
      <c r="BH556" s="1"/>
      <c r="BI556" s="1"/>
      <c r="BJ556" s="1"/>
      <c r="BK556" s="1"/>
      <c r="BL556" s="1"/>
      <c r="BM556" s="1"/>
      <c r="BN556" s="2"/>
      <c r="BO556" s="1"/>
      <c r="BP556" s="1"/>
      <c r="BQ556" s="1"/>
      <c r="BR556" s="1"/>
      <c r="BS556" s="1" t="s">
        <v>4805</v>
      </c>
      <c r="BT556" s="5">
        <f>HYPERLINK("https%3A%2F%2Fwww.webofscience.com%2Fwos%2Fwoscc%2Ffull-record%2FWOS:000885636900004","View Full Record in Web of Science")</f>
      </c>
    </row>
    <row x14ac:dyDescent="0.25" r="557" customHeight="1" ht="12.75">
      <c r="A557" s="1" t="s">
        <v>72</v>
      </c>
      <c r="B557" s="1" t="s">
        <v>4806</v>
      </c>
      <c r="C557" s="1"/>
      <c r="D557" s="1"/>
      <c r="E557" s="1"/>
      <c r="F557" s="1" t="s">
        <v>4807</v>
      </c>
      <c r="G557" s="1"/>
      <c r="H557" s="1"/>
      <c r="I557" s="1" t="s">
        <v>4808</v>
      </c>
      <c r="J557" s="1" t="s">
        <v>3064</v>
      </c>
      <c r="K557" s="1"/>
      <c r="L557" s="1"/>
      <c r="M557" s="1"/>
      <c r="N557" s="1"/>
      <c r="O557" s="1"/>
      <c r="P557" s="2"/>
      <c r="Q557" s="1"/>
      <c r="R557" s="1"/>
      <c r="S557" s="1"/>
      <c r="T557" s="1"/>
      <c r="U557" s="1"/>
      <c r="V557" s="1" t="s">
        <v>4809</v>
      </c>
      <c r="W557" s="1"/>
      <c r="X557" s="1"/>
      <c r="Y557" s="1"/>
      <c r="Z557" s="1"/>
      <c r="AA557" s="1" t="s">
        <v>4810</v>
      </c>
      <c r="AB557" s="1"/>
      <c r="AC557" s="1"/>
      <c r="AD557" s="1"/>
      <c r="AE557" s="1"/>
      <c r="AF557" s="1"/>
      <c r="AG557" s="1"/>
      <c r="AH557" s="1"/>
      <c r="AI557" s="1"/>
      <c r="AJ557" s="1"/>
      <c r="AK557" s="1"/>
      <c r="AL557" s="1"/>
      <c r="AM557" s="1"/>
      <c r="AN557" s="1"/>
      <c r="AO557" s="1" t="s">
        <v>3066</v>
      </c>
      <c r="AP557" s="1" t="s">
        <v>3067</v>
      </c>
      <c r="AQ557" s="1"/>
      <c r="AR557" s="1"/>
      <c r="AS557" s="1"/>
      <c r="AT557" s="1" t="s">
        <v>265</v>
      </c>
      <c r="AU557" s="3">
        <v>2022</v>
      </c>
      <c r="AV557" s="3">
        <v>150</v>
      </c>
      <c r="AW557" s="3">
        <v>8</v>
      </c>
      <c r="AX557" s="2"/>
      <c r="AY557" s="2"/>
      <c r="AZ557" s="1"/>
      <c r="BA557" s="2"/>
      <c r="BB557" s="3">
        <v>1010</v>
      </c>
      <c r="BC557" s="3">
        <v>1017</v>
      </c>
      <c r="BD557" s="2"/>
      <c r="BE557" s="1"/>
      <c r="BF557" s="1"/>
      <c r="BG557" s="1"/>
      <c r="BH557" s="1"/>
      <c r="BI557" s="1"/>
      <c r="BJ557" s="1"/>
      <c r="BK557" s="1"/>
      <c r="BL557" s="1"/>
      <c r="BM557" s="1"/>
      <c r="BN557" s="3">
        <v>37358148</v>
      </c>
      <c r="BO557" s="1"/>
      <c r="BP557" s="1"/>
      <c r="BQ557" s="1"/>
      <c r="BR557" s="1"/>
      <c r="BS557" s="1" t="s">
        <v>4811</v>
      </c>
      <c r="BT557" s="5">
        <f>HYPERLINK("https%3A%2F%2Fwww.webofscience.com%2Fwos%2Fwoscc%2Ffull-record%2FWOS:000968680200004","View Full Record in Web of Science")</f>
      </c>
    </row>
    <row x14ac:dyDescent="0.25" r="558" customHeight="1" ht="12.75">
      <c r="A558" s="1" t="s">
        <v>72</v>
      </c>
      <c r="B558" s="1" t="s">
        <v>4812</v>
      </c>
      <c r="C558" s="1"/>
      <c r="D558" s="1"/>
      <c r="E558" s="1"/>
      <c r="F558" s="1" t="s">
        <v>4813</v>
      </c>
      <c r="G558" s="1"/>
      <c r="H558" s="1"/>
      <c r="I558" s="1" t="s">
        <v>4814</v>
      </c>
      <c r="J558" s="1" t="s">
        <v>4815</v>
      </c>
      <c r="K558" s="1"/>
      <c r="L558" s="1"/>
      <c r="M558" s="1"/>
      <c r="N558" s="1"/>
      <c r="O558" s="1"/>
      <c r="P558" s="2"/>
      <c r="Q558" s="1"/>
      <c r="R558" s="1"/>
      <c r="S558" s="1"/>
      <c r="T558" s="1"/>
      <c r="U558" s="1"/>
      <c r="V558" s="1" t="s">
        <v>4816</v>
      </c>
      <c r="W558" s="1"/>
      <c r="X558" s="1"/>
      <c r="Y558" s="1"/>
      <c r="Z558" s="1"/>
      <c r="AA558" s="1"/>
      <c r="AB558" s="1"/>
      <c r="AC558" s="1"/>
      <c r="AD558" s="1"/>
      <c r="AE558" s="1"/>
      <c r="AF558" s="1"/>
      <c r="AG558" s="1"/>
      <c r="AH558" s="1"/>
      <c r="AI558" s="1"/>
      <c r="AJ558" s="1"/>
      <c r="AK558" s="1"/>
      <c r="AL558" s="1"/>
      <c r="AM558" s="1"/>
      <c r="AN558" s="1"/>
      <c r="AO558" s="1" t="s">
        <v>4817</v>
      </c>
      <c r="AP558" s="1" t="s">
        <v>4818</v>
      </c>
      <c r="AQ558" s="1"/>
      <c r="AR558" s="1"/>
      <c r="AS558" s="1"/>
      <c r="AT558" s="1" t="s">
        <v>204</v>
      </c>
      <c r="AU558" s="3">
        <v>2021</v>
      </c>
      <c r="AV558" s="3">
        <v>36</v>
      </c>
      <c r="AW558" s="3">
        <v>2</v>
      </c>
      <c r="AX558" s="2"/>
      <c r="AY558" s="2"/>
      <c r="AZ558" s="1"/>
      <c r="BA558" s="2"/>
      <c r="BB558" s="3">
        <v>479</v>
      </c>
      <c r="BC558" s="3">
        <v>495</v>
      </c>
      <c r="BD558" s="2"/>
      <c r="BE558" s="1" t="s">
        <v>4819</v>
      </c>
      <c r="BF558" s="4">
        <f>HYPERLINK("http://dx.doi.org/10.4067/S0718-23762021000200479","http://dx.doi.org/10.4067/S0718-23762021000200479")</f>
      </c>
      <c r="BG558" s="1"/>
      <c r="BH558" s="1"/>
      <c r="BI558" s="1"/>
      <c r="BJ558" s="1"/>
      <c r="BK558" s="1"/>
      <c r="BL558" s="1"/>
      <c r="BM558" s="1"/>
      <c r="BN558" s="2"/>
      <c r="BO558" s="1"/>
      <c r="BP558" s="1"/>
      <c r="BQ558" s="1"/>
      <c r="BR558" s="1"/>
      <c r="BS558" s="1" t="s">
        <v>4820</v>
      </c>
      <c r="BT558" s="5">
        <f>HYPERLINK("https%3A%2F%2Fwww.webofscience.com%2Fwos%2Fwoscc%2Ffull-record%2FWOS:000753303200004","View Full Record in Web of Science")</f>
      </c>
    </row>
    <row x14ac:dyDescent="0.25" r="559" customHeight="1" ht="12.75">
      <c r="A559" s="1" t="s">
        <v>72</v>
      </c>
      <c r="B559" s="1" t="s">
        <v>4821</v>
      </c>
      <c r="C559" s="1"/>
      <c r="D559" s="1"/>
      <c r="E559" s="1"/>
      <c r="F559" s="1" t="s">
        <v>4822</v>
      </c>
      <c r="G559" s="1"/>
      <c r="H559" s="1"/>
      <c r="I559" s="1" t="s">
        <v>4823</v>
      </c>
      <c r="J559" s="1" t="s">
        <v>4824</v>
      </c>
      <c r="K559" s="1"/>
      <c r="L559" s="1"/>
      <c r="M559" s="1"/>
      <c r="N559" s="1"/>
      <c r="O559" s="1"/>
      <c r="P559" s="2"/>
      <c r="Q559" s="1"/>
      <c r="R559" s="1"/>
      <c r="S559" s="1"/>
      <c r="T559" s="1"/>
      <c r="U559" s="1"/>
      <c r="V559" s="1" t="s">
        <v>4825</v>
      </c>
      <c r="W559" s="1"/>
      <c r="X559" s="1"/>
      <c r="Y559" s="1"/>
      <c r="Z559" s="1"/>
      <c r="AA559" s="1" t="s">
        <v>4826</v>
      </c>
      <c r="AB559" s="1" t="s">
        <v>4827</v>
      </c>
      <c r="AC559" s="1"/>
      <c r="AD559" s="1"/>
      <c r="AE559" s="1"/>
      <c r="AF559" s="1"/>
      <c r="AG559" s="1"/>
      <c r="AH559" s="1"/>
      <c r="AI559" s="1"/>
      <c r="AJ559" s="1"/>
      <c r="AK559" s="1"/>
      <c r="AL559" s="1"/>
      <c r="AM559" s="1"/>
      <c r="AN559" s="1"/>
      <c r="AO559" s="1" t="s">
        <v>4828</v>
      </c>
      <c r="AP559" s="1" t="s">
        <v>4829</v>
      </c>
      <c r="AQ559" s="1"/>
      <c r="AR559" s="1"/>
      <c r="AS559" s="1"/>
      <c r="AT559" s="1" t="s">
        <v>204</v>
      </c>
      <c r="AU559" s="3">
        <v>2021</v>
      </c>
      <c r="AV559" s="3">
        <v>9</v>
      </c>
      <c r="AW559" s="3">
        <v>6</v>
      </c>
      <c r="AX559" s="2"/>
      <c r="AY559" s="2"/>
      <c r="AZ559" s="1"/>
      <c r="BA559" s="2"/>
      <c r="BB559" s="2"/>
      <c r="BC559" s="2"/>
      <c r="BD559" s="3">
        <v>106297</v>
      </c>
      <c r="BE559" s="1" t="s">
        <v>4830</v>
      </c>
      <c r="BF559" s="4">
        <f>HYPERLINK("http://dx.doi.org/10.1016/j.jece.2021.106297","http://dx.doi.org/10.1016/j.jece.2021.106297")</f>
      </c>
      <c r="BG559" s="1"/>
      <c r="BH559" s="1" t="s">
        <v>1912</v>
      </c>
      <c r="BI559" s="1"/>
      <c r="BJ559" s="1"/>
      <c r="BK559" s="1"/>
      <c r="BL559" s="1"/>
      <c r="BM559" s="1"/>
      <c r="BN559" s="2"/>
      <c r="BO559" s="1"/>
      <c r="BP559" s="1"/>
      <c r="BQ559" s="1"/>
      <c r="BR559" s="1"/>
      <c r="BS559" s="1" t="s">
        <v>4831</v>
      </c>
      <c r="BT559" s="5">
        <f>HYPERLINK("https%3A%2F%2Fwww.webofscience.com%2Fwos%2Fwoscc%2Ffull-record%2FWOS:000719242300006","View Full Record in Web of Science")</f>
      </c>
    </row>
    <row x14ac:dyDescent="0.25" r="560" customHeight="1" ht="12.75">
      <c r="A560" s="1" t="s">
        <v>72</v>
      </c>
      <c r="B560" s="1" t="s">
        <v>4832</v>
      </c>
      <c r="C560" s="1"/>
      <c r="D560" s="1"/>
      <c r="E560" s="1"/>
      <c r="F560" s="1" t="s">
        <v>4833</v>
      </c>
      <c r="G560" s="1"/>
      <c r="H560" s="1"/>
      <c r="I560" s="1" t="s">
        <v>4834</v>
      </c>
      <c r="J560" s="1" t="s">
        <v>4835</v>
      </c>
      <c r="K560" s="1"/>
      <c r="L560" s="1"/>
      <c r="M560" s="1"/>
      <c r="N560" s="1"/>
      <c r="O560" s="1"/>
      <c r="P560" s="2"/>
      <c r="Q560" s="1"/>
      <c r="R560" s="1"/>
      <c r="S560" s="1"/>
      <c r="T560" s="1"/>
      <c r="U560" s="1"/>
      <c r="V560" s="1" t="s">
        <v>4836</v>
      </c>
      <c r="W560" s="1"/>
      <c r="X560" s="1"/>
      <c r="Y560" s="1"/>
      <c r="Z560" s="1"/>
      <c r="AA560" s="1" t="s">
        <v>1836</v>
      </c>
      <c r="AB560" s="1"/>
      <c r="AC560" s="1"/>
      <c r="AD560" s="1"/>
      <c r="AE560" s="1"/>
      <c r="AF560" s="1"/>
      <c r="AG560" s="1"/>
      <c r="AH560" s="1"/>
      <c r="AI560" s="1"/>
      <c r="AJ560" s="1"/>
      <c r="AK560" s="1"/>
      <c r="AL560" s="1"/>
      <c r="AM560" s="1"/>
      <c r="AN560" s="1"/>
      <c r="AO560" s="1" t="s">
        <v>4837</v>
      </c>
      <c r="AP560" s="1" t="s">
        <v>4838</v>
      </c>
      <c r="AQ560" s="1"/>
      <c r="AR560" s="1"/>
      <c r="AS560" s="1"/>
      <c r="AT560" s="1" t="s">
        <v>3654</v>
      </c>
      <c r="AU560" s="3">
        <v>2021</v>
      </c>
      <c r="AV560" s="3">
        <v>24</v>
      </c>
      <c r="AW560" s="3">
        <v>3</v>
      </c>
      <c r="AX560" s="2"/>
      <c r="AY560" s="2"/>
      <c r="AZ560" s="1"/>
      <c r="BA560" s="2"/>
      <c r="BB560" s="3">
        <v>495</v>
      </c>
      <c r="BC560" s="3">
        <v>504</v>
      </c>
      <c r="BD560" s="2"/>
      <c r="BE560" s="1" t="s">
        <v>4839</v>
      </c>
      <c r="BF560" s="4">
        <f>HYPERLINK("http://dx.doi.org/10.5209/rpub.79247","http://dx.doi.org/10.5209/rpub.79247")</f>
      </c>
      <c r="BG560" s="1"/>
      <c r="BH560" s="1"/>
      <c r="BI560" s="1"/>
      <c r="BJ560" s="1"/>
      <c r="BK560" s="1"/>
      <c r="BL560" s="1"/>
      <c r="BM560" s="1"/>
      <c r="BN560" s="2"/>
      <c r="BO560" s="1"/>
      <c r="BP560" s="1"/>
      <c r="BQ560" s="1"/>
      <c r="BR560" s="1"/>
      <c r="BS560" s="1" t="s">
        <v>4840</v>
      </c>
      <c r="BT560" s="5">
        <f>HYPERLINK("https%3A%2F%2Fwww.webofscience.com%2Fwos%2Fwoscc%2Ffull-record%2FWOS:000734175000016","View Full Record in Web of Science")</f>
      </c>
    </row>
    <row x14ac:dyDescent="0.25" r="561" customHeight="1" ht="12.75">
      <c r="A561" s="1" t="s">
        <v>72</v>
      </c>
      <c r="B561" s="1" t="s">
        <v>4841</v>
      </c>
      <c r="C561" s="1"/>
      <c r="D561" s="1"/>
      <c r="E561" s="1"/>
      <c r="F561" s="1" t="s">
        <v>4842</v>
      </c>
      <c r="G561" s="1"/>
      <c r="H561" s="1"/>
      <c r="I561" s="1" t="s">
        <v>4843</v>
      </c>
      <c r="J561" s="1" t="s">
        <v>4844</v>
      </c>
      <c r="K561" s="1"/>
      <c r="L561" s="1"/>
      <c r="M561" s="1"/>
      <c r="N561" s="1"/>
      <c r="O561" s="1"/>
      <c r="P561" s="2"/>
      <c r="Q561" s="1"/>
      <c r="R561" s="1"/>
      <c r="S561" s="1"/>
      <c r="T561" s="1"/>
      <c r="U561" s="1"/>
      <c r="V561" s="1" t="s">
        <v>4845</v>
      </c>
      <c r="W561" s="1"/>
      <c r="X561" s="1"/>
      <c r="Y561" s="1"/>
      <c r="Z561" s="1"/>
      <c r="AA561" s="1"/>
      <c r="AB561" s="1" t="s">
        <v>4846</v>
      </c>
      <c r="AC561" s="1"/>
      <c r="AD561" s="1"/>
      <c r="AE561" s="1"/>
      <c r="AF561" s="1"/>
      <c r="AG561" s="1"/>
      <c r="AH561" s="1"/>
      <c r="AI561" s="1"/>
      <c r="AJ561" s="1"/>
      <c r="AK561" s="1"/>
      <c r="AL561" s="1"/>
      <c r="AM561" s="1"/>
      <c r="AN561" s="1"/>
      <c r="AO561" s="1" t="s">
        <v>4847</v>
      </c>
      <c r="AP561" s="1"/>
      <c r="AQ561" s="1"/>
      <c r="AR561" s="1"/>
      <c r="AS561" s="1"/>
      <c r="AT561" s="1" t="s">
        <v>3654</v>
      </c>
      <c r="AU561" s="3">
        <v>2021</v>
      </c>
      <c r="AV561" s="3">
        <v>25</v>
      </c>
      <c r="AW561" s="3">
        <v>3</v>
      </c>
      <c r="AX561" s="2"/>
      <c r="AY561" s="2"/>
      <c r="AZ561" s="1"/>
      <c r="BA561" s="2"/>
      <c r="BB561" s="2"/>
      <c r="BC561" s="2"/>
      <c r="BD561" s="2"/>
      <c r="BE561" s="1" t="s">
        <v>4848</v>
      </c>
      <c r="BF561" s="4">
        <f>HYPERLINK("http://dx.doi.org/10.15359/ree.25-3.40","http://dx.doi.org/10.15359/ree.25-3.40")</f>
      </c>
      <c r="BG561" s="1"/>
      <c r="BH561" s="1"/>
      <c r="BI561" s="1"/>
      <c r="BJ561" s="1"/>
      <c r="BK561" s="1"/>
      <c r="BL561" s="1"/>
      <c r="BM561" s="1"/>
      <c r="BN561" s="2"/>
      <c r="BO561" s="1"/>
      <c r="BP561" s="1"/>
      <c r="BQ561" s="1"/>
      <c r="BR561" s="1"/>
      <c r="BS561" s="1" t="s">
        <v>4849</v>
      </c>
      <c r="BT561" s="5">
        <f>HYPERLINK("https%3A%2F%2Fwww.webofscience.com%2Fwos%2Fwoscc%2Ffull-record%2FWOS:000796191500033","View Full Record in Web of Science")</f>
      </c>
    </row>
    <row x14ac:dyDescent="0.25" r="562" customHeight="1" ht="12.75">
      <c r="A562" s="1" t="s">
        <v>72</v>
      </c>
      <c r="B562" s="1" t="s">
        <v>4850</v>
      </c>
      <c r="C562" s="1"/>
      <c r="D562" s="1"/>
      <c r="E562" s="1"/>
      <c r="F562" s="1" t="s">
        <v>4851</v>
      </c>
      <c r="G562" s="1"/>
      <c r="H562" s="1"/>
      <c r="I562" s="1" t="s">
        <v>4852</v>
      </c>
      <c r="J562" s="1" t="s">
        <v>4853</v>
      </c>
      <c r="K562" s="1"/>
      <c r="L562" s="1"/>
      <c r="M562" s="1"/>
      <c r="N562" s="1"/>
      <c r="O562" s="1"/>
      <c r="P562" s="2"/>
      <c r="Q562" s="1"/>
      <c r="R562" s="1"/>
      <c r="S562" s="1"/>
      <c r="T562" s="1"/>
      <c r="U562" s="1"/>
      <c r="V562" s="1" t="s">
        <v>4854</v>
      </c>
      <c r="W562" s="1"/>
      <c r="X562" s="1"/>
      <c r="Y562" s="1"/>
      <c r="Z562" s="1"/>
      <c r="AA562" s="1"/>
      <c r="AB562" s="1"/>
      <c r="AC562" s="1"/>
      <c r="AD562" s="1"/>
      <c r="AE562" s="1"/>
      <c r="AF562" s="1"/>
      <c r="AG562" s="1"/>
      <c r="AH562" s="1"/>
      <c r="AI562" s="1"/>
      <c r="AJ562" s="1"/>
      <c r="AK562" s="1"/>
      <c r="AL562" s="1"/>
      <c r="AM562" s="1"/>
      <c r="AN562" s="1"/>
      <c r="AO562" s="1" t="s">
        <v>4855</v>
      </c>
      <c r="AP562" s="1" t="s">
        <v>4856</v>
      </c>
      <c r="AQ562" s="1"/>
      <c r="AR562" s="1"/>
      <c r="AS562" s="1"/>
      <c r="AT562" s="1" t="s">
        <v>292</v>
      </c>
      <c r="AU562" s="3">
        <v>2021</v>
      </c>
      <c r="AV562" s="3">
        <v>136</v>
      </c>
      <c r="AW562" s="2"/>
      <c r="AX562" s="2"/>
      <c r="AY562" s="2"/>
      <c r="AZ562" s="1"/>
      <c r="BA562" s="2"/>
      <c r="BB562" s="2"/>
      <c r="BC562" s="2"/>
      <c r="BD562" s="3">
        <v>104687</v>
      </c>
      <c r="BE562" s="1" t="s">
        <v>4857</v>
      </c>
      <c r="BF562" s="4">
        <f>HYPERLINK("http://dx.doi.org/10.1016/j.compbiomed.2021.104687","http://dx.doi.org/10.1016/j.compbiomed.2021.104687")</f>
      </c>
      <c r="BG562" s="1"/>
      <c r="BH562" s="1" t="s">
        <v>4858</v>
      </c>
      <c r="BI562" s="1"/>
      <c r="BJ562" s="1"/>
      <c r="BK562" s="1"/>
      <c r="BL562" s="1"/>
      <c r="BM562" s="1"/>
      <c r="BN562" s="3">
        <v>34364259</v>
      </c>
      <c r="BO562" s="1"/>
      <c r="BP562" s="1"/>
      <c r="BQ562" s="1"/>
      <c r="BR562" s="1"/>
      <c r="BS562" s="1" t="s">
        <v>4859</v>
      </c>
      <c r="BT562" s="5">
        <f>HYPERLINK("https%3A%2F%2Fwww.webofscience.com%2Fwos%2Fwoscc%2Ffull-record%2FWOS:000696927400001","View Full Record in Web of Science")</f>
      </c>
    </row>
    <row x14ac:dyDescent="0.25" r="563" customHeight="1" ht="12.75">
      <c r="A563" s="1" t="s">
        <v>72</v>
      </c>
      <c r="B563" s="1" t="s">
        <v>4860</v>
      </c>
      <c r="C563" s="1"/>
      <c r="D563" s="1"/>
      <c r="E563" s="1"/>
      <c r="F563" s="1" t="s">
        <v>4861</v>
      </c>
      <c r="G563" s="1"/>
      <c r="H563" s="1"/>
      <c r="I563" s="1" t="s">
        <v>4862</v>
      </c>
      <c r="J563" s="1" t="s">
        <v>4863</v>
      </c>
      <c r="K563" s="1"/>
      <c r="L563" s="1"/>
      <c r="M563" s="1"/>
      <c r="N563" s="1"/>
      <c r="O563" s="1"/>
      <c r="P563" s="2"/>
      <c r="Q563" s="1"/>
      <c r="R563" s="1"/>
      <c r="S563" s="1"/>
      <c r="T563" s="1"/>
      <c r="U563" s="1"/>
      <c r="V563" s="1" t="s">
        <v>4864</v>
      </c>
      <c r="W563" s="1"/>
      <c r="X563" s="1"/>
      <c r="Y563" s="1"/>
      <c r="Z563" s="1"/>
      <c r="AA563" s="1"/>
      <c r="AB563" s="1" t="s">
        <v>4865</v>
      </c>
      <c r="AC563" s="1"/>
      <c r="AD563" s="1"/>
      <c r="AE563" s="1"/>
      <c r="AF563" s="1"/>
      <c r="AG563" s="1"/>
      <c r="AH563" s="1"/>
      <c r="AI563" s="1"/>
      <c r="AJ563" s="1"/>
      <c r="AK563" s="1"/>
      <c r="AL563" s="1"/>
      <c r="AM563" s="1"/>
      <c r="AN563" s="1"/>
      <c r="AO563" s="1" t="s">
        <v>4866</v>
      </c>
      <c r="AP563" s="1" t="s">
        <v>4867</v>
      </c>
      <c r="AQ563" s="1"/>
      <c r="AR563" s="1"/>
      <c r="AS563" s="1"/>
      <c r="AT563" s="1" t="s">
        <v>683</v>
      </c>
      <c r="AU563" s="3">
        <v>2021</v>
      </c>
      <c r="AV563" s="3">
        <v>36</v>
      </c>
      <c r="AW563" s="3">
        <v>101</v>
      </c>
      <c r="AX563" s="2"/>
      <c r="AY563" s="2"/>
      <c r="AZ563" s="1"/>
      <c r="BA563" s="2"/>
      <c r="BB563" s="3">
        <v>256</v>
      </c>
      <c r="BC563" s="3">
        <v>282</v>
      </c>
      <c r="BD563" s="2"/>
      <c r="BE563" s="1" t="s">
        <v>4868</v>
      </c>
      <c r="BF563" s="4">
        <f>HYPERLINK("http://dx.doi.org/10.4067/S0718-83582021000100256","http://dx.doi.org/10.4067/S0718-83582021000100256")</f>
      </c>
      <c r="BG563" s="1"/>
      <c r="BH563" s="1"/>
      <c r="BI563" s="1"/>
      <c r="BJ563" s="1"/>
      <c r="BK563" s="1"/>
      <c r="BL563" s="1"/>
      <c r="BM563" s="1"/>
      <c r="BN563" s="2"/>
      <c r="BO563" s="1"/>
      <c r="BP563" s="1"/>
      <c r="BQ563" s="1"/>
      <c r="BR563" s="1"/>
      <c r="BS563" s="1" t="s">
        <v>4869</v>
      </c>
      <c r="BT563" s="5">
        <f>HYPERLINK("https%3A%2F%2Fwww.webofscience.com%2Fwos%2Fwoscc%2Ffull-record%2FWOS:000656309400011","View Full Record in Web of Science")</f>
      </c>
    </row>
    <row x14ac:dyDescent="0.25" r="564" customHeight="1" ht="12.75">
      <c r="A564" s="1" t="s">
        <v>72</v>
      </c>
      <c r="B564" s="1" t="s">
        <v>4870</v>
      </c>
      <c r="C564" s="1"/>
      <c r="D564" s="1"/>
      <c r="E564" s="1"/>
      <c r="F564" s="1" t="s">
        <v>4871</v>
      </c>
      <c r="G564" s="1"/>
      <c r="H564" s="1"/>
      <c r="I564" s="1" t="s">
        <v>4872</v>
      </c>
      <c r="J564" s="1" t="s">
        <v>250</v>
      </c>
      <c r="K564" s="1"/>
      <c r="L564" s="1"/>
      <c r="M564" s="1"/>
      <c r="N564" s="1"/>
      <c r="O564" s="1"/>
      <c r="P564" s="2"/>
      <c r="Q564" s="1"/>
      <c r="R564" s="1"/>
      <c r="S564" s="1"/>
      <c r="T564" s="1"/>
      <c r="U564" s="1"/>
      <c r="V564" s="1" t="s">
        <v>4873</v>
      </c>
      <c r="W564" s="1"/>
      <c r="X564" s="1"/>
      <c r="Y564" s="1"/>
      <c r="Z564" s="1"/>
      <c r="AA564" s="1" t="s">
        <v>4874</v>
      </c>
      <c r="AB564" s="1" t="s">
        <v>4875</v>
      </c>
      <c r="AC564" s="1"/>
      <c r="AD564" s="1"/>
      <c r="AE564" s="1"/>
      <c r="AF564" s="1"/>
      <c r="AG564" s="1"/>
      <c r="AH564" s="1"/>
      <c r="AI564" s="1"/>
      <c r="AJ564" s="1"/>
      <c r="AK564" s="1"/>
      <c r="AL564" s="1"/>
      <c r="AM564" s="1"/>
      <c r="AN564" s="1"/>
      <c r="AO564" s="1" t="s">
        <v>252</v>
      </c>
      <c r="AP564" s="1" t="s">
        <v>253</v>
      </c>
      <c r="AQ564" s="1"/>
      <c r="AR564" s="1"/>
      <c r="AS564" s="1"/>
      <c r="AT564" s="1" t="s">
        <v>877</v>
      </c>
      <c r="AU564" s="3">
        <v>2021</v>
      </c>
      <c r="AV564" s="3">
        <v>325</v>
      </c>
      <c r="AW564" s="2"/>
      <c r="AX564" s="2"/>
      <c r="AY564" s="2"/>
      <c r="AZ564" s="1"/>
      <c r="BA564" s="2"/>
      <c r="BB564" s="2"/>
      <c r="BC564" s="2"/>
      <c r="BD564" s="3">
        <v>114655</v>
      </c>
      <c r="BE564" s="1" t="s">
        <v>4876</v>
      </c>
      <c r="BF564" s="4">
        <f>HYPERLINK("http://dx.doi.org/10.1016/j.molliq.2020.114655","http://dx.doi.org/10.1016/j.molliq.2020.114655")</f>
      </c>
      <c r="BG564" s="1"/>
      <c r="BH564" s="1" t="s">
        <v>4877</v>
      </c>
      <c r="BI564" s="1"/>
      <c r="BJ564" s="1"/>
      <c r="BK564" s="1"/>
      <c r="BL564" s="1"/>
      <c r="BM564" s="1"/>
      <c r="BN564" s="2"/>
      <c r="BO564" s="1"/>
      <c r="BP564" s="1"/>
      <c r="BQ564" s="1"/>
      <c r="BR564" s="1"/>
      <c r="BS564" s="1" t="s">
        <v>4878</v>
      </c>
      <c r="BT564" s="5">
        <f>HYPERLINK("https%3A%2F%2Fwww.webofscience.com%2Fwos%2Fwoscc%2Ffull-record%2FWOS:000636695200016","View Full Record in Web of Science")</f>
      </c>
    </row>
    <row x14ac:dyDescent="0.25" r="565" customHeight="1" ht="12.75">
      <c r="A565" s="1" t="s">
        <v>72</v>
      </c>
      <c r="B565" s="1" t="s">
        <v>1010</v>
      </c>
      <c r="C565" s="1"/>
      <c r="D565" s="1"/>
      <c r="E565" s="1"/>
      <c r="F565" s="1" t="s">
        <v>1011</v>
      </c>
      <c r="G565" s="1"/>
      <c r="H565" s="1"/>
      <c r="I565" s="1" t="s">
        <v>4879</v>
      </c>
      <c r="J565" s="1" t="s">
        <v>4880</v>
      </c>
      <c r="K565" s="1"/>
      <c r="L565" s="1"/>
      <c r="M565" s="1"/>
      <c r="N565" s="1"/>
      <c r="O565" s="1"/>
      <c r="P565" s="2"/>
      <c r="Q565" s="1"/>
      <c r="R565" s="1"/>
      <c r="S565" s="1"/>
      <c r="T565" s="1"/>
      <c r="U565" s="1"/>
      <c r="V565" s="1" t="s">
        <v>4881</v>
      </c>
      <c r="W565" s="1"/>
      <c r="X565" s="1"/>
      <c r="Y565" s="1"/>
      <c r="Z565" s="1"/>
      <c r="AA565" s="1" t="s">
        <v>1014</v>
      </c>
      <c r="AB565" s="1" t="s">
        <v>1015</v>
      </c>
      <c r="AC565" s="1"/>
      <c r="AD565" s="1"/>
      <c r="AE565" s="1"/>
      <c r="AF565" s="1"/>
      <c r="AG565" s="1"/>
      <c r="AH565" s="1"/>
      <c r="AI565" s="1"/>
      <c r="AJ565" s="1"/>
      <c r="AK565" s="1"/>
      <c r="AL565" s="1"/>
      <c r="AM565" s="1"/>
      <c r="AN565" s="1"/>
      <c r="AO565" s="1" t="s">
        <v>4882</v>
      </c>
      <c r="AP565" s="1" t="s">
        <v>4883</v>
      </c>
      <c r="AQ565" s="1"/>
      <c r="AR565" s="1"/>
      <c r="AS565" s="1"/>
      <c r="AT565" s="1" t="s">
        <v>4221</v>
      </c>
      <c r="AU565" s="3">
        <v>2021</v>
      </c>
      <c r="AV565" s="3">
        <v>44</v>
      </c>
      <c r="AW565" s="3">
        <v>1</v>
      </c>
      <c r="AX565" s="2"/>
      <c r="AY565" s="2"/>
      <c r="AZ565" s="1" t="s">
        <v>170</v>
      </c>
      <c r="BA565" s="2"/>
      <c r="BB565" s="3">
        <v>1</v>
      </c>
      <c r="BC565" s="3">
        <v>2</v>
      </c>
      <c r="BD565" s="2"/>
      <c r="BE565" s="1" t="s">
        <v>4884</v>
      </c>
      <c r="BF565" s="4">
        <f>HYPERLINK("http://dx.doi.org/10.1080/01900692.2019.1666411","http://dx.doi.org/10.1080/01900692.2019.1666411")</f>
      </c>
      <c r="BG565" s="1"/>
      <c r="BH565" s="1"/>
      <c r="BI565" s="1"/>
      <c r="BJ565" s="1"/>
      <c r="BK565" s="1"/>
      <c r="BL565" s="1"/>
      <c r="BM565" s="1"/>
      <c r="BN565" s="2"/>
      <c r="BO565" s="1"/>
      <c r="BP565" s="1"/>
      <c r="BQ565" s="1"/>
      <c r="BR565" s="1"/>
      <c r="BS565" s="1" t="s">
        <v>4885</v>
      </c>
      <c r="BT565" s="5">
        <f>HYPERLINK("https%3A%2F%2Fwww.webofscience.com%2Fwos%2Fwoscc%2Ffull-record%2FWOS:000596179500001","View Full Record in Web of Science")</f>
      </c>
    </row>
    <row x14ac:dyDescent="0.25" r="566" customHeight="1" ht="12.75">
      <c r="A566" s="1" t="s">
        <v>267</v>
      </c>
      <c r="B566" s="1" t="s">
        <v>268</v>
      </c>
      <c r="C566" s="1" t="s">
        <v>268</v>
      </c>
      <c r="D566" s="1"/>
      <c r="E566" s="1"/>
      <c r="F566" s="1" t="s">
        <v>269</v>
      </c>
      <c r="G566" s="1" t="s">
        <v>268</v>
      </c>
      <c r="H566" s="1"/>
      <c r="I566" s="1" t="s">
        <v>4886</v>
      </c>
      <c r="J566" s="1" t="s">
        <v>271</v>
      </c>
      <c r="K566" s="1" t="s">
        <v>272</v>
      </c>
      <c r="L566" s="1"/>
      <c r="M566" s="1"/>
      <c r="N566" s="1"/>
      <c r="O566" s="1"/>
      <c r="P566" s="2"/>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t="s">
        <v>273</v>
      </c>
      <c r="AR566" s="1"/>
      <c r="AS566" s="1"/>
      <c r="AT566" s="1"/>
      <c r="AU566" s="3">
        <v>2021</v>
      </c>
      <c r="AV566" s="2"/>
      <c r="AW566" s="2"/>
      <c r="AX566" s="2"/>
      <c r="AY566" s="2"/>
      <c r="AZ566" s="1"/>
      <c r="BA566" s="2"/>
      <c r="BB566" s="3">
        <v>24</v>
      </c>
      <c r="BC566" s="3">
        <v>56</v>
      </c>
      <c r="BD566" s="2"/>
      <c r="BE566" s="1"/>
      <c r="BF566" s="1"/>
      <c r="BG566" s="1" t="s">
        <v>274</v>
      </c>
      <c r="BH566" s="1"/>
      <c r="BI566" s="1"/>
      <c r="BJ566" s="1"/>
      <c r="BK566" s="1"/>
      <c r="BL566" s="1"/>
      <c r="BM566" s="1"/>
      <c r="BN566" s="2"/>
      <c r="BO566" s="1"/>
      <c r="BP566" s="1"/>
      <c r="BQ566" s="1"/>
      <c r="BR566" s="1"/>
      <c r="BS566" s="1" t="s">
        <v>4887</v>
      </c>
      <c r="BT566" s="5">
        <f>HYPERLINK("https%3A%2F%2Fwww.webofscience.com%2Fwos%2Fwoscc%2Ffull-record%2FWOS:000807304300002","View Full Record in Web of Science")</f>
      </c>
    </row>
    <row x14ac:dyDescent="0.25" r="567" customHeight="1" ht="12.75">
      <c r="A567" s="1" t="s">
        <v>72</v>
      </c>
      <c r="B567" s="1" t="s">
        <v>4888</v>
      </c>
      <c r="C567" s="1"/>
      <c r="D567" s="1"/>
      <c r="E567" s="1"/>
      <c r="F567" s="1" t="s">
        <v>4889</v>
      </c>
      <c r="G567" s="1"/>
      <c r="H567" s="1"/>
      <c r="I567" s="1" t="s">
        <v>4890</v>
      </c>
      <c r="J567" s="1" t="s">
        <v>1061</v>
      </c>
      <c r="K567" s="1"/>
      <c r="L567" s="1"/>
      <c r="M567" s="1"/>
      <c r="N567" s="1"/>
      <c r="O567" s="1"/>
      <c r="P567" s="2"/>
      <c r="Q567" s="1"/>
      <c r="R567" s="1"/>
      <c r="S567" s="1"/>
      <c r="T567" s="1"/>
      <c r="U567" s="1"/>
      <c r="V567" s="1" t="s">
        <v>4891</v>
      </c>
      <c r="W567" s="1"/>
      <c r="X567" s="1"/>
      <c r="Y567" s="1"/>
      <c r="Z567" s="1"/>
      <c r="AA567" s="1"/>
      <c r="AB567" s="1"/>
      <c r="AC567" s="1"/>
      <c r="AD567" s="1"/>
      <c r="AE567" s="1"/>
      <c r="AF567" s="1"/>
      <c r="AG567" s="1"/>
      <c r="AH567" s="1"/>
      <c r="AI567" s="1"/>
      <c r="AJ567" s="1"/>
      <c r="AK567" s="1"/>
      <c r="AL567" s="1"/>
      <c r="AM567" s="1"/>
      <c r="AN567" s="1"/>
      <c r="AO567" s="1" t="s">
        <v>1063</v>
      </c>
      <c r="AP567" s="1" t="s">
        <v>1064</v>
      </c>
      <c r="AQ567" s="1"/>
      <c r="AR567" s="1"/>
      <c r="AS567" s="1"/>
      <c r="AT567" s="1"/>
      <c r="AU567" s="3">
        <v>2021</v>
      </c>
      <c r="AV567" s="3">
        <v>13</v>
      </c>
      <c r="AW567" s="3">
        <v>2</v>
      </c>
      <c r="AX567" s="2"/>
      <c r="AY567" s="2"/>
      <c r="AZ567" s="1"/>
      <c r="BA567" s="2"/>
      <c r="BB567" s="3">
        <v>8</v>
      </c>
      <c r="BC567" s="3">
        <v>18</v>
      </c>
      <c r="BD567" s="2"/>
      <c r="BE567" s="1"/>
      <c r="BF567" s="1"/>
      <c r="BG567" s="1"/>
      <c r="BH567" s="1"/>
      <c r="BI567" s="1"/>
      <c r="BJ567" s="1"/>
      <c r="BK567" s="1"/>
      <c r="BL567" s="1"/>
      <c r="BM567" s="1"/>
      <c r="BN567" s="2"/>
      <c r="BO567" s="1"/>
      <c r="BP567" s="1"/>
      <c r="BQ567" s="1"/>
      <c r="BR567" s="1"/>
      <c r="BS567" s="1" t="s">
        <v>4892</v>
      </c>
      <c r="BT567" s="5">
        <f>HYPERLINK("https%3A%2F%2Fwww.webofscience.com%2Fwos%2Fwoscc%2Ffull-record%2FWOS:000740735300002","View Full Record in Web of Science")</f>
      </c>
    </row>
    <row x14ac:dyDescent="0.25" r="568" customHeight="1" ht="12.75">
      <c r="A568" s="1" t="s">
        <v>72</v>
      </c>
      <c r="B568" s="1" t="s">
        <v>4893</v>
      </c>
      <c r="C568" s="1"/>
      <c r="D568" s="1"/>
      <c r="E568" s="1"/>
      <c r="F568" s="1" t="s">
        <v>4894</v>
      </c>
      <c r="G568" s="1"/>
      <c r="H568" s="1"/>
      <c r="I568" s="1" t="s">
        <v>4895</v>
      </c>
      <c r="J568" s="1" t="s">
        <v>4896</v>
      </c>
      <c r="K568" s="1"/>
      <c r="L568" s="1"/>
      <c r="M568" s="1"/>
      <c r="N568" s="1"/>
      <c r="O568" s="1"/>
      <c r="P568" s="2"/>
      <c r="Q568" s="1"/>
      <c r="R568" s="1"/>
      <c r="S568" s="1"/>
      <c r="T568" s="1"/>
      <c r="U568" s="1"/>
      <c r="V568" s="1" t="s">
        <v>4897</v>
      </c>
      <c r="W568" s="1"/>
      <c r="X568" s="1"/>
      <c r="Y568" s="1"/>
      <c r="Z568" s="1"/>
      <c r="AA568" s="1" t="s">
        <v>4898</v>
      </c>
      <c r="AB568" s="1" t="s">
        <v>4899</v>
      </c>
      <c r="AC568" s="1"/>
      <c r="AD568" s="1"/>
      <c r="AE568" s="1"/>
      <c r="AF568" s="1"/>
      <c r="AG568" s="1"/>
      <c r="AH568" s="1"/>
      <c r="AI568" s="1"/>
      <c r="AJ568" s="1"/>
      <c r="AK568" s="1"/>
      <c r="AL568" s="1"/>
      <c r="AM568" s="1"/>
      <c r="AN568" s="1"/>
      <c r="AO568" s="1" t="s">
        <v>4900</v>
      </c>
      <c r="AP568" s="1" t="s">
        <v>4901</v>
      </c>
      <c r="AQ568" s="1"/>
      <c r="AR568" s="1"/>
      <c r="AS568" s="1"/>
      <c r="AT568" s="1" t="s">
        <v>4902</v>
      </c>
      <c r="AU568" s="3">
        <v>2020</v>
      </c>
      <c r="AV568" s="3">
        <v>263</v>
      </c>
      <c r="AW568" s="2"/>
      <c r="AX568" s="2"/>
      <c r="AY568" s="2"/>
      <c r="AZ568" s="1"/>
      <c r="BA568" s="2"/>
      <c r="BB568" s="2"/>
      <c r="BC568" s="2"/>
      <c r="BD568" s="3">
        <v>119867</v>
      </c>
      <c r="BE568" s="1" t="s">
        <v>4903</v>
      </c>
      <c r="BF568" s="4">
        <f>HYPERLINK("http://dx.doi.org/10.1016/j.conbuildmat.2020.119867","http://dx.doi.org/10.1016/j.conbuildmat.2020.119867")</f>
      </c>
      <c r="BG568" s="1"/>
      <c r="BH568" s="1"/>
      <c r="BI568" s="1"/>
      <c r="BJ568" s="1"/>
      <c r="BK568" s="1"/>
      <c r="BL568" s="1"/>
      <c r="BM568" s="1"/>
      <c r="BN568" s="2"/>
      <c r="BO568" s="1"/>
      <c r="BP568" s="1"/>
      <c r="BQ568" s="1"/>
      <c r="BR568" s="1"/>
      <c r="BS568" s="1" t="s">
        <v>4904</v>
      </c>
      <c r="BT568" s="5">
        <f>HYPERLINK("https%3A%2F%2Fwww.webofscience.com%2Fwos%2Fwoscc%2Ffull-record%2FWOS:000582567100003","View Full Record in Web of Science")</f>
      </c>
    </row>
    <row x14ac:dyDescent="0.25" r="569" customHeight="1" ht="12.75">
      <c r="A569" s="1" t="s">
        <v>72</v>
      </c>
      <c r="B569" s="1" t="s">
        <v>4905</v>
      </c>
      <c r="C569" s="1"/>
      <c r="D569" s="1"/>
      <c r="E569" s="1"/>
      <c r="F569" s="1" t="s">
        <v>4906</v>
      </c>
      <c r="G569" s="1"/>
      <c r="H569" s="1"/>
      <c r="I569" s="1" t="s">
        <v>4907</v>
      </c>
      <c r="J569" s="1" t="s">
        <v>4908</v>
      </c>
      <c r="K569" s="1"/>
      <c r="L569" s="1"/>
      <c r="M569" s="1"/>
      <c r="N569" s="1"/>
      <c r="O569" s="1"/>
      <c r="P569" s="2"/>
      <c r="Q569" s="1"/>
      <c r="R569" s="1"/>
      <c r="S569" s="1"/>
      <c r="T569" s="1"/>
      <c r="U569" s="1"/>
      <c r="V569" s="1" t="s">
        <v>4909</v>
      </c>
      <c r="W569" s="1"/>
      <c r="X569" s="1"/>
      <c r="Y569" s="1"/>
      <c r="Z569" s="1"/>
      <c r="AA569" s="1" t="s">
        <v>4910</v>
      </c>
      <c r="AB569" s="1" t="s">
        <v>4911</v>
      </c>
      <c r="AC569" s="1"/>
      <c r="AD569" s="1"/>
      <c r="AE569" s="1"/>
      <c r="AF569" s="1"/>
      <c r="AG569" s="1"/>
      <c r="AH569" s="1"/>
      <c r="AI569" s="1"/>
      <c r="AJ569" s="1"/>
      <c r="AK569" s="1"/>
      <c r="AL569" s="1"/>
      <c r="AM569" s="1"/>
      <c r="AN569" s="1"/>
      <c r="AO569" s="1" t="s">
        <v>4912</v>
      </c>
      <c r="AP569" s="1"/>
      <c r="AQ569" s="1"/>
      <c r="AR569" s="1"/>
      <c r="AS569" s="1"/>
      <c r="AT569" s="1" t="s">
        <v>4913</v>
      </c>
      <c r="AU569" s="3">
        <v>2020</v>
      </c>
      <c r="AV569" s="3">
        <v>19</v>
      </c>
      <c r="AW569" s="3">
        <v>1</v>
      </c>
      <c r="AX569" s="2"/>
      <c r="AY569" s="2"/>
      <c r="AZ569" s="1"/>
      <c r="BA569" s="2"/>
      <c r="BB569" s="2"/>
      <c r="BC569" s="2"/>
      <c r="BD569" s="3">
        <v>24</v>
      </c>
      <c r="BE569" s="1" t="s">
        <v>4914</v>
      </c>
      <c r="BF569" s="4">
        <f>HYPERLINK("http://dx.doi.org/10.1186/s12942-020-00217-1","http://dx.doi.org/10.1186/s12942-020-00217-1")</f>
      </c>
      <c r="BG569" s="1"/>
      <c r="BH569" s="1"/>
      <c r="BI569" s="1"/>
      <c r="BJ569" s="1"/>
      <c r="BK569" s="1"/>
      <c r="BL569" s="1"/>
      <c r="BM569" s="1"/>
      <c r="BN569" s="3">
        <v>32576179</v>
      </c>
      <c r="BO569" s="1"/>
      <c r="BP569" s="1"/>
      <c r="BQ569" s="1"/>
      <c r="BR569" s="1"/>
      <c r="BS569" s="1" t="s">
        <v>4915</v>
      </c>
      <c r="BT569" s="5">
        <f>HYPERLINK("https%3A%2F%2Fwww.webofscience.com%2Fwos%2Fwoscc%2Ffull-record%2FWOS:000544687600001","View Full Record in Web of Science")</f>
      </c>
    </row>
    <row x14ac:dyDescent="0.25" r="570" customHeight="1" ht="12.75">
      <c r="A570" s="1" t="s">
        <v>72</v>
      </c>
      <c r="B570" s="1" t="s">
        <v>4916</v>
      </c>
      <c r="C570" s="1"/>
      <c r="D570" s="1"/>
      <c r="E570" s="1"/>
      <c r="F570" s="1" t="s">
        <v>4917</v>
      </c>
      <c r="G570" s="1"/>
      <c r="H570" s="1"/>
      <c r="I570" s="1" t="s">
        <v>4918</v>
      </c>
      <c r="J570" s="1" t="s">
        <v>358</v>
      </c>
      <c r="K570" s="1"/>
      <c r="L570" s="1"/>
      <c r="M570" s="1"/>
      <c r="N570" s="1"/>
      <c r="O570" s="1"/>
      <c r="P570" s="2"/>
      <c r="Q570" s="1"/>
      <c r="R570" s="1"/>
      <c r="S570" s="1"/>
      <c r="T570" s="1"/>
      <c r="U570" s="1"/>
      <c r="V570" s="1" t="s">
        <v>4919</v>
      </c>
      <c r="W570" s="1"/>
      <c r="X570" s="1"/>
      <c r="Y570" s="1"/>
      <c r="Z570" s="1"/>
      <c r="AA570" s="1" t="s">
        <v>450</v>
      </c>
      <c r="AB570" s="1"/>
      <c r="AC570" s="1"/>
      <c r="AD570" s="1"/>
      <c r="AE570" s="1"/>
      <c r="AF570" s="1"/>
      <c r="AG570" s="1"/>
      <c r="AH570" s="1"/>
      <c r="AI570" s="1"/>
      <c r="AJ570" s="1"/>
      <c r="AK570" s="1"/>
      <c r="AL570" s="1"/>
      <c r="AM570" s="1"/>
      <c r="AN570" s="1"/>
      <c r="AO570" s="1" t="s">
        <v>359</v>
      </c>
      <c r="AP570" s="1"/>
      <c r="AQ570" s="1"/>
      <c r="AR570" s="1"/>
      <c r="AS570" s="1"/>
      <c r="AT570" s="1" t="s">
        <v>181</v>
      </c>
      <c r="AU570" s="3">
        <v>2020</v>
      </c>
      <c r="AV570" s="3">
        <v>53</v>
      </c>
      <c r="AW570" s="3">
        <v>1</v>
      </c>
      <c r="AX570" s="2"/>
      <c r="AY570" s="2"/>
      <c r="AZ570" s="1"/>
      <c r="BA570" s="2"/>
      <c r="BB570" s="3">
        <v>73</v>
      </c>
      <c r="BC570" s="3">
        <v>100</v>
      </c>
      <c r="BD570" s="2"/>
      <c r="BE570" s="1"/>
      <c r="BF570" s="1"/>
      <c r="BG570" s="1"/>
      <c r="BH570" s="1"/>
      <c r="BI570" s="1"/>
      <c r="BJ570" s="1"/>
      <c r="BK570" s="1"/>
      <c r="BL570" s="1"/>
      <c r="BM570" s="1"/>
      <c r="BN570" s="2"/>
      <c r="BO570" s="1"/>
      <c r="BP570" s="1"/>
      <c r="BQ570" s="1"/>
      <c r="BR570" s="1"/>
      <c r="BS570" s="1" t="s">
        <v>4920</v>
      </c>
      <c r="BT570" s="5">
        <f>HYPERLINK("https%3A%2F%2Fwww.webofscience.com%2Fwos%2Fwoscc%2Ffull-record%2FWOS:000612329900003","View Full Record in Web of Science")</f>
      </c>
    </row>
    <row x14ac:dyDescent="0.25" r="571" customHeight="1" ht="12.75">
      <c r="A571" s="1" t="s">
        <v>72</v>
      </c>
      <c r="B571" s="1" t="s">
        <v>4921</v>
      </c>
      <c r="C571" s="1"/>
      <c r="D571" s="1"/>
      <c r="E571" s="1"/>
      <c r="F571" s="1" t="s">
        <v>4922</v>
      </c>
      <c r="G571" s="1"/>
      <c r="H571" s="1"/>
      <c r="I571" s="1" t="s">
        <v>4923</v>
      </c>
      <c r="J571" s="1" t="s">
        <v>4924</v>
      </c>
      <c r="K571" s="1"/>
      <c r="L571" s="1"/>
      <c r="M571" s="1"/>
      <c r="N571" s="1"/>
      <c r="O571" s="1"/>
      <c r="P571" s="2"/>
      <c r="Q571" s="1"/>
      <c r="R571" s="1"/>
      <c r="S571" s="1"/>
      <c r="T571" s="1"/>
      <c r="U571" s="1"/>
      <c r="V571" s="1" t="s">
        <v>4925</v>
      </c>
      <c r="W571" s="1"/>
      <c r="X571" s="1"/>
      <c r="Y571" s="1"/>
      <c r="Z571" s="1"/>
      <c r="AA571" s="1"/>
      <c r="AB571" s="1"/>
      <c r="AC571" s="1"/>
      <c r="AD571" s="1"/>
      <c r="AE571" s="1"/>
      <c r="AF571" s="1"/>
      <c r="AG571" s="1"/>
      <c r="AH571" s="1"/>
      <c r="AI571" s="1"/>
      <c r="AJ571" s="1"/>
      <c r="AK571" s="1"/>
      <c r="AL571" s="1"/>
      <c r="AM571" s="1"/>
      <c r="AN571" s="1"/>
      <c r="AO571" s="1" t="s">
        <v>4926</v>
      </c>
      <c r="AP571" s="1" t="s">
        <v>4927</v>
      </c>
      <c r="AQ571" s="1"/>
      <c r="AR571" s="1"/>
      <c r="AS571" s="1"/>
      <c r="AT571" s="1" t="s">
        <v>431</v>
      </c>
      <c r="AU571" s="3">
        <v>2019</v>
      </c>
      <c r="AV571" s="3">
        <v>141</v>
      </c>
      <c r="AW571" s="3">
        <v>5</v>
      </c>
      <c r="AX571" s="2"/>
      <c r="AY571" s="2"/>
      <c r="AZ571" s="1"/>
      <c r="BA571" s="2"/>
      <c r="BB571" s="2"/>
      <c r="BC571" s="2"/>
      <c r="BD571" s="3">
        <v>51011</v>
      </c>
      <c r="BE571" s="1" t="s">
        <v>4928</v>
      </c>
      <c r="BF571" s="4">
        <f>HYPERLINK("http://dx.doi.org/10.1115/1.4043549","http://dx.doi.org/10.1115/1.4043549")</f>
      </c>
      <c r="BG571" s="1"/>
      <c r="BH571" s="1"/>
      <c r="BI571" s="1"/>
      <c r="BJ571" s="1"/>
      <c r="BK571" s="1"/>
      <c r="BL571" s="1"/>
      <c r="BM571" s="1"/>
      <c r="BN571" s="2"/>
      <c r="BO571" s="1"/>
      <c r="BP571" s="1"/>
      <c r="BQ571" s="1"/>
      <c r="BR571" s="1"/>
      <c r="BS571" s="1" t="s">
        <v>4929</v>
      </c>
      <c r="BT571" s="5">
        <f>HYPERLINK("https%3A%2F%2Fwww.webofscience.com%2Fwos%2Fwoscc%2Ffull-record%2FWOS:000485709800013","View Full Record in Web of Science")</f>
      </c>
    </row>
    <row x14ac:dyDescent="0.25" r="572" customHeight="1" ht="12.75">
      <c r="A572" s="1" t="s">
        <v>72</v>
      </c>
      <c r="B572" s="1" t="s">
        <v>4930</v>
      </c>
      <c r="C572" s="1"/>
      <c r="D572" s="1"/>
      <c r="E572" s="1"/>
      <c r="F572" s="1" t="s">
        <v>4931</v>
      </c>
      <c r="G572" s="1"/>
      <c r="H572" s="1"/>
      <c r="I572" s="1" t="s">
        <v>4932</v>
      </c>
      <c r="J572" s="1" t="s">
        <v>4933</v>
      </c>
      <c r="K572" s="1"/>
      <c r="L572" s="1"/>
      <c r="M572" s="1"/>
      <c r="N572" s="1"/>
      <c r="O572" s="1"/>
      <c r="P572" s="2"/>
      <c r="Q572" s="1"/>
      <c r="R572" s="1"/>
      <c r="S572" s="1"/>
      <c r="T572" s="1"/>
      <c r="U572" s="1"/>
      <c r="V572" s="1" t="s">
        <v>4934</v>
      </c>
      <c r="W572" s="1"/>
      <c r="X572" s="1"/>
      <c r="Y572" s="1"/>
      <c r="Z572" s="1"/>
      <c r="AA572" s="1" t="s">
        <v>2192</v>
      </c>
      <c r="AB572" s="1" t="s">
        <v>2193</v>
      </c>
      <c r="AC572" s="1"/>
      <c r="AD572" s="1"/>
      <c r="AE572" s="1"/>
      <c r="AF572" s="1"/>
      <c r="AG572" s="1"/>
      <c r="AH572" s="1"/>
      <c r="AI572" s="1"/>
      <c r="AJ572" s="1"/>
      <c r="AK572" s="1"/>
      <c r="AL572" s="1"/>
      <c r="AM572" s="1"/>
      <c r="AN572" s="1"/>
      <c r="AO572" s="1" t="s">
        <v>4935</v>
      </c>
      <c r="AP572" s="1" t="s">
        <v>4936</v>
      </c>
      <c r="AQ572" s="1"/>
      <c r="AR572" s="1"/>
      <c r="AS572" s="1"/>
      <c r="AT572" s="1" t="s">
        <v>292</v>
      </c>
      <c r="AU572" s="3">
        <v>2019</v>
      </c>
      <c r="AV572" s="3">
        <v>55</v>
      </c>
      <c r="AW572" s="2"/>
      <c r="AX572" s="2"/>
      <c r="AY572" s="2"/>
      <c r="AZ572" s="1"/>
      <c r="BA572" s="2"/>
      <c r="BB572" s="3">
        <v>198</v>
      </c>
      <c r="BC572" s="3">
        <v>207</v>
      </c>
      <c r="BD572" s="2"/>
      <c r="BE572" s="1" t="s">
        <v>4937</v>
      </c>
      <c r="BF572" s="4">
        <f>HYPERLINK("http://dx.doi.org/10.1016/j.erss.2019.05.018","http://dx.doi.org/10.1016/j.erss.2019.05.018")</f>
      </c>
      <c r="BG572" s="1"/>
      <c r="BH572" s="1"/>
      <c r="BI572" s="1"/>
      <c r="BJ572" s="1"/>
      <c r="BK572" s="1"/>
      <c r="BL572" s="1"/>
      <c r="BM572" s="1"/>
      <c r="BN572" s="2"/>
      <c r="BO572" s="1"/>
      <c r="BP572" s="1"/>
      <c r="BQ572" s="1"/>
      <c r="BR572" s="1"/>
      <c r="BS572" s="1" t="s">
        <v>4938</v>
      </c>
      <c r="BT572" s="5">
        <f>HYPERLINK("https%3A%2F%2Fwww.webofscience.com%2Fwos%2Fwoscc%2Ffull-record%2FWOS:000476872300018","View Full Record in Web of Science")</f>
      </c>
    </row>
    <row x14ac:dyDescent="0.25" r="573" customHeight="1" ht="12.75">
      <c r="A573" s="1" t="s">
        <v>72</v>
      </c>
      <c r="B573" s="1" t="s">
        <v>4939</v>
      </c>
      <c r="C573" s="1"/>
      <c r="D573" s="1"/>
      <c r="E573" s="1"/>
      <c r="F573" s="1" t="s">
        <v>4940</v>
      </c>
      <c r="G573" s="1"/>
      <c r="H573" s="1"/>
      <c r="I573" s="1" t="s">
        <v>4941</v>
      </c>
      <c r="J573" s="1" t="s">
        <v>4942</v>
      </c>
      <c r="K573" s="1"/>
      <c r="L573" s="1"/>
      <c r="M573" s="1"/>
      <c r="N573" s="1"/>
      <c r="O573" s="1"/>
      <c r="P573" s="2"/>
      <c r="Q573" s="1"/>
      <c r="R573" s="1"/>
      <c r="S573" s="1"/>
      <c r="T573" s="1"/>
      <c r="U573" s="1"/>
      <c r="V573" s="1" t="s">
        <v>4943</v>
      </c>
      <c r="W573" s="1"/>
      <c r="X573" s="1"/>
      <c r="Y573" s="1"/>
      <c r="Z573" s="1"/>
      <c r="AA573" s="1" t="s">
        <v>4944</v>
      </c>
      <c r="AB573" s="1" t="s">
        <v>4945</v>
      </c>
      <c r="AC573" s="1"/>
      <c r="AD573" s="1"/>
      <c r="AE573" s="1"/>
      <c r="AF573" s="1"/>
      <c r="AG573" s="1"/>
      <c r="AH573" s="1"/>
      <c r="AI573" s="1"/>
      <c r="AJ573" s="1"/>
      <c r="AK573" s="1"/>
      <c r="AL573" s="1"/>
      <c r="AM573" s="1"/>
      <c r="AN573" s="1"/>
      <c r="AO573" s="1" t="s">
        <v>4946</v>
      </c>
      <c r="AP573" s="1"/>
      <c r="AQ573" s="1"/>
      <c r="AR573" s="1"/>
      <c r="AS573" s="1"/>
      <c r="AT573" s="1" t="s">
        <v>757</v>
      </c>
      <c r="AU573" s="3">
        <v>2019</v>
      </c>
      <c r="AV573" s="3">
        <v>6</v>
      </c>
      <c r="AW573" s="3">
        <v>6</v>
      </c>
      <c r="AX573" s="2"/>
      <c r="AY573" s="2"/>
      <c r="AZ573" s="1"/>
      <c r="BA573" s="2"/>
      <c r="BB573" s="2"/>
      <c r="BC573" s="2"/>
      <c r="BD573" s="3">
        <v>65033</v>
      </c>
      <c r="BE573" s="1" t="s">
        <v>4947</v>
      </c>
      <c r="BF573" s="4">
        <f>HYPERLINK("http://dx.doi.org/10.1088/2053-1591/ab0dd2","http://dx.doi.org/10.1088/2053-1591/ab0dd2")</f>
      </c>
      <c r="BG573" s="1"/>
      <c r="BH573" s="1"/>
      <c r="BI573" s="1"/>
      <c r="BJ573" s="1"/>
      <c r="BK573" s="1"/>
      <c r="BL573" s="1"/>
      <c r="BM573" s="1"/>
      <c r="BN573" s="2"/>
      <c r="BO573" s="1"/>
      <c r="BP573" s="1"/>
      <c r="BQ573" s="1"/>
      <c r="BR573" s="1"/>
      <c r="BS573" s="1" t="s">
        <v>4948</v>
      </c>
      <c r="BT573" s="5">
        <f>HYPERLINK("https%3A%2F%2Fwww.webofscience.com%2Fwos%2Fwoscc%2Ffull-record%2FWOS:000461982900010","View Full Record in Web of Science")</f>
      </c>
    </row>
    <row x14ac:dyDescent="0.25" r="574" customHeight="1" ht="12.75">
      <c r="A574" s="1" t="s">
        <v>72</v>
      </c>
      <c r="B574" s="1" t="s">
        <v>4949</v>
      </c>
      <c r="C574" s="1"/>
      <c r="D574" s="1"/>
      <c r="E574" s="1"/>
      <c r="F574" s="1" t="s">
        <v>4950</v>
      </c>
      <c r="G574" s="1"/>
      <c r="H574" s="1"/>
      <c r="I574" s="1" t="s">
        <v>4951</v>
      </c>
      <c r="J574" s="1" t="s">
        <v>4952</v>
      </c>
      <c r="K574" s="1"/>
      <c r="L574" s="1"/>
      <c r="M574" s="1"/>
      <c r="N574" s="1"/>
      <c r="O574" s="1"/>
      <c r="P574" s="2"/>
      <c r="Q574" s="1"/>
      <c r="R574" s="1"/>
      <c r="S574" s="1"/>
      <c r="T574" s="1"/>
      <c r="U574" s="1"/>
      <c r="V574" s="1" t="s">
        <v>4953</v>
      </c>
      <c r="W574" s="1"/>
      <c r="X574" s="1"/>
      <c r="Y574" s="1"/>
      <c r="Z574" s="1"/>
      <c r="AA574" s="1" t="s">
        <v>4954</v>
      </c>
      <c r="AB574" s="1" t="s">
        <v>4955</v>
      </c>
      <c r="AC574" s="1"/>
      <c r="AD574" s="1"/>
      <c r="AE574" s="1"/>
      <c r="AF574" s="1"/>
      <c r="AG574" s="1"/>
      <c r="AH574" s="1"/>
      <c r="AI574" s="1"/>
      <c r="AJ574" s="1"/>
      <c r="AK574" s="1"/>
      <c r="AL574" s="1"/>
      <c r="AM574" s="1"/>
      <c r="AN574" s="1"/>
      <c r="AO574" s="1" t="s">
        <v>4956</v>
      </c>
      <c r="AP574" s="1"/>
      <c r="AQ574" s="1"/>
      <c r="AR574" s="1"/>
      <c r="AS574" s="1"/>
      <c r="AT574" s="1" t="s">
        <v>4957</v>
      </c>
      <c r="AU574" s="3">
        <v>2018</v>
      </c>
      <c r="AV574" s="3">
        <v>2</v>
      </c>
      <c r="AW574" s="3">
        <v>4</v>
      </c>
      <c r="AX574" s="2"/>
      <c r="AY574" s="2"/>
      <c r="AZ574" s="1"/>
      <c r="BA574" s="2"/>
      <c r="BB574" s="2"/>
      <c r="BC574" s="2"/>
      <c r="BD574" s="3">
        <v>43603</v>
      </c>
      <c r="BE574" s="1" t="s">
        <v>4958</v>
      </c>
      <c r="BF574" s="4">
        <f>HYPERLINK("http://dx.doi.org/10.1103/PhysRevMaterials.2.043603","http://dx.doi.org/10.1103/PhysRevMaterials.2.043603")</f>
      </c>
      <c r="BG574" s="1"/>
      <c r="BH574" s="1"/>
      <c r="BI574" s="1"/>
      <c r="BJ574" s="1"/>
      <c r="BK574" s="1"/>
      <c r="BL574" s="1"/>
      <c r="BM574" s="1"/>
      <c r="BN574" s="2"/>
      <c r="BO574" s="1"/>
      <c r="BP574" s="1"/>
      <c r="BQ574" s="1"/>
      <c r="BR574" s="1"/>
      <c r="BS574" s="1" t="s">
        <v>4959</v>
      </c>
      <c r="BT574" s="5">
        <f>HYPERLINK("https%3A%2F%2Fwww.webofscience.com%2Fwos%2Fwoscc%2Ffull-record%2FWOS:000430823900003","View Full Record in Web of Science")</f>
      </c>
    </row>
    <row x14ac:dyDescent="0.25" r="575" customHeight="1" ht="12.75">
      <c r="A575" s="1" t="s">
        <v>72</v>
      </c>
      <c r="B575" s="1" t="s">
        <v>4960</v>
      </c>
      <c r="C575" s="1"/>
      <c r="D575" s="1"/>
      <c r="E575" s="1"/>
      <c r="F575" s="1" t="s">
        <v>4961</v>
      </c>
      <c r="G575" s="1"/>
      <c r="H575" s="1"/>
      <c r="I575" s="1" t="s">
        <v>4962</v>
      </c>
      <c r="J575" s="1" t="s">
        <v>4963</v>
      </c>
      <c r="K575" s="1"/>
      <c r="L575" s="1"/>
      <c r="M575" s="1"/>
      <c r="N575" s="1"/>
      <c r="O575" s="1"/>
      <c r="P575" s="2"/>
      <c r="Q575" s="1"/>
      <c r="R575" s="1"/>
      <c r="S575" s="1"/>
      <c r="T575" s="1"/>
      <c r="U575" s="1"/>
      <c r="V575" s="1" t="s">
        <v>4964</v>
      </c>
      <c r="W575" s="1"/>
      <c r="X575" s="1"/>
      <c r="Y575" s="1"/>
      <c r="Z575" s="1"/>
      <c r="AA575" s="1"/>
      <c r="AB575" s="1"/>
      <c r="AC575" s="1"/>
      <c r="AD575" s="1"/>
      <c r="AE575" s="1"/>
      <c r="AF575" s="1"/>
      <c r="AG575" s="1"/>
      <c r="AH575" s="1"/>
      <c r="AI575" s="1"/>
      <c r="AJ575" s="1"/>
      <c r="AK575" s="1"/>
      <c r="AL575" s="1"/>
      <c r="AM575" s="1"/>
      <c r="AN575" s="1"/>
      <c r="AO575" s="1" t="s">
        <v>4965</v>
      </c>
      <c r="AP575" s="1"/>
      <c r="AQ575" s="1"/>
      <c r="AR575" s="1"/>
      <c r="AS575" s="1"/>
      <c r="AT575" s="1"/>
      <c r="AU575" s="3">
        <v>2018</v>
      </c>
      <c r="AV575" s="3">
        <v>18</v>
      </c>
      <c r="AW575" s="3">
        <v>7</v>
      </c>
      <c r="AX575" s="2"/>
      <c r="AY575" s="2"/>
      <c r="AZ575" s="1"/>
      <c r="BA575" s="2"/>
      <c r="BB575" s="3">
        <v>4093</v>
      </c>
      <c r="BC575" s="3">
        <v>4107</v>
      </c>
      <c r="BD575" s="2"/>
      <c r="BE575" s="1" t="s">
        <v>4966</v>
      </c>
      <c r="BF575" s="4">
        <f>HYPERLINK("http://dx.doi.org/10.2140/agt.2018.18.4093","http://dx.doi.org/10.2140/agt.2018.18.4093")</f>
      </c>
      <c r="BG575" s="1"/>
      <c r="BH575" s="1"/>
      <c r="BI575" s="1"/>
      <c r="BJ575" s="1"/>
      <c r="BK575" s="1"/>
      <c r="BL575" s="1"/>
      <c r="BM575" s="1"/>
      <c r="BN575" s="2"/>
      <c r="BO575" s="1"/>
      <c r="BP575" s="1"/>
      <c r="BQ575" s="1"/>
      <c r="BR575" s="1"/>
      <c r="BS575" s="1" t="s">
        <v>4967</v>
      </c>
      <c r="BT575" s="5">
        <f>HYPERLINK("https%3A%2F%2Fwww.webofscience.com%2Fwos%2Fwoscc%2Ffull-record%2FWOS:000468135800011","View Full Record in Web of Science")</f>
      </c>
    </row>
    <row x14ac:dyDescent="0.25" r="576" customHeight="1" ht="12.75">
      <c r="A576" s="1" t="s">
        <v>303</v>
      </c>
      <c r="B576" s="1" t="s">
        <v>4968</v>
      </c>
      <c r="C576" s="1"/>
      <c r="D576" s="1" t="s">
        <v>1279</v>
      </c>
      <c r="E576" s="1"/>
      <c r="F576" s="1" t="s">
        <v>4969</v>
      </c>
      <c r="G576" s="1"/>
      <c r="H576" s="1"/>
      <c r="I576" s="1" t="s">
        <v>4970</v>
      </c>
      <c r="J576" s="1" t="s">
        <v>1282</v>
      </c>
      <c r="K576" s="1" t="s">
        <v>1283</v>
      </c>
      <c r="L576" s="1"/>
      <c r="M576" s="1"/>
      <c r="N576" s="1"/>
      <c r="O576" s="1" t="s">
        <v>1284</v>
      </c>
      <c r="P576" s="2" t="s">
        <v>1285</v>
      </c>
      <c r="Q576" s="1" t="s">
        <v>1286</v>
      </c>
      <c r="R576" s="1"/>
      <c r="S576" s="1"/>
      <c r="T576" s="1"/>
      <c r="U576" s="1"/>
      <c r="V576" s="1" t="s">
        <v>4971</v>
      </c>
      <c r="W576" s="1"/>
      <c r="X576" s="1"/>
      <c r="Y576" s="1"/>
      <c r="Z576" s="1"/>
      <c r="AA576" s="1" t="s">
        <v>2205</v>
      </c>
      <c r="AB576" s="1"/>
      <c r="AC576" s="1"/>
      <c r="AD576" s="1"/>
      <c r="AE576" s="1"/>
      <c r="AF576" s="1"/>
      <c r="AG576" s="1"/>
      <c r="AH576" s="1"/>
      <c r="AI576" s="1"/>
      <c r="AJ576" s="1"/>
      <c r="AK576" s="1"/>
      <c r="AL576" s="1"/>
      <c r="AM576" s="1"/>
      <c r="AN576" s="1"/>
      <c r="AO576" s="1" t="s">
        <v>1289</v>
      </c>
      <c r="AP576" s="1"/>
      <c r="AQ576" s="1" t="s">
        <v>1290</v>
      </c>
      <c r="AR576" s="1"/>
      <c r="AS576" s="1"/>
      <c r="AT576" s="1"/>
      <c r="AU576" s="3">
        <v>2018</v>
      </c>
      <c r="AV576" s="2"/>
      <c r="AW576" s="2"/>
      <c r="AX576" s="2"/>
      <c r="AY576" s="2"/>
      <c r="AZ576" s="1"/>
      <c r="BA576" s="2"/>
      <c r="BB576" s="3">
        <v>5714</v>
      </c>
      <c r="BC576" s="3">
        <v>5717</v>
      </c>
      <c r="BD576" s="2"/>
      <c r="BE576" s="1"/>
      <c r="BF576" s="1"/>
      <c r="BG576" s="1"/>
      <c r="BH576" s="1"/>
      <c r="BI576" s="1"/>
      <c r="BJ576" s="1"/>
      <c r="BK576" s="1"/>
      <c r="BL576" s="1"/>
      <c r="BM576" s="1"/>
      <c r="BN576" s="2"/>
      <c r="BO576" s="1"/>
      <c r="BP576" s="1"/>
      <c r="BQ576" s="1"/>
      <c r="BR576" s="1"/>
      <c r="BS576" s="1" t="s">
        <v>4972</v>
      </c>
      <c r="BT576" s="5">
        <f>HYPERLINK("https%3A%2F%2Fwww.webofscience.com%2Fwos%2Fwoscc%2Ffull-record%2FWOS:000568991701002","View Full Record in Web of Science")</f>
      </c>
    </row>
    <row x14ac:dyDescent="0.25" r="577" customHeight="1" ht="12.75">
      <c r="A577" s="1" t="s">
        <v>267</v>
      </c>
      <c r="B577" s="1" t="s">
        <v>4973</v>
      </c>
      <c r="C577" s="1" t="s">
        <v>3508</v>
      </c>
      <c r="D577" s="1"/>
      <c r="E577" s="1"/>
      <c r="F577" s="1" t="s">
        <v>4974</v>
      </c>
      <c r="G577" s="1" t="s">
        <v>3508</v>
      </c>
      <c r="H577" s="1"/>
      <c r="I577" s="1" t="s">
        <v>4975</v>
      </c>
      <c r="J577" s="1" t="s">
        <v>3511</v>
      </c>
      <c r="K577" s="1"/>
      <c r="L577" s="1"/>
      <c r="M577" s="1"/>
      <c r="N577" s="1"/>
      <c r="O577" s="1"/>
      <c r="P577" s="2"/>
      <c r="Q577" s="1"/>
      <c r="R577" s="1"/>
      <c r="S577" s="1"/>
      <c r="T577" s="1"/>
      <c r="U577" s="1"/>
      <c r="V577" s="1" t="s">
        <v>4976</v>
      </c>
      <c r="W577" s="1"/>
      <c r="X577" s="1"/>
      <c r="Y577" s="1"/>
      <c r="Z577" s="1"/>
      <c r="AA577" s="1"/>
      <c r="AB577" s="1"/>
      <c r="AC577" s="1"/>
      <c r="AD577" s="1"/>
      <c r="AE577" s="1"/>
      <c r="AF577" s="1"/>
      <c r="AG577" s="1"/>
      <c r="AH577" s="1"/>
      <c r="AI577" s="1"/>
      <c r="AJ577" s="1"/>
      <c r="AK577" s="1"/>
      <c r="AL577" s="1"/>
      <c r="AM577" s="1"/>
      <c r="AN577" s="1"/>
      <c r="AO577" s="1"/>
      <c r="AP577" s="1"/>
      <c r="AQ577" s="1" t="s">
        <v>3513</v>
      </c>
      <c r="AR577" s="1"/>
      <c r="AS577" s="1"/>
      <c r="AT577" s="1"/>
      <c r="AU577" s="3">
        <v>2018</v>
      </c>
      <c r="AV577" s="2"/>
      <c r="AW577" s="2"/>
      <c r="AX577" s="2"/>
      <c r="AY577" s="2"/>
      <c r="AZ577" s="1"/>
      <c r="BA577" s="2"/>
      <c r="BB577" s="3">
        <v>97</v>
      </c>
      <c r="BC577" s="3">
        <v>109</v>
      </c>
      <c r="BD577" s="2"/>
      <c r="BE577" s="1"/>
      <c r="BF577" s="1"/>
      <c r="BG577" s="1"/>
      <c r="BH577" s="1"/>
      <c r="BI577" s="1"/>
      <c r="BJ577" s="1"/>
      <c r="BK577" s="1"/>
      <c r="BL577" s="1"/>
      <c r="BM577" s="1"/>
      <c r="BN577" s="2"/>
      <c r="BO577" s="1"/>
      <c r="BP577" s="1"/>
      <c r="BQ577" s="1"/>
      <c r="BR577" s="1"/>
      <c r="BS577" s="1" t="s">
        <v>4977</v>
      </c>
      <c r="BT577" s="5">
        <f>HYPERLINK("https%3A%2F%2Fwww.webofscience.com%2Fwos%2Fwoscc%2Ffull-record%2FWOS:000483366800008","View Full Record in Web of Science")</f>
      </c>
    </row>
    <row x14ac:dyDescent="0.25" r="578" customHeight="1" ht="12.75">
      <c r="A578" s="1" t="s">
        <v>72</v>
      </c>
      <c r="B578" s="1" t="s">
        <v>4978</v>
      </c>
      <c r="C578" s="1"/>
      <c r="D578" s="1"/>
      <c r="E578" s="1"/>
      <c r="F578" s="1" t="s">
        <v>4979</v>
      </c>
      <c r="G578" s="1"/>
      <c r="H578" s="1"/>
      <c r="I578" s="1" t="s">
        <v>4980</v>
      </c>
      <c r="J578" s="1" t="s">
        <v>4981</v>
      </c>
      <c r="K578" s="1"/>
      <c r="L578" s="1"/>
      <c r="M578" s="1"/>
      <c r="N578" s="1"/>
      <c r="O578" s="1"/>
      <c r="P578" s="2"/>
      <c r="Q578" s="1"/>
      <c r="R578" s="1"/>
      <c r="S578" s="1"/>
      <c r="T578" s="1"/>
      <c r="U578" s="1"/>
      <c r="V578" s="1" t="s">
        <v>4982</v>
      </c>
      <c r="W578" s="1"/>
      <c r="X578" s="1"/>
      <c r="Y578" s="1"/>
      <c r="Z578" s="1"/>
      <c r="AA578" s="1"/>
      <c r="AB578" s="1" t="s">
        <v>4983</v>
      </c>
      <c r="AC578" s="1"/>
      <c r="AD578" s="1"/>
      <c r="AE578" s="1"/>
      <c r="AF578" s="1"/>
      <c r="AG578" s="1"/>
      <c r="AH578" s="1"/>
      <c r="AI578" s="1"/>
      <c r="AJ578" s="1"/>
      <c r="AK578" s="1"/>
      <c r="AL578" s="1"/>
      <c r="AM578" s="1"/>
      <c r="AN578" s="1"/>
      <c r="AO578" s="1" t="s">
        <v>4984</v>
      </c>
      <c r="AP578" s="1"/>
      <c r="AQ578" s="1"/>
      <c r="AR578" s="1"/>
      <c r="AS578" s="1"/>
      <c r="AT578" s="1"/>
      <c r="AU578" s="3">
        <v>2018</v>
      </c>
      <c r="AV578" s="3">
        <v>46</v>
      </c>
      <c r="AW578" s="3">
        <v>2</v>
      </c>
      <c r="AX578" s="2"/>
      <c r="AY578" s="2"/>
      <c r="AZ578" s="1"/>
      <c r="BA578" s="2"/>
      <c r="BB578" s="3">
        <v>143</v>
      </c>
      <c r="BC578" s="3">
        <v>165</v>
      </c>
      <c r="BD578" s="2"/>
      <c r="BE578" s="1" t="s">
        <v>4985</v>
      </c>
      <c r="BF578" s="4">
        <f>HYPERLINK("http://dx.doi.org/10.4067/S0718-22442018000200143","http://dx.doi.org/10.4067/S0718-22442018000200143")</f>
      </c>
      <c r="BG578" s="1"/>
      <c r="BH578" s="1"/>
      <c r="BI578" s="1"/>
      <c r="BJ578" s="1"/>
      <c r="BK578" s="1"/>
      <c r="BL578" s="1"/>
      <c r="BM578" s="1"/>
      <c r="BN578" s="2"/>
      <c r="BO578" s="1"/>
      <c r="BP578" s="1"/>
      <c r="BQ578" s="1"/>
      <c r="BR578" s="1"/>
      <c r="BS578" s="1" t="s">
        <v>4986</v>
      </c>
      <c r="BT578" s="5">
        <f>HYPERLINK("https%3A%2F%2Fwww.webofscience.com%2Fwos%2Fwoscc%2Ffull-record%2FWOS:000456941900008","View Full Record in Web of Science")</f>
      </c>
    </row>
    <row x14ac:dyDescent="0.25" r="579" customHeight="1" ht="12.75">
      <c r="A579" s="1" t="s">
        <v>303</v>
      </c>
      <c r="B579" s="1" t="s">
        <v>4987</v>
      </c>
      <c r="C579" s="1"/>
      <c r="D579" s="1" t="s">
        <v>392</v>
      </c>
      <c r="E579" s="1"/>
      <c r="F579" s="1" t="s">
        <v>4988</v>
      </c>
      <c r="G579" s="1"/>
      <c r="H579" s="1"/>
      <c r="I579" s="1" t="s">
        <v>4989</v>
      </c>
      <c r="J579" s="1" t="s">
        <v>395</v>
      </c>
      <c r="K579" s="1"/>
      <c r="L579" s="1"/>
      <c r="M579" s="1"/>
      <c r="N579" s="1"/>
      <c r="O579" s="1" t="s">
        <v>396</v>
      </c>
      <c r="P579" s="2" t="s">
        <v>397</v>
      </c>
      <c r="Q579" s="1" t="s">
        <v>398</v>
      </c>
      <c r="R579" s="1" t="s">
        <v>399</v>
      </c>
      <c r="S579" s="1"/>
      <c r="T579" s="1"/>
      <c r="U579" s="1"/>
      <c r="V579" s="1" t="s">
        <v>4990</v>
      </c>
      <c r="W579" s="1"/>
      <c r="X579" s="1"/>
      <c r="Y579" s="1"/>
      <c r="Z579" s="1"/>
      <c r="AA579" s="1" t="s">
        <v>4991</v>
      </c>
      <c r="AB579" s="1" t="s">
        <v>4992</v>
      </c>
      <c r="AC579" s="1"/>
      <c r="AD579" s="1"/>
      <c r="AE579" s="1"/>
      <c r="AF579" s="1"/>
      <c r="AG579" s="1"/>
      <c r="AH579" s="1"/>
      <c r="AI579" s="1"/>
      <c r="AJ579" s="1"/>
      <c r="AK579" s="1"/>
      <c r="AL579" s="1"/>
      <c r="AM579" s="1"/>
      <c r="AN579" s="1"/>
      <c r="AO579" s="1"/>
      <c r="AP579" s="1"/>
      <c r="AQ579" s="1" t="s">
        <v>401</v>
      </c>
      <c r="AR579" s="1"/>
      <c r="AS579" s="1"/>
      <c r="AT579" s="1"/>
      <c r="AU579" s="3">
        <v>2018</v>
      </c>
      <c r="AV579" s="2"/>
      <c r="AW579" s="2"/>
      <c r="AX579" s="2"/>
      <c r="AY579" s="2"/>
      <c r="AZ579" s="1"/>
      <c r="BA579" s="2"/>
      <c r="BB579" s="2"/>
      <c r="BC579" s="2"/>
      <c r="BD579" s="2"/>
      <c r="BE579" s="1"/>
      <c r="BF579" s="1"/>
      <c r="BG579" s="1"/>
      <c r="BH579" s="1"/>
      <c r="BI579" s="1"/>
      <c r="BJ579" s="1"/>
      <c r="BK579" s="1"/>
      <c r="BL579" s="1"/>
      <c r="BM579" s="1"/>
      <c r="BN579" s="2"/>
      <c r="BO579" s="1"/>
      <c r="BP579" s="1"/>
      <c r="BQ579" s="1"/>
      <c r="BR579" s="1"/>
      <c r="BS579" s="1" t="s">
        <v>4993</v>
      </c>
      <c r="BT579" s="5">
        <f>HYPERLINK("https%3A%2F%2Fwww.webofscience.com%2Fwos%2Fwoscc%2Ffull-record%2FWOS:000458417600158","View Full Record in Web of Science")</f>
      </c>
    </row>
    <row x14ac:dyDescent="0.25" r="580" customHeight="1" ht="12.75">
      <c r="A580" s="1" t="s">
        <v>72</v>
      </c>
      <c r="B580" s="1" t="s">
        <v>4994</v>
      </c>
      <c r="C580" s="1"/>
      <c r="D580" s="1"/>
      <c r="E580" s="1"/>
      <c r="F580" s="1" t="s">
        <v>4995</v>
      </c>
      <c r="G580" s="1"/>
      <c r="H580" s="1"/>
      <c r="I580" s="1" t="s">
        <v>4996</v>
      </c>
      <c r="J580" s="1" t="s">
        <v>4997</v>
      </c>
      <c r="K580" s="1"/>
      <c r="L580" s="1"/>
      <c r="M580" s="1"/>
      <c r="N580" s="1"/>
      <c r="O580" s="1"/>
      <c r="P580" s="2"/>
      <c r="Q580" s="1"/>
      <c r="R580" s="1"/>
      <c r="S580" s="1"/>
      <c r="T580" s="1"/>
      <c r="U580" s="1"/>
      <c r="V580" s="1" t="s">
        <v>4998</v>
      </c>
      <c r="W580" s="1"/>
      <c r="X580" s="1"/>
      <c r="Y580" s="1"/>
      <c r="Z580" s="1"/>
      <c r="AA580" s="1"/>
      <c r="AB580" s="1"/>
      <c r="AC580" s="1"/>
      <c r="AD580" s="1"/>
      <c r="AE580" s="1"/>
      <c r="AF580" s="1"/>
      <c r="AG580" s="1"/>
      <c r="AH580" s="1"/>
      <c r="AI580" s="1"/>
      <c r="AJ580" s="1"/>
      <c r="AK580" s="1"/>
      <c r="AL580" s="1"/>
      <c r="AM580" s="1"/>
      <c r="AN580" s="1"/>
      <c r="AO580" s="1" t="s">
        <v>4999</v>
      </c>
      <c r="AP580" s="1"/>
      <c r="AQ580" s="1"/>
      <c r="AR580" s="1"/>
      <c r="AS580" s="1"/>
      <c r="AT580" s="1" t="s">
        <v>204</v>
      </c>
      <c r="AU580" s="3">
        <v>2017</v>
      </c>
      <c r="AV580" s="2"/>
      <c r="AW580" s="3">
        <v>55</v>
      </c>
      <c r="AX580" s="2"/>
      <c r="AY580" s="2"/>
      <c r="AZ580" s="1"/>
      <c r="BA580" s="2"/>
      <c r="BB580" s="3">
        <v>33</v>
      </c>
      <c r="BC580" s="3">
        <v>50</v>
      </c>
      <c r="BD580" s="2"/>
      <c r="BE580" s="1"/>
      <c r="BF580" s="1"/>
      <c r="BG580" s="1"/>
      <c r="BH580" s="1"/>
      <c r="BI580" s="1"/>
      <c r="BJ580" s="1"/>
      <c r="BK580" s="1"/>
      <c r="BL580" s="1"/>
      <c r="BM580" s="1"/>
      <c r="BN580" s="2"/>
      <c r="BO580" s="1"/>
      <c r="BP580" s="1"/>
      <c r="BQ580" s="1"/>
      <c r="BR580" s="1"/>
      <c r="BS580" s="1" t="s">
        <v>5000</v>
      </c>
      <c r="BT580" s="5">
        <f>HYPERLINK("https%3A%2F%2Fwww.webofscience.com%2Fwos%2Fwoscc%2Ffull-record%2FWOS:000424561700003","View Full Record in Web of Science")</f>
      </c>
    </row>
    <row x14ac:dyDescent="0.25" r="581" customHeight="1" ht="12.75">
      <c r="A581" s="1" t="s">
        <v>72</v>
      </c>
      <c r="B581" s="1" t="s">
        <v>5001</v>
      </c>
      <c r="C581" s="1"/>
      <c r="D581" s="1"/>
      <c r="E581" s="1"/>
      <c r="F581" s="1" t="s">
        <v>5002</v>
      </c>
      <c r="G581" s="1"/>
      <c r="H581" s="1"/>
      <c r="I581" s="1" t="s">
        <v>5003</v>
      </c>
      <c r="J581" s="1" t="s">
        <v>358</v>
      </c>
      <c r="K581" s="1"/>
      <c r="L581" s="1"/>
      <c r="M581" s="1"/>
      <c r="N581" s="1"/>
      <c r="O581" s="1"/>
      <c r="P581" s="2"/>
      <c r="Q581" s="1"/>
      <c r="R581" s="1"/>
      <c r="S581" s="1"/>
      <c r="T581" s="1"/>
      <c r="U581" s="1"/>
      <c r="V581" s="1" t="s">
        <v>5004</v>
      </c>
      <c r="W581" s="1"/>
      <c r="X581" s="1"/>
      <c r="Y581" s="1"/>
      <c r="Z581" s="1"/>
      <c r="AA581" s="1" t="s">
        <v>5005</v>
      </c>
      <c r="AB581" s="1"/>
      <c r="AC581" s="1"/>
      <c r="AD581" s="1"/>
      <c r="AE581" s="1"/>
      <c r="AF581" s="1"/>
      <c r="AG581" s="1"/>
      <c r="AH581" s="1"/>
      <c r="AI581" s="1"/>
      <c r="AJ581" s="1"/>
      <c r="AK581" s="1"/>
      <c r="AL581" s="1"/>
      <c r="AM581" s="1"/>
      <c r="AN581" s="1"/>
      <c r="AO581" s="1" t="s">
        <v>359</v>
      </c>
      <c r="AP581" s="1"/>
      <c r="AQ581" s="1"/>
      <c r="AR581" s="1"/>
      <c r="AS581" s="1"/>
      <c r="AT581" s="1" t="s">
        <v>158</v>
      </c>
      <c r="AU581" s="3">
        <v>2017</v>
      </c>
      <c r="AV581" s="3">
        <v>50</v>
      </c>
      <c r="AW581" s="3">
        <v>2</v>
      </c>
      <c r="AX581" s="2"/>
      <c r="AY581" s="2"/>
      <c r="AZ581" s="1"/>
      <c r="BA581" s="2"/>
      <c r="BB581" s="3">
        <v>597</v>
      </c>
      <c r="BC581" s="3">
        <v>639</v>
      </c>
      <c r="BD581" s="2"/>
      <c r="BE581" s="1"/>
      <c r="BF581" s="1"/>
      <c r="BG581" s="1"/>
      <c r="BH581" s="1"/>
      <c r="BI581" s="1"/>
      <c r="BJ581" s="1"/>
      <c r="BK581" s="1"/>
      <c r="BL581" s="1"/>
      <c r="BM581" s="1"/>
      <c r="BN581" s="2"/>
      <c r="BO581" s="1"/>
      <c r="BP581" s="1"/>
      <c r="BQ581" s="1"/>
      <c r="BR581" s="1"/>
      <c r="BS581" s="1" t="s">
        <v>5006</v>
      </c>
      <c r="BT581" s="5">
        <f>HYPERLINK("https%3A%2F%2Fwww.webofscience.com%2Fwos%2Fwoscc%2Ffull-record%2FWOS:000425266000007","View Full Record in Web of Science")</f>
      </c>
    </row>
    <row x14ac:dyDescent="0.25" r="582" customHeight="1" ht="12.75">
      <c r="A582" s="1" t="s">
        <v>72</v>
      </c>
      <c r="B582" s="1" t="s">
        <v>5007</v>
      </c>
      <c r="C582" s="1"/>
      <c r="D582" s="1"/>
      <c r="E582" s="1"/>
      <c r="F582" s="1" t="s">
        <v>5008</v>
      </c>
      <c r="G582" s="1"/>
      <c r="H582" s="1"/>
      <c r="I582" s="1" t="s">
        <v>5009</v>
      </c>
      <c r="J582" s="1" t="s">
        <v>5010</v>
      </c>
      <c r="K582" s="1"/>
      <c r="L582" s="1"/>
      <c r="M582" s="1"/>
      <c r="N582" s="1"/>
      <c r="O582" s="1"/>
      <c r="P582" s="2"/>
      <c r="Q582" s="1"/>
      <c r="R582" s="1"/>
      <c r="S582" s="1"/>
      <c r="T582" s="1"/>
      <c r="U582" s="1"/>
      <c r="V582" s="1" t="s">
        <v>5011</v>
      </c>
      <c r="W582" s="1"/>
      <c r="X582" s="1"/>
      <c r="Y582" s="1"/>
      <c r="Z582" s="1"/>
      <c r="AA582" s="1"/>
      <c r="AB582" s="1" t="s">
        <v>5012</v>
      </c>
      <c r="AC582" s="1"/>
      <c r="AD582" s="1"/>
      <c r="AE582" s="1"/>
      <c r="AF582" s="1"/>
      <c r="AG582" s="1"/>
      <c r="AH582" s="1"/>
      <c r="AI582" s="1"/>
      <c r="AJ582" s="1"/>
      <c r="AK582" s="1"/>
      <c r="AL582" s="1"/>
      <c r="AM582" s="1"/>
      <c r="AN582" s="1"/>
      <c r="AO582" s="1" t="s">
        <v>5013</v>
      </c>
      <c r="AP582" s="1" t="s">
        <v>5014</v>
      </c>
      <c r="AQ582" s="1"/>
      <c r="AR582" s="1"/>
      <c r="AS582" s="1"/>
      <c r="AT582" s="1" t="s">
        <v>567</v>
      </c>
      <c r="AU582" s="3">
        <v>2017</v>
      </c>
      <c r="AV582" s="3">
        <v>62</v>
      </c>
      <c r="AW582" s="2"/>
      <c r="AX582" s="2"/>
      <c r="AY582" s="2"/>
      <c r="AZ582" s="1"/>
      <c r="BA582" s="2"/>
      <c r="BB582" s="3">
        <v>1</v>
      </c>
      <c r="BC582" s="3">
        <v>9</v>
      </c>
      <c r="BD582" s="2"/>
      <c r="BE582" s="1" t="s">
        <v>5015</v>
      </c>
      <c r="BF582" s="4">
        <f>HYPERLINK("http://dx.doi.org/10.1016/j.shpsc.2017.01.001","http://dx.doi.org/10.1016/j.shpsc.2017.01.001")</f>
      </c>
      <c r="BG582" s="1"/>
      <c r="BH582" s="1"/>
      <c r="BI582" s="1"/>
      <c r="BJ582" s="1"/>
      <c r="BK582" s="1"/>
      <c r="BL582" s="1"/>
      <c r="BM582" s="1"/>
      <c r="BN582" s="3">
        <v>28092810</v>
      </c>
      <c r="BO582" s="1"/>
      <c r="BP582" s="1"/>
      <c r="BQ582" s="1"/>
      <c r="BR582" s="1"/>
      <c r="BS582" s="1" t="s">
        <v>5016</v>
      </c>
      <c r="BT582" s="5">
        <f>HYPERLINK("https%3A%2F%2Fwww.webofscience.com%2Fwos%2Fwoscc%2Ffull-record%2FWOS:000416405600001","View Full Record in Web of Science")</f>
      </c>
    </row>
    <row x14ac:dyDescent="0.25" r="583" customHeight="1" ht="12.75">
      <c r="A583" s="1" t="s">
        <v>72</v>
      </c>
      <c r="B583" s="1" t="s">
        <v>2208</v>
      </c>
      <c r="C583" s="1"/>
      <c r="D583" s="1"/>
      <c r="E583" s="1"/>
      <c r="F583" s="1" t="s">
        <v>2209</v>
      </c>
      <c r="G583" s="1"/>
      <c r="H583" s="1"/>
      <c r="I583" s="1" t="s">
        <v>5017</v>
      </c>
      <c r="J583" s="1" t="s">
        <v>5018</v>
      </c>
      <c r="K583" s="1"/>
      <c r="L583" s="1"/>
      <c r="M583" s="1"/>
      <c r="N583" s="1"/>
      <c r="O583" s="1"/>
      <c r="P583" s="2"/>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t="s">
        <v>5019</v>
      </c>
      <c r="AP583" s="1"/>
      <c r="AQ583" s="1"/>
      <c r="AR583" s="1"/>
      <c r="AS583" s="1"/>
      <c r="AT583" s="1" t="s">
        <v>567</v>
      </c>
      <c r="AU583" s="3">
        <v>2017</v>
      </c>
      <c r="AV583" s="3">
        <v>46</v>
      </c>
      <c r="AW583" s="3">
        <v>136</v>
      </c>
      <c r="AX583" s="2"/>
      <c r="AY583" s="2"/>
      <c r="AZ583" s="1"/>
      <c r="BA583" s="2"/>
      <c r="BB583" s="3">
        <v>33</v>
      </c>
      <c r="BC583" s="3">
        <v>41</v>
      </c>
      <c r="BD583" s="2"/>
      <c r="BE583" s="1"/>
      <c r="BF583" s="1"/>
      <c r="BG583" s="1"/>
      <c r="BH583" s="1"/>
      <c r="BI583" s="1"/>
      <c r="BJ583" s="1"/>
      <c r="BK583" s="1"/>
      <c r="BL583" s="1"/>
      <c r="BM583" s="1"/>
      <c r="BN583" s="2"/>
      <c r="BO583" s="1"/>
      <c r="BP583" s="1"/>
      <c r="BQ583" s="1"/>
      <c r="BR583" s="1"/>
      <c r="BS583" s="1" t="s">
        <v>5020</v>
      </c>
      <c r="BT583" s="5">
        <f>HYPERLINK("https%3A%2F%2Fwww.webofscience.com%2Fwos%2Fwoscc%2Ffull-record%2FWOS:000404423600004","View Full Record in Web of Science")</f>
      </c>
    </row>
    <row x14ac:dyDescent="0.25" r="584" customHeight="1" ht="12.75">
      <c r="A584" s="1" t="s">
        <v>303</v>
      </c>
      <c r="B584" s="1" t="s">
        <v>5021</v>
      </c>
      <c r="C584" s="1"/>
      <c r="D584" s="1"/>
      <c r="E584" s="1" t="s">
        <v>305</v>
      </c>
      <c r="F584" s="1" t="s">
        <v>5022</v>
      </c>
      <c r="G584" s="1"/>
      <c r="H584" s="1"/>
      <c r="I584" s="1" t="s">
        <v>5023</v>
      </c>
      <c r="J584" s="1" t="s">
        <v>481</v>
      </c>
      <c r="K584" s="1"/>
      <c r="L584" s="1"/>
      <c r="M584" s="1"/>
      <c r="N584" s="1"/>
      <c r="O584" s="1" t="s">
        <v>482</v>
      </c>
      <c r="P584" s="2" t="s">
        <v>483</v>
      </c>
      <c r="Q584" s="1" t="s">
        <v>484</v>
      </c>
      <c r="R584" s="1" t="s">
        <v>485</v>
      </c>
      <c r="S584" s="1"/>
      <c r="T584" s="1"/>
      <c r="U584" s="1"/>
      <c r="V584" s="1" t="s">
        <v>5024</v>
      </c>
      <c r="W584" s="1"/>
      <c r="X584" s="1"/>
      <c r="Y584" s="1"/>
      <c r="Z584" s="1"/>
      <c r="AA584" s="1" t="s">
        <v>1975</v>
      </c>
      <c r="AB584" s="1"/>
      <c r="AC584" s="1"/>
      <c r="AD584" s="1"/>
      <c r="AE584" s="1"/>
      <c r="AF584" s="1"/>
      <c r="AG584" s="1"/>
      <c r="AH584" s="1"/>
      <c r="AI584" s="1"/>
      <c r="AJ584" s="1"/>
      <c r="AK584" s="1"/>
      <c r="AL584" s="1"/>
      <c r="AM584" s="1"/>
      <c r="AN584" s="1"/>
      <c r="AO584" s="1"/>
      <c r="AP584" s="1"/>
      <c r="AQ584" s="1" t="s">
        <v>488</v>
      </c>
      <c r="AR584" s="1"/>
      <c r="AS584" s="1"/>
      <c r="AT584" s="1"/>
      <c r="AU584" s="3">
        <v>2017</v>
      </c>
      <c r="AV584" s="2"/>
      <c r="AW584" s="2"/>
      <c r="AX584" s="2"/>
      <c r="AY584" s="2"/>
      <c r="AZ584" s="1"/>
      <c r="BA584" s="2"/>
      <c r="BB584" s="2"/>
      <c r="BC584" s="2"/>
      <c r="BD584" s="2"/>
      <c r="BE584" s="1"/>
      <c r="BF584" s="1"/>
      <c r="BG584" s="1"/>
      <c r="BH584" s="1"/>
      <c r="BI584" s="1"/>
      <c r="BJ584" s="1"/>
      <c r="BK584" s="1"/>
      <c r="BL584" s="1"/>
      <c r="BM584" s="1"/>
      <c r="BN584" s="2"/>
      <c r="BO584" s="1"/>
      <c r="BP584" s="1"/>
      <c r="BQ584" s="1"/>
      <c r="BR584" s="1"/>
      <c r="BS584" s="1" t="s">
        <v>5025</v>
      </c>
      <c r="BT584" s="5">
        <f>HYPERLINK("https%3A%2F%2Fwww.webofscience.com%2Fwos%2Fwoscc%2Ffull-record%2FWOS:000425925000166","View Full Record in Web of Science")</f>
      </c>
    </row>
    <row x14ac:dyDescent="0.25" r="585" customHeight="1" ht="12.75">
      <c r="A585" s="1" t="s">
        <v>303</v>
      </c>
      <c r="B585" s="1" t="s">
        <v>5026</v>
      </c>
      <c r="C585" s="1"/>
      <c r="D585" s="1"/>
      <c r="E585" s="1" t="s">
        <v>305</v>
      </c>
      <c r="F585" s="1" t="s">
        <v>5027</v>
      </c>
      <c r="G585" s="1"/>
      <c r="H585" s="1"/>
      <c r="I585" s="1" t="s">
        <v>5028</v>
      </c>
      <c r="J585" s="1" t="s">
        <v>481</v>
      </c>
      <c r="K585" s="1"/>
      <c r="L585" s="1"/>
      <c r="M585" s="1"/>
      <c r="N585" s="1"/>
      <c r="O585" s="1" t="s">
        <v>482</v>
      </c>
      <c r="P585" s="2" t="s">
        <v>483</v>
      </c>
      <c r="Q585" s="1" t="s">
        <v>484</v>
      </c>
      <c r="R585" s="1" t="s">
        <v>485</v>
      </c>
      <c r="S585" s="1"/>
      <c r="T585" s="1"/>
      <c r="U585" s="1"/>
      <c r="V585" s="1" t="s">
        <v>5029</v>
      </c>
      <c r="W585" s="1"/>
      <c r="X585" s="1"/>
      <c r="Y585" s="1"/>
      <c r="Z585" s="1"/>
      <c r="AA585" s="1" t="s">
        <v>5030</v>
      </c>
      <c r="AB585" s="1" t="s">
        <v>5031</v>
      </c>
      <c r="AC585" s="1"/>
      <c r="AD585" s="1"/>
      <c r="AE585" s="1"/>
      <c r="AF585" s="1"/>
      <c r="AG585" s="1"/>
      <c r="AH585" s="1"/>
      <c r="AI585" s="1"/>
      <c r="AJ585" s="1"/>
      <c r="AK585" s="1"/>
      <c r="AL585" s="1"/>
      <c r="AM585" s="1"/>
      <c r="AN585" s="1"/>
      <c r="AO585" s="1"/>
      <c r="AP585" s="1"/>
      <c r="AQ585" s="1" t="s">
        <v>488</v>
      </c>
      <c r="AR585" s="1"/>
      <c r="AS585" s="1"/>
      <c r="AT585" s="1"/>
      <c r="AU585" s="3">
        <v>2017</v>
      </c>
      <c r="AV585" s="2"/>
      <c r="AW585" s="2"/>
      <c r="AX585" s="2"/>
      <c r="AY585" s="2"/>
      <c r="AZ585" s="1"/>
      <c r="BA585" s="2"/>
      <c r="BB585" s="2"/>
      <c r="BC585" s="2"/>
      <c r="BD585" s="2"/>
      <c r="BE585" s="1"/>
      <c r="BF585" s="1"/>
      <c r="BG585" s="1"/>
      <c r="BH585" s="1"/>
      <c r="BI585" s="1"/>
      <c r="BJ585" s="1"/>
      <c r="BK585" s="1"/>
      <c r="BL585" s="1"/>
      <c r="BM585" s="1"/>
      <c r="BN585" s="2"/>
      <c r="BO585" s="1"/>
      <c r="BP585" s="1"/>
      <c r="BQ585" s="1"/>
      <c r="BR585" s="1"/>
      <c r="BS585" s="1" t="s">
        <v>5032</v>
      </c>
      <c r="BT585" s="5">
        <f>HYPERLINK("https%3A%2F%2Fwww.webofscience.com%2Fwos%2Fwoscc%2Ffull-record%2FWOS:000425925000016","View Full Record in Web of Science")</f>
      </c>
    </row>
    <row x14ac:dyDescent="0.25" r="586" customHeight="1" ht="12.75">
      <c r="A586" s="1" t="s">
        <v>303</v>
      </c>
      <c r="B586" s="1" t="s">
        <v>5033</v>
      </c>
      <c r="C586" s="1"/>
      <c r="D586" s="1"/>
      <c r="E586" s="1" t="s">
        <v>305</v>
      </c>
      <c r="F586" s="1" t="s">
        <v>5034</v>
      </c>
      <c r="G586" s="1"/>
      <c r="H586" s="1"/>
      <c r="I586" s="1" t="s">
        <v>5035</v>
      </c>
      <c r="J586" s="1" t="s">
        <v>5036</v>
      </c>
      <c r="K586" s="1"/>
      <c r="L586" s="1"/>
      <c r="M586" s="1"/>
      <c r="N586" s="1"/>
      <c r="O586" s="1" t="s">
        <v>5037</v>
      </c>
      <c r="P586" s="2" t="s">
        <v>5038</v>
      </c>
      <c r="Q586" s="1" t="s">
        <v>5039</v>
      </c>
      <c r="R586" s="1" t="s">
        <v>305</v>
      </c>
      <c r="S586" s="1" t="s">
        <v>5040</v>
      </c>
      <c r="T586" s="1"/>
      <c r="U586" s="1"/>
      <c r="V586" s="1" t="s">
        <v>5041</v>
      </c>
      <c r="W586" s="1"/>
      <c r="X586" s="1"/>
      <c r="Y586" s="1"/>
      <c r="Z586" s="1"/>
      <c r="AA586" s="1"/>
      <c r="AB586" s="1"/>
      <c r="AC586" s="1"/>
      <c r="AD586" s="1"/>
      <c r="AE586" s="1"/>
      <c r="AF586" s="1"/>
      <c r="AG586" s="1"/>
      <c r="AH586" s="1"/>
      <c r="AI586" s="1"/>
      <c r="AJ586" s="1"/>
      <c r="AK586" s="1"/>
      <c r="AL586" s="1"/>
      <c r="AM586" s="1"/>
      <c r="AN586" s="1"/>
      <c r="AO586" s="1"/>
      <c r="AP586" s="1"/>
      <c r="AQ586" s="1" t="s">
        <v>5042</v>
      </c>
      <c r="AR586" s="1"/>
      <c r="AS586" s="1"/>
      <c r="AT586" s="1"/>
      <c r="AU586" s="3">
        <v>2016</v>
      </c>
      <c r="AV586" s="2"/>
      <c r="AW586" s="2"/>
      <c r="AX586" s="2"/>
      <c r="AY586" s="2"/>
      <c r="AZ586" s="1"/>
      <c r="BA586" s="2"/>
      <c r="BB586" s="2"/>
      <c r="BC586" s="2"/>
      <c r="BD586" s="2"/>
      <c r="BE586" s="1"/>
      <c r="BF586" s="1"/>
      <c r="BG586" s="1"/>
      <c r="BH586" s="1"/>
      <c r="BI586" s="1"/>
      <c r="BJ586" s="1"/>
      <c r="BK586" s="1"/>
      <c r="BL586" s="1"/>
      <c r="BM586" s="1"/>
      <c r="BN586" s="2"/>
      <c r="BO586" s="1"/>
      <c r="BP586" s="1"/>
      <c r="BQ586" s="1"/>
      <c r="BR586" s="1"/>
      <c r="BS586" s="1" t="s">
        <v>5043</v>
      </c>
      <c r="BT586" s="5">
        <f>HYPERLINK("https%3A%2F%2Fwww.webofscience.com%2Fwos%2Fwoscc%2Ffull-record%2FWOS:000390556300077","View Full Record in Web of Science")</f>
      </c>
    </row>
    <row x14ac:dyDescent="0.25" r="587" customHeight="1" ht="12.75">
      <c r="A587" s="1" t="s">
        <v>72</v>
      </c>
      <c r="B587" s="1" t="s">
        <v>5044</v>
      </c>
      <c r="C587" s="1"/>
      <c r="D587" s="1"/>
      <c r="E587" s="1"/>
      <c r="F587" s="1" t="s">
        <v>5045</v>
      </c>
      <c r="G587" s="1"/>
      <c r="H587" s="1"/>
      <c r="I587" s="1" t="s">
        <v>5046</v>
      </c>
      <c r="J587" s="1" t="s">
        <v>5047</v>
      </c>
      <c r="K587" s="1"/>
      <c r="L587" s="1"/>
      <c r="M587" s="1"/>
      <c r="N587" s="1"/>
      <c r="O587" s="1"/>
      <c r="P587" s="2"/>
      <c r="Q587" s="1"/>
      <c r="R587" s="1"/>
      <c r="S587" s="1"/>
      <c r="T587" s="1"/>
      <c r="U587" s="1"/>
      <c r="V587" s="1" t="s">
        <v>5048</v>
      </c>
      <c r="W587" s="1"/>
      <c r="X587" s="1"/>
      <c r="Y587" s="1"/>
      <c r="Z587" s="1"/>
      <c r="AA587" s="1" t="s">
        <v>201</v>
      </c>
      <c r="AB587" s="1" t="s">
        <v>1152</v>
      </c>
      <c r="AC587" s="1"/>
      <c r="AD587" s="1"/>
      <c r="AE587" s="1"/>
      <c r="AF587" s="1"/>
      <c r="AG587" s="1"/>
      <c r="AH587" s="1"/>
      <c r="AI587" s="1"/>
      <c r="AJ587" s="1"/>
      <c r="AK587" s="1"/>
      <c r="AL587" s="1"/>
      <c r="AM587" s="1"/>
      <c r="AN587" s="1"/>
      <c r="AO587" s="1" t="s">
        <v>5049</v>
      </c>
      <c r="AP587" s="1" t="s">
        <v>5050</v>
      </c>
      <c r="AQ587" s="1"/>
      <c r="AR587" s="1"/>
      <c r="AS587" s="1"/>
      <c r="AT587" s="1" t="s">
        <v>204</v>
      </c>
      <c r="AU587" s="3">
        <v>2015</v>
      </c>
      <c r="AV587" s="3">
        <v>13</v>
      </c>
      <c r="AW587" s="3">
        <v>6</v>
      </c>
      <c r="AX587" s="2"/>
      <c r="AY587" s="2"/>
      <c r="AZ587" s="1"/>
      <c r="BA587" s="2"/>
      <c r="BB587" s="3">
        <v>1476</v>
      </c>
      <c r="BC587" s="3">
        <v>1485</v>
      </c>
      <c r="BD587" s="2"/>
      <c r="BE587" s="1" t="s">
        <v>5051</v>
      </c>
      <c r="BF587" s="4">
        <f>HYPERLINK("http://dx.doi.org/10.1007/s12555-014-0278-y","http://dx.doi.org/10.1007/s12555-014-0278-y")</f>
      </c>
      <c r="BG587" s="1"/>
      <c r="BH587" s="1"/>
      <c r="BI587" s="1"/>
      <c r="BJ587" s="1"/>
      <c r="BK587" s="1"/>
      <c r="BL587" s="1"/>
      <c r="BM587" s="1"/>
      <c r="BN587" s="2"/>
      <c r="BO587" s="1"/>
      <c r="BP587" s="1"/>
      <c r="BQ587" s="1"/>
      <c r="BR587" s="1"/>
      <c r="BS587" s="1" t="s">
        <v>5052</v>
      </c>
      <c r="BT587" s="5">
        <f>HYPERLINK("https%3A%2F%2Fwww.webofscience.com%2Fwos%2Fwoscc%2Ffull-record%2FWOS:000365378800018","View Full Record in Web of Science")</f>
      </c>
    </row>
    <row x14ac:dyDescent="0.25" r="588" customHeight="1" ht="12.75">
      <c r="A588" s="1" t="s">
        <v>72</v>
      </c>
      <c r="B588" s="1" t="s">
        <v>5053</v>
      </c>
      <c r="C588" s="1"/>
      <c r="D588" s="1"/>
      <c r="E588" s="1"/>
      <c r="F588" s="1" t="s">
        <v>5054</v>
      </c>
      <c r="G588" s="1"/>
      <c r="H588" s="1"/>
      <c r="I588" s="1" t="s">
        <v>5055</v>
      </c>
      <c r="J588" s="1" t="s">
        <v>5056</v>
      </c>
      <c r="K588" s="1"/>
      <c r="L588" s="1"/>
      <c r="M588" s="1"/>
      <c r="N588" s="1"/>
      <c r="O588" s="1"/>
      <c r="P588" s="2"/>
      <c r="Q588" s="1"/>
      <c r="R588" s="1"/>
      <c r="S588" s="1"/>
      <c r="T588" s="1"/>
      <c r="U588" s="1"/>
      <c r="V588" s="1" t="s">
        <v>5057</v>
      </c>
      <c r="W588" s="1"/>
      <c r="X588" s="1"/>
      <c r="Y588" s="1"/>
      <c r="Z588" s="1"/>
      <c r="AA588" s="1"/>
      <c r="AB588" s="1" t="s">
        <v>4643</v>
      </c>
      <c r="AC588" s="1"/>
      <c r="AD588" s="1"/>
      <c r="AE588" s="1"/>
      <c r="AF588" s="1"/>
      <c r="AG588" s="1"/>
      <c r="AH588" s="1"/>
      <c r="AI588" s="1"/>
      <c r="AJ588" s="1"/>
      <c r="AK588" s="1"/>
      <c r="AL588" s="1"/>
      <c r="AM588" s="1"/>
      <c r="AN588" s="1"/>
      <c r="AO588" s="1" t="s">
        <v>5058</v>
      </c>
      <c r="AP588" s="1" t="s">
        <v>5059</v>
      </c>
      <c r="AQ588" s="1"/>
      <c r="AR588" s="1"/>
      <c r="AS588" s="1"/>
      <c r="AT588" s="1" t="s">
        <v>3785</v>
      </c>
      <c r="AU588" s="3">
        <v>2015</v>
      </c>
      <c r="AV588" s="3">
        <v>43</v>
      </c>
      <c r="AW588" s="3">
        <v>6</v>
      </c>
      <c r="AX588" s="2"/>
      <c r="AY588" s="2"/>
      <c r="AZ588" s="1"/>
      <c r="BA588" s="2"/>
      <c r="BB588" s="3">
        <v>528</v>
      </c>
      <c r="BC588" s="3">
        <v>532</v>
      </c>
      <c r="BD588" s="2"/>
      <c r="BE588" s="1" t="s">
        <v>5060</v>
      </c>
      <c r="BF588" s="4">
        <f>HYPERLINK("http://dx.doi.org/10.1016/j.aller.2014.07.003","http://dx.doi.org/10.1016/j.aller.2014.07.003")</f>
      </c>
      <c r="BG588" s="1"/>
      <c r="BH588" s="1"/>
      <c r="BI588" s="1"/>
      <c r="BJ588" s="1"/>
      <c r="BK588" s="1"/>
      <c r="BL588" s="1"/>
      <c r="BM588" s="1"/>
      <c r="BN588" s="3">
        <v>25456527</v>
      </c>
      <c r="BO588" s="1"/>
      <c r="BP588" s="1"/>
      <c r="BQ588" s="1"/>
      <c r="BR588" s="1"/>
      <c r="BS588" s="1" t="s">
        <v>5061</v>
      </c>
      <c r="BT588" s="5">
        <f>HYPERLINK("https%3A%2F%2Fwww.webofscience.com%2Fwos%2Fwoscc%2Ffull-record%2FWOS:000365454200002","View Full Record in Web of Science")</f>
      </c>
    </row>
    <row x14ac:dyDescent="0.25" r="589" customHeight="1" ht="12.75">
      <c r="A589" s="1" t="s">
        <v>72</v>
      </c>
      <c r="B589" s="1" t="s">
        <v>2347</v>
      </c>
      <c r="C589" s="1"/>
      <c r="D589" s="1"/>
      <c r="E589" s="1"/>
      <c r="F589" s="1" t="s">
        <v>2348</v>
      </c>
      <c r="G589" s="1"/>
      <c r="H589" s="1"/>
      <c r="I589" s="1" t="s">
        <v>5062</v>
      </c>
      <c r="J589" s="1" t="s">
        <v>1496</v>
      </c>
      <c r="K589" s="1"/>
      <c r="L589" s="1"/>
      <c r="M589" s="1"/>
      <c r="N589" s="1"/>
      <c r="O589" s="1"/>
      <c r="P589" s="2"/>
      <c r="Q589" s="1"/>
      <c r="R589" s="1"/>
      <c r="S589" s="1"/>
      <c r="T589" s="1"/>
      <c r="U589" s="1"/>
      <c r="V589" s="1" t="s">
        <v>5063</v>
      </c>
      <c r="W589" s="1"/>
      <c r="X589" s="1"/>
      <c r="Y589" s="1"/>
      <c r="Z589" s="1"/>
      <c r="AA589" s="1"/>
      <c r="AB589" s="1"/>
      <c r="AC589" s="1"/>
      <c r="AD589" s="1"/>
      <c r="AE589" s="1"/>
      <c r="AF589" s="1"/>
      <c r="AG589" s="1"/>
      <c r="AH589" s="1"/>
      <c r="AI589" s="1"/>
      <c r="AJ589" s="1"/>
      <c r="AK589" s="1"/>
      <c r="AL589" s="1"/>
      <c r="AM589" s="1"/>
      <c r="AN589" s="1"/>
      <c r="AO589" s="1" t="s">
        <v>1500</v>
      </c>
      <c r="AP589" s="1" t="s">
        <v>2351</v>
      </c>
      <c r="AQ589" s="1"/>
      <c r="AR589" s="1"/>
      <c r="AS589" s="1"/>
      <c r="AT589" s="1" t="s">
        <v>1501</v>
      </c>
      <c r="AU589" s="3">
        <v>2015</v>
      </c>
      <c r="AV589" s="3">
        <v>30</v>
      </c>
      <c r="AW589" s="3">
        <v>31</v>
      </c>
      <c r="AX589" s="2"/>
      <c r="AY589" s="2"/>
      <c r="AZ589" s="1"/>
      <c r="BA589" s="2"/>
      <c r="BB589" s="2"/>
      <c r="BC589" s="2"/>
      <c r="BD589" s="3">
        <v>1550160</v>
      </c>
      <c r="BE589" s="1" t="s">
        <v>5064</v>
      </c>
      <c r="BF589" s="4">
        <f>HYPERLINK("http://dx.doi.org/10.1142/S0217732315501606","http://dx.doi.org/10.1142/S0217732315501606")</f>
      </c>
      <c r="BG589" s="1"/>
      <c r="BH589" s="1"/>
      <c r="BI589" s="1"/>
      <c r="BJ589" s="1"/>
      <c r="BK589" s="1"/>
      <c r="BL589" s="1"/>
      <c r="BM589" s="1"/>
      <c r="BN589" s="2"/>
      <c r="BO589" s="1"/>
      <c r="BP589" s="1"/>
      <c r="BQ589" s="1"/>
      <c r="BR589" s="1"/>
      <c r="BS589" s="1" t="s">
        <v>5065</v>
      </c>
      <c r="BT589" s="5">
        <f>HYPERLINK("https%3A%2F%2Fwww.webofscience.com%2Fwos%2Fwoscc%2Ffull-record%2FWOS:000361637600004","View Full Record in Web of Science")</f>
      </c>
    </row>
    <row x14ac:dyDescent="0.25" r="590" customHeight="1" ht="12.75">
      <c r="A590" s="1" t="s">
        <v>303</v>
      </c>
      <c r="B590" s="1" t="s">
        <v>5066</v>
      </c>
      <c r="C590" s="1"/>
      <c r="D590" s="1" t="s">
        <v>5067</v>
      </c>
      <c r="E590" s="1"/>
      <c r="F590" s="1" t="s">
        <v>5068</v>
      </c>
      <c r="G590" s="1"/>
      <c r="H590" s="1"/>
      <c r="I590" s="1" t="s">
        <v>5069</v>
      </c>
      <c r="J590" s="1" t="s">
        <v>5070</v>
      </c>
      <c r="K590" s="1" t="s">
        <v>5071</v>
      </c>
      <c r="L590" s="1"/>
      <c r="M590" s="1"/>
      <c r="N590" s="1"/>
      <c r="O590" s="1" t="s">
        <v>5070</v>
      </c>
      <c r="P590" s="2" t="s">
        <v>5072</v>
      </c>
      <c r="Q590" s="1" t="s">
        <v>5073</v>
      </c>
      <c r="R590" s="1" t="s">
        <v>5074</v>
      </c>
      <c r="S590" s="1" t="s">
        <v>5075</v>
      </c>
      <c r="T590" s="1"/>
      <c r="U590" s="1"/>
      <c r="V590" s="1" t="s">
        <v>5076</v>
      </c>
      <c r="W590" s="1"/>
      <c r="X590" s="1"/>
      <c r="Y590" s="1"/>
      <c r="Z590" s="1"/>
      <c r="AA590" s="1"/>
      <c r="AB590" s="1" t="s">
        <v>3643</v>
      </c>
      <c r="AC590" s="1"/>
      <c r="AD590" s="1"/>
      <c r="AE590" s="1"/>
      <c r="AF590" s="1"/>
      <c r="AG590" s="1"/>
      <c r="AH590" s="1"/>
      <c r="AI590" s="1"/>
      <c r="AJ590" s="1"/>
      <c r="AK590" s="1"/>
      <c r="AL590" s="1"/>
      <c r="AM590" s="1"/>
      <c r="AN590" s="1"/>
      <c r="AO590" s="1" t="s">
        <v>5077</v>
      </c>
      <c r="AP590" s="1"/>
      <c r="AQ590" s="1"/>
      <c r="AR590" s="1"/>
      <c r="AS590" s="1"/>
      <c r="AT590" s="1"/>
      <c r="AU590" s="3">
        <v>2015</v>
      </c>
      <c r="AV590" s="3">
        <v>70</v>
      </c>
      <c r="AW590" s="2"/>
      <c r="AX590" s="2"/>
      <c r="AY590" s="2"/>
      <c r="AZ590" s="1"/>
      <c r="BA590" s="2"/>
      <c r="BB590" s="3">
        <v>867</v>
      </c>
      <c r="BC590" s="3">
        <v>871</v>
      </c>
      <c r="BD590" s="2"/>
      <c r="BE590" s="1" t="s">
        <v>5078</v>
      </c>
      <c r="BF590" s="4">
        <f>HYPERLINK("http://dx.doi.org/10.1016/j.phpro.2015.08.178","http://dx.doi.org/10.1016/j.phpro.2015.08.178")</f>
      </c>
      <c r="BG590" s="1"/>
      <c r="BH590" s="1"/>
      <c r="BI590" s="1"/>
      <c r="BJ590" s="1"/>
      <c r="BK590" s="1"/>
      <c r="BL590" s="1"/>
      <c r="BM590" s="1"/>
      <c r="BN590" s="2"/>
      <c r="BO590" s="1"/>
      <c r="BP590" s="1"/>
      <c r="BQ590" s="1"/>
      <c r="BR590" s="1"/>
      <c r="BS590" s="1" t="s">
        <v>5079</v>
      </c>
      <c r="BT590" s="5">
        <f>HYPERLINK("https%3A%2F%2Fwww.webofscience.com%2Fwos%2Fwoscc%2Ffull-record%2FWOS:000380533000205","View Full Record in Web of Science")</f>
      </c>
    </row>
    <row x14ac:dyDescent="0.25" r="591" customHeight="1" ht="12.75">
      <c r="A591" s="1" t="s">
        <v>303</v>
      </c>
      <c r="B591" s="1" t="s">
        <v>5080</v>
      </c>
      <c r="C591" s="1"/>
      <c r="D591" s="1" t="s">
        <v>5081</v>
      </c>
      <c r="E591" s="1"/>
      <c r="F591" s="1" t="s">
        <v>5082</v>
      </c>
      <c r="G591" s="1"/>
      <c r="H591" s="1"/>
      <c r="I591" s="1" t="s">
        <v>5083</v>
      </c>
      <c r="J591" s="1" t="s">
        <v>5084</v>
      </c>
      <c r="K591" s="1" t="s">
        <v>3617</v>
      </c>
      <c r="L591" s="1"/>
      <c r="M591" s="1"/>
      <c r="N591" s="1"/>
      <c r="O591" s="1" t="s">
        <v>5085</v>
      </c>
      <c r="P591" s="2" t="s">
        <v>5086</v>
      </c>
      <c r="Q591" s="1" t="s">
        <v>5087</v>
      </c>
      <c r="R591" s="1"/>
      <c r="S591" s="1"/>
      <c r="T591" s="1"/>
      <c r="U591" s="1"/>
      <c r="V591" s="1" t="s">
        <v>5088</v>
      </c>
      <c r="W591" s="1"/>
      <c r="X591" s="1"/>
      <c r="Y591" s="1"/>
      <c r="Z591" s="1"/>
      <c r="AA591" s="1"/>
      <c r="AB591" s="1"/>
      <c r="AC591" s="1"/>
      <c r="AD591" s="1"/>
      <c r="AE591" s="1"/>
      <c r="AF591" s="1"/>
      <c r="AG591" s="1"/>
      <c r="AH591" s="1"/>
      <c r="AI591" s="1"/>
      <c r="AJ591" s="1"/>
      <c r="AK591" s="1"/>
      <c r="AL591" s="1"/>
      <c r="AM591" s="1"/>
      <c r="AN591" s="1"/>
      <c r="AO591" s="1" t="s">
        <v>3108</v>
      </c>
      <c r="AP591" s="1"/>
      <c r="AQ591" s="1" t="s">
        <v>5089</v>
      </c>
      <c r="AR591" s="1"/>
      <c r="AS591" s="1"/>
      <c r="AT591" s="1"/>
      <c r="AU591" s="3">
        <v>2015</v>
      </c>
      <c r="AV591" s="3">
        <v>9454</v>
      </c>
      <c r="AW591" s="2"/>
      <c r="AX591" s="2"/>
      <c r="AY591" s="2"/>
      <c r="AZ591" s="1"/>
      <c r="BA591" s="2"/>
      <c r="BB591" s="3">
        <v>128</v>
      </c>
      <c r="BC591" s="3">
        <v>133</v>
      </c>
      <c r="BD591" s="2"/>
      <c r="BE591" s="1" t="s">
        <v>5090</v>
      </c>
      <c r="BF591" s="4">
        <f>HYPERLINK("http://dx.doi.org/10.1007/978-3-319-26401-1_12","http://dx.doi.org/10.1007/978-3-319-26401-1_12")</f>
      </c>
      <c r="BG591" s="1"/>
      <c r="BH591" s="1"/>
      <c r="BI591" s="1"/>
      <c r="BJ591" s="1"/>
      <c r="BK591" s="1"/>
      <c r="BL591" s="1"/>
      <c r="BM591" s="1"/>
      <c r="BN591" s="2"/>
      <c r="BO591" s="1"/>
      <c r="BP591" s="1"/>
      <c r="BQ591" s="1"/>
      <c r="BR591" s="1"/>
      <c r="BS591" s="1" t="s">
        <v>5091</v>
      </c>
      <c r="BT591" s="5">
        <f>HYPERLINK("https%3A%2F%2Fwww.webofscience.com%2Fwos%2Fwoscc%2Ffull-record%2FWOS:000375991300012","View Full Record in Web of Science")</f>
      </c>
    </row>
    <row x14ac:dyDescent="0.25" r="592" customHeight="1" ht="12.75">
      <c r="A592" s="1" t="s">
        <v>72</v>
      </c>
      <c r="B592" s="1" t="s">
        <v>5092</v>
      </c>
      <c r="C592" s="1"/>
      <c r="D592" s="1"/>
      <c r="E592" s="1"/>
      <c r="F592" s="1" t="s">
        <v>5093</v>
      </c>
      <c r="G592" s="1"/>
      <c r="H592" s="1"/>
      <c r="I592" s="1" t="s">
        <v>5094</v>
      </c>
      <c r="J592" s="1" t="s">
        <v>5095</v>
      </c>
      <c r="K592" s="1"/>
      <c r="L592" s="1"/>
      <c r="M592" s="1"/>
      <c r="N592" s="1"/>
      <c r="O592" s="1"/>
      <c r="P592" s="2"/>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t="s">
        <v>5096</v>
      </c>
      <c r="AP592" s="1" t="s">
        <v>5097</v>
      </c>
      <c r="AQ592" s="1"/>
      <c r="AR592" s="1"/>
      <c r="AS592" s="1"/>
      <c r="AT592" s="1" t="s">
        <v>204</v>
      </c>
      <c r="AU592" s="3">
        <v>2014</v>
      </c>
      <c r="AV592" s="3">
        <v>10</v>
      </c>
      <c r="AW592" s="3">
        <v>4</v>
      </c>
      <c r="AX592" s="2"/>
      <c r="AY592" s="2"/>
      <c r="AZ592" s="1"/>
      <c r="BA592" s="2" t="s">
        <v>5098</v>
      </c>
      <c r="BB592" s="3">
        <v>747</v>
      </c>
      <c r="BC592" s="3">
        <v>747</v>
      </c>
      <c r="BD592" s="2"/>
      <c r="BE592" s="1"/>
      <c r="BF592" s="1"/>
      <c r="BG592" s="1"/>
      <c r="BH592" s="1"/>
      <c r="BI592" s="1"/>
      <c r="BJ592" s="1"/>
      <c r="BK592" s="1"/>
      <c r="BL592" s="1"/>
      <c r="BM592" s="1"/>
      <c r="BN592" s="2"/>
      <c r="BO592" s="1"/>
      <c r="BP592" s="1"/>
      <c r="BQ592" s="1"/>
      <c r="BR592" s="1"/>
      <c r="BS592" s="1" t="s">
        <v>5099</v>
      </c>
      <c r="BT592" s="5">
        <f>HYPERLINK("https%3A%2F%2Fwww.webofscience.com%2Fwos%2Fwoscc%2Ffull-record%2FWOS:000348578700235","View Full Record in Web of Science")</f>
      </c>
    </row>
    <row x14ac:dyDescent="0.25" r="593" customHeight="1" ht="12.75">
      <c r="A593" s="1" t="s">
        <v>72</v>
      </c>
      <c r="B593" s="1" t="s">
        <v>5100</v>
      </c>
      <c r="C593" s="1"/>
      <c r="D593" s="1"/>
      <c r="E593" s="1"/>
      <c r="F593" s="1" t="s">
        <v>5101</v>
      </c>
      <c r="G593" s="1"/>
      <c r="H593" s="1"/>
      <c r="I593" s="1" t="s">
        <v>5102</v>
      </c>
      <c r="J593" s="1" t="s">
        <v>585</v>
      </c>
      <c r="K593" s="1"/>
      <c r="L593" s="1"/>
      <c r="M593" s="1"/>
      <c r="N593" s="1"/>
      <c r="O593" s="1"/>
      <c r="P593" s="2"/>
      <c r="Q593" s="1"/>
      <c r="R593" s="1"/>
      <c r="S593" s="1"/>
      <c r="T593" s="1"/>
      <c r="U593" s="1"/>
      <c r="V593" s="1" t="s">
        <v>5103</v>
      </c>
      <c r="W593" s="1"/>
      <c r="X593" s="1"/>
      <c r="Y593" s="1"/>
      <c r="Z593" s="1"/>
      <c r="AA593" s="1" t="s">
        <v>5104</v>
      </c>
      <c r="AB593" s="1" t="s">
        <v>5105</v>
      </c>
      <c r="AC593" s="1"/>
      <c r="AD593" s="1"/>
      <c r="AE593" s="1"/>
      <c r="AF593" s="1"/>
      <c r="AG593" s="1"/>
      <c r="AH593" s="1"/>
      <c r="AI593" s="1"/>
      <c r="AJ593" s="1"/>
      <c r="AK593" s="1"/>
      <c r="AL593" s="1"/>
      <c r="AM593" s="1"/>
      <c r="AN593" s="1"/>
      <c r="AO593" s="1" t="s">
        <v>589</v>
      </c>
      <c r="AP593" s="1"/>
      <c r="AQ593" s="1"/>
      <c r="AR593" s="1"/>
      <c r="AS593" s="1"/>
      <c r="AT593" s="1" t="s">
        <v>126</v>
      </c>
      <c r="AU593" s="3">
        <v>2014</v>
      </c>
      <c r="AV593" s="3">
        <v>13</v>
      </c>
      <c r="AW593" s="3">
        <v>4</v>
      </c>
      <c r="AX593" s="2"/>
      <c r="AY593" s="2"/>
      <c r="AZ593" s="1"/>
      <c r="BA593" s="2"/>
      <c r="BB593" s="3">
        <v>375</v>
      </c>
      <c r="BC593" s="3">
        <v>380</v>
      </c>
      <c r="BD593" s="2"/>
      <c r="BE593" s="1"/>
      <c r="BF593" s="1"/>
      <c r="BG593" s="1"/>
      <c r="BH593" s="1"/>
      <c r="BI593" s="1"/>
      <c r="BJ593" s="1"/>
      <c r="BK593" s="1"/>
      <c r="BL593" s="1"/>
      <c r="BM593" s="1"/>
      <c r="BN593" s="2"/>
      <c r="BO593" s="1"/>
      <c r="BP593" s="1"/>
      <c r="BQ593" s="1"/>
      <c r="BR593" s="1"/>
      <c r="BS593" s="1" t="s">
        <v>5106</v>
      </c>
      <c r="BT593" s="5">
        <f>HYPERLINK("https%3A%2F%2Fwww.webofscience.com%2Fwos%2Fwoscc%2Ffull-record%2FWOS:000343600200009","View Full Record in Web of Science")</f>
      </c>
    </row>
    <row x14ac:dyDescent="0.25" r="594" customHeight="1" ht="12.75">
      <c r="A594" s="1" t="s">
        <v>72</v>
      </c>
      <c r="B594" s="1" t="s">
        <v>5107</v>
      </c>
      <c r="C594" s="1"/>
      <c r="D594" s="1"/>
      <c r="E594" s="1"/>
      <c r="F594" s="1" t="s">
        <v>5108</v>
      </c>
      <c r="G594" s="1"/>
      <c r="H594" s="1"/>
      <c r="I594" s="1" t="s">
        <v>5109</v>
      </c>
      <c r="J594" s="1" t="s">
        <v>1357</v>
      </c>
      <c r="K594" s="1"/>
      <c r="L594" s="1"/>
      <c r="M594" s="1"/>
      <c r="N594" s="1"/>
      <c r="O594" s="1"/>
      <c r="P594" s="2"/>
      <c r="Q594" s="1"/>
      <c r="R594" s="1"/>
      <c r="S594" s="1"/>
      <c r="T594" s="1"/>
      <c r="U594" s="1"/>
      <c r="V594" s="1" t="s">
        <v>5110</v>
      </c>
      <c r="W594" s="1"/>
      <c r="X594" s="1"/>
      <c r="Y594" s="1"/>
      <c r="Z594" s="1"/>
      <c r="AA594" s="1" t="s">
        <v>5111</v>
      </c>
      <c r="AB594" s="1" t="s">
        <v>5112</v>
      </c>
      <c r="AC594" s="1"/>
      <c r="AD594" s="1"/>
      <c r="AE594" s="1"/>
      <c r="AF594" s="1"/>
      <c r="AG594" s="1"/>
      <c r="AH594" s="1"/>
      <c r="AI594" s="1"/>
      <c r="AJ594" s="1"/>
      <c r="AK594" s="1"/>
      <c r="AL594" s="1"/>
      <c r="AM594" s="1"/>
      <c r="AN594" s="1"/>
      <c r="AO594" s="1" t="s">
        <v>1360</v>
      </c>
      <c r="AP594" s="1"/>
      <c r="AQ594" s="1"/>
      <c r="AR594" s="1"/>
      <c r="AS594" s="1"/>
      <c r="AT594" s="1" t="s">
        <v>431</v>
      </c>
      <c r="AU594" s="3">
        <v>2013</v>
      </c>
      <c r="AV594" s="3">
        <v>8</v>
      </c>
      <c r="AW594" s="3">
        <v>10</v>
      </c>
      <c r="AX594" s="2"/>
      <c r="AY594" s="2"/>
      <c r="AZ594" s="1"/>
      <c r="BA594" s="2"/>
      <c r="BB594" s="3">
        <v>12005</v>
      </c>
      <c r="BC594" s="3">
        <v>12014</v>
      </c>
      <c r="BD594" s="2"/>
      <c r="BE594" s="1"/>
      <c r="BF594" s="1"/>
      <c r="BG594" s="1"/>
      <c r="BH594" s="1"/>
      <c r="BI594" s="1"/>
      <c r="BJ594" s="1"/>
      <c r="BK594" s="1"/>
      <c r="BL594" s="1"/>
      <c r="BM594" s="1"/>
      <c r="BN594" s="2"/>
      <c r="BO594" s="1"/>
      <c r="BP594" s="1"/>
      <c r="BQ594" s="1"/>
      <c r="BR594" s="1"/>
      <c r="BS594" s="1" t="s">
        <v>5113</v>
      </c>
      <c r="BT594" s="5">
        <f>HYPERLINK("https%3A%2F%2Fwww.webofscience.com%2Fwos%2Fwoscc%2Ffull-record%2FWOS:000326501800028","View Full Record in Web of Science")</f>
      </c>
    </row>
    <row x14ac:dyDescent="0.25" r="595" customHeight="1" ht="12.75">
      <c r="A595" s="1" t="s">
        <v>72</v>
      </c>
      <c r="B595" s="1" t="s">
        <v>5114</v>
      </c>
      <c r="C595" s="1"/>
      <c r="D595" s="1"/>
      <c r="E595" s="1"/>
      <c r="F595" s="1" t="s">
        <v>5115</v>
      </c>
      <c r="G595" s="1"/>
      <c r="H595" s="1"/>
      <c r="I595" s="1" t="s">
        <v>5116</v>
      </c>
      <c r="J595" s="1" t="s">
        <v>5117</v>
      </c>
      <c r="K595" s="1"/>
      <c r="L595" s="1"/>
      <c r="M595" s="1"/>
      <c r="N595" s="1"/>
      <c r="O595" s="1"/>
      <c r="P595" s="2"/>
      <c r="Q595" s="1"/>
      <c r="R595" s="1"/>
      <c r="S595" s="1"/>
      <c r="T595" s="1"/>
      <c r="U595" s="1"/>
      <c r="V595" s="1" t="s">
        <v>5118</v>
      </c>
      <c r="W595" s="1"/>
      <c r="X595" s="1"/>
      <c r="Y595" s="1"/>
      <c r="Z595" s="1"/>
      <c r="AA595" s="1"/>
      <c r="AB595" s="1" t="s">
        <v>3130</v>
      </c>
      <c r="AC595" s="1"/>
      <c r="AD595" s="1"/>
      <c r="AE595" s="1"/>
      <c r="AF595" s="1"/>
      <c r="AG595" s="1"/>
      <c r="AH595" s="1"/>
      <c r="AI595" s="1"/>
      <c r="AJ595" s="1"/>
      <c r="AK595" s="1"/>
      <c r="AL595" s="1"/>
      <c r="AM595" s="1"/>
      <c r="AN595" s="1"/>
      <c r="AO595" s="1" t="s">
        <v>5119</v>
      </c>
      <c r="AP595" s="1" t="s">
        <v>5120</v>
      </c>
      <c r="AQ595" s="1"/>
      <c r="AR595" s="1"/>
      <c r="AS595" s="1"/>
      <c r="AT595" s="1" t="s">
        <v>757</v>
      </c>
      <c r="AU595" s="3">
        <v>2013</v>
      </c>
      <c r="AV595" s="3">
        <v>70</v>
      </c>
      <c r="AW595" s="2"/>
      <c r="AX595" s="2"/>
      <c r="AY595" s="2"/>
      <c r="AZ595" s="1"/>
      <c r="BA595" s="2"/>
      <c r="BB595" s="3">
        <v>31</v>
      </c>
      <c r="BC595" s="3">
        <v>39</v>
      </c>
      <c r="BD595" s="2"/>
      <c r="BE595" s="1" t="s">
        <v>5121</v>
      </c>
      <c r="BF595" s="4">
        <f>HYPERLINK("http://dx.doi.org/10.1016/j.enconman.2013.01.032","http://dx.doi.org/10.1016/j.enconman.2013.01.032")</f>
      </c>
      <c r="BG595" s="1"/>
      <c r="BH595" s="1"/>
      <c r="BI595" s="1"/>
      <c r="BJ595" s="1"/>
      <c r="BK595" s="1"/>
      <c r="BL595" s="1"/>
      <c r="BM595" s="1"/>
      <c r="BN595" s="2"/>
      <c r="BO595" s="1"/>
      <c r="BP595" s="1"/>
      <c r="BQ595" s="1"/>
      <c r="BR595" s="1"/>
      <c r="BS595" s="1" t="s">
        <v>5122</v>
      </c>
      <c r="BT595" s="5">
        <f>HYPERLINK("https%3A%2F%2Fwww.webofscience.com%2Fwos%2Fwoscc%2Ffull-record%2FWOS:000319237900004","View Full Record in Web of Science")</f>
      </c>
    </row>
    <row x14ac:dyDescent="0.25" r="596" customHeight="1" ht="12.75">
      <c r="A596" s="1" t="s">
        <v>72</v>
      </c>
      <c r="B596" s="1" t="s">
        <v>5123</v>
      </c>
      <c r="C596" s="1"/>
      <c r="D596" s="1"/>
      <c r="E596" s="1"/>
      <c r="F596" s="1" t="s">
        <v>5124</v>
      </c>
      <c r="G596" s="1"/>
      <c r="H596" s="1"/>
      <c r="I596" s="1" t="s">
        <v>5125</v>
      </c>
      <c r="J596" s="1" t="s">
        <v>1459</v>
      </c>
      <c r="K596" s="1"/>
      <c r="L596" s="1"/>
      <c r="M596" s="1"/>
      <c r="N596" s="1"/>
      <c r="O596" s="1"/>
      <c r="P596" s="2"/>
      <c r="Q596" s="1"/>
      <c r="R596" s="1"/>
      <c r="S596" s="1"/>
      <c r="T596" s="1"/>
      <c r="U596" s="1"/>
      <c r="V596" s="1" t="s">
        <v>5126</v>
      </c>
      <c r="W596" s="1"/>
      <c r="X596" s="1"/>
      <c r="Y596" s="1"/>
      <c r="Z596" s="1"/>
      <c r="AA596" s="1" t="s">
        <v>5127</v>
      </c>
      <c r="AB596" s="1" t="s">
        <v>5128</v>
      </c>
      <c r="AC596" s="1"/>
      <c r="AD596" s="1"/>
      <c r="AE596" s="1"/>
      <c r="AF596" s="1"/>
      <c r="AG596" s="1"/>
      <c r="AH596" s="1"/>
      <c r="AI596" s="1"/>
      <c r="AJ596" s="1"/>
      <c r="AK596" s="1"/>
      <c r="AL596" s="1"/>
      <c r="AM596" s="1"/>
      <c r="AN596" s="1"/>
      <c r="AO596" s="1" t="s">
        <v>1462</v>
      </c>
      <c r="AP596" s="1" t="s">
        <v>5129</v>
      </c>
      <c r="AQ596" s="1"/>
      <c r="AR596" s="1"/>
      <c r="AS596" s="1"/>
      <c r="AT596" s="1" t="s">
        <v>5130</v>
      </c>
      <c r="AU596" s="3">
        <v>2012</v>
      </c>
      <c r="AV596" s="3">
        <v>48</v>
      </c>
      <c r="AW596" s="3">
        <v>2</v>
      </c>
      <c r="AX596" s="2"/>
      <c r="AY596" s="2"/>
      <c r="AZ596" s="1"/>
      <c r="BA596" s="2"/>
      <c r="BB596" s="3">
        <v>107</v>
      </c>
      <c r="BC596" s="3">
        <v>117</v>
      </c>
      <c r="BD596" s="2"/>
      <c r="BE596" s="1" t="s">
        <v>5131</v>
      </c>
      <c r="BF596" s="4">
        <f>HYPERLINK("http://dx.doi.org/10.3989/revmetalm.1155","http://dx.doi.org/10.3989/revmetalm.1155")</f>
      </c>
      <c r="BG596" s="1"/>
      <c r="BH596" s="1"/>
      <c r="BI596" s="1"/>
      <c r="BJ596" s="1"/>
      <c r="BK596" s="1"/>
      <c r="BL596" s="1"/>
      <c r="BM596" s="1"/>
      <c r="BN596" s="2"/>
      <c r="BO596" s="1"/>
      <c r="BP596" s="1"/>
      <c r="BQ596" s="1"/>
      <c r="BR596" s="1"/>
      <c r="BS596" s="1" t="s">
        <v>5132</v>
      </c>
      <c r="BT596" s="5">
        <f>HYPERLINK("https%3A%2F%2Fwww.webofscience.com%2Fwos%2Fwoscc%2Ffull-record%2FWOS:000305303200003","View Full Record in Web of Science")</f>
      </c>
    </row>
    <row x14ac:dyDescent="0.25" r="597" customHeight="1" ht="12.75">
      <c r="A597" s="1" t="s">
        <v>303</v>
      </c>
      <c r="B597" s="1" t="s">
        <v>5133</v>
      </c>
      <c r="C597" s="1"/>
      <c r="D597" s="1" t="s">
        <v>5134</v>
      </c>
      <c r="E597" s="1"/>
      <c r="F597" s="1" t="s">
        <v>5135</v>
      </c>
      <c r="G597" s="1"/>
      <c r="H597" s="1"/>
      <c r="I597" s="1" t="s">
        <v>5136</v>
      </c>
      <c r="J597" s="1" t="s">
        <v>5137</v>
      </c>
      <c r="K597" s="1" t="s">
        <v>5138</v>
      </c>
      <c r="L597" s="1"/>
      <c r="M597" s="1"/>
      <c r="N597" s="1"/>
      <c r="O597" s="1" t="s">
        <v>5139</v>
      </c>
      <c r="P597" s="2" t="s">
        <v>5140</v>
      </c>
      <c r="Q597" s="1" t="s">
        <v>5141</v>
      </c>
      <c r="R597" s="1" t="s">
        <v>5142</v>
      </c>
      <c r="S597" s="1" t="s">
        <v>5143</v>
      </c>
      <c r="T597" s="1"/>
      <c r="U597" s="1"/>
      <c r="V597" s="1" t="s">
        <v>5144</v>
      </c>
      <c r="W597" s="1"/>
      <c r="X597" s="1"/>
      <c r="Y597" s="1"/>
      <c r="Z597" s="1"/>
      <c r="AA597" s="1"/>
      <c r="AB597" s="1" t="s">
        <v>3643</v>
      </c>
      <c r="AC597" s="1"/>
      <c r="AD597" s="1"/>
      <c r="AE597" s="1"/>
      <c r="AF597" s="1"/>
      <c r="AG597" s="1"/>
      <c r="AH597" s="1"/>
      <c r="AI597" s="1"/>
      <c r="AJ597" s="1"/>
      <c r="AK597" s="1"/>
      <c r="AL597" s="1"/>
      <c r="AM597" s="1"/>
      <c r="AN597" s="1"/>
      <c r="AO597" s="1" t="s">
        <v>5145</v>
      </c>
      <c r="AP597" s="1"/>
      <c r="AQ597" s="1" t="s">
        <v>5146</v>
      </c>
      <c r="AR597" s="1"/>
      <c r="AS597" s="1"/>
      <c r="AT597" s="1"/>
      <c r="AU597" s="3">
        <v>2012</v>
      </c>
      <c r="AV597" s="3">
        <v>1433</v>
      </c>
      <c r="AW597" s="2"/>
      <c r="AX597" s="2"/>
      <c r="AY597" s="2"/>
      <c r="AZ597" s="1"/>
      <c r="BA597" s="2"/>
      <c r="BB597" s="3">
        <v>39</v>
      </c>
      <c r="BC597" s="3">
        <v>42</v>
      </c>
      <c r="BD597" s="2"/>
      <c r="BE597" s="1" t="s">
        <v>5147</v>
      </c>
      <c r="BF597" s="4">
        <f>HYPERLINK("http://dx.doi.org/10.1063/1.3703134","http://dx.doi.org/10.1063/1.3703134")</f>
      </c>
      <c r="BG597" s="1"/>
      <c r="BH597" s="1"/>
      <c r="BI597" s="1"/>
      <c r="BJ597" s="1"/>
      <c r="BK597" s="1"/>
      <c r="BL597" s="1"/>
      <c r="BM597" s="1"/>
      <c r="BN597" s="2"/>
      <c r="BO597" s="1"/>
      <c r="BP597" s="1"/>
      <c r="BQ597" s="1"/>
      <c r="BR597" s="1"/>
      <c r="BS597" s="1" t="s">
        <v>5148</v>
      </c>
      <c r="BT597" s="5">
        <f>HYPERLINK("https%3A%2F%2Fwww.webofscience.com%2Fwos%2Fwoscc%2Ffull-record%2FWOS:000307631000005","View Full Record in Web of Science")</f>
      </c>
    </row>
    <row x14ac:dyDescent="0.25" r="598" customHeight="1" ht="12.75">
      <c r="A598" s="1" t="s">
        <v>72</v>
      </c>
      <c r="B598" s="1" t="s">
        <v>3697</v>
      </c>
      <c r="C598" s="1"/>
      <c r="D598" s="1"/>
      <c r="E598" s="1"/>
      <c r="F598" s="1" t="s">
        <v>3698</v>
      </c>
      <c r="G598" s="1"/>
      <c r="H598" s="1"/>
      <c r="I598" s="1" t="s">
        <v>5149</v>
      </c>
      <c r="J598" s="1" t="s">
        <v>5150</v>
      </c>
      <c r="K598" s="1"/>
      <c r="L598" s="1"/>
      <c r="M598" s="1"/>
      <c r="N598" s="1"/>
      <c r="O598" s="1"/>
      <c r="P598" s="2"/>
      <c r="Q598" s="1"/>
      <c r="R598" s="1"/>
      <c r="S598" s="1"/>
      <c r="T598" s="1"/>
      <c r="U598" s="1"/>
      <c r="V598" s="1" t="s">
        <v>5151</v>
      </c>
      <c r="W598" s="1"/>
      <c r="X598" s="1"/>
      <c r="Y598" s="1"/>
      <c r="Z598" s="1"/>
      <c r="AA598" s="1"/>
      <c r="AB598" s="1" t="s">
        <v>3702</v>
      </c>
      <c r="AC598" s="1"/>
      <c r="AD598" s="1"/>
      <c r="AE598" s="1"/>
      <c r="AF598" s="1"/>
      <c r="AG598" s="1"/>
      <c r="AH598" s="1"/>
      <c r="AI598" s="1"/>
      <c r="AJ598" s="1"/>
      <c r="AK598" s="1"/>
      <c r="AL598" s="1"/>
      <c r="AM598" s="1"/>
      <c r="AN598" s="1"/>
      <c r="AO598" s="1" t="s">
        <v>5152</v>
      </c>
      <c r="AP598" s="1" t="s">
        <v>5153</v>
      </c>
      <c r="AQ598" s="1"/>
      <c r="AR598" s="1"/>
      <c r="AS598" s="1"/>
      <c r="AT598" s="1" t="s">
        <v>204</v>
      </c>
      <c r="AU598" s="3">
        <v>2011</v>
      </c>
      <c r="AV598" s="3">
        <v>24</v>
      </c>
      <c r="AW598" s="3">
        <v>2</v>
      </c>
      <c r="AX598" s="2"/>
      <c r="AY598" s="2"/>
      <c r="AZ598" s="1"/>
      <c r="BA598" s="2"/>
      <c r="BB598" s="3">
        <v>269</v>
      </c>
      <c r="BC598" s="3">
        <v>304</v>
      </c>
      <c r="BD598" s="2"/>
      <c r="BE598" s="1"/>
      <c r="BF598" s="1"/>
      <c r="BG598" s="1"/>
      <c r="BH598" s="1"/>
      <c r="BI598" s="1"/>
      <c r="BJ598" s="1"/>
      <c r="BK598" s="1"/>
      <c r="BL598" s="1"/>
      <c r="BM598" s="1"/>
      <c r="BN598" s="2"/>
      <c r="BO598" s="1"/>
      <c r="BP598" s="1"/>
      <c r="BQ598" s="1"/>
      <c r="BR598" s="1"/>
      <c r="BS598" s="1" t="s">
        <v>5154</v>
      </c>
      <c r="BT598" s="5">
        <f>HYPERLINK("https%3A%2F%2Fwww.webofscience.com%2Fwos%2Fwoscc%2Ffull-record%2FWOS:000299667100009","View Full Record in Web of Science")</f>
      </c>
    </row>
    <row x14ac:dyDescent="0.25" r="599" customHeight="1" ht="12.75">
      <c r="A599" s="1" t="s">
        <v>72</v>
      </c>
      <c r="B599" s="1" t="s">
        <v>5155</v>
      </c>
      <c r="C599" s="1"/>
      <c r="D599" s="1"/>
      <c r="E599" s="1"/>
      <c r="F599" s="1" t="s">
        <v>5156</v>
      </c>
      <c r="G599" s="1"/>
      <c r="H599" s="1"/>
      <c r="I599" s="1" t="s">
        <v>5157</v>
      </c>
      <c r="J599" s="1" t="s">
        <v>585</v>
      </c>
      <c r="K599" s="1"/>
      <c r="L599" s="1"/>
      <c r="M599" s="1"/>
      <c r="N599" s="1"/>
      <c r="O599" s="1"/>
      <c r="P599" s="2"/>
      <c r="Q599" s="1"/>
      <c r="R599" s="1"/>
      <c r="S599" s="1"/>
      <c r="T599" s="1"/>
      <c r="U599" s="1"/>
      <c r="V599" s="1" t="s">
        <v>5158</v>
      </c>
      <c r="W599" s="1"/>
      <c r="X599" s="1"/>
      <c r="Y599" s="1"/>
      <c r="Z599" s="1"/>
      <c r="AA599" s="1"/>
      <c r="AB599" s="1"/>
      <c r="AC599" s="1"/>
      <c r="AD599" s="1"/>
      <c r="AE599" s="1"/>
      <c r="AF599" s="1"/>
      <c r="AG599" s="1"/>
      <c r="AH599" s="1"/>
      <c r="AI599" s="1"/>
      <c r="AJ599" s="1"/>
      <c r="AK599" s="1"/>
      <c r="AL599" s="1"/>
      <c r="AM599" s="1"/>
      <c r="AN599" s="1"/>
      <c r="AO599" s="1" t="s">
        <v>589</v>
      </c>
      <c r="AP599" s="1"/>
      <c r="AQ599" s="1"/>
      <c r="AR599" s="1"/>
      <c r="AS599" s="1"/>
      <c r="AT599" s="1" t="s">
        <v>126</v>
      </c>
      <c r="AU599" s="3">
        <v>2011</v>
      </c>
      <c r="AV599" s="3">
        <v>10</v>
      </c>
      <c r="AW599" s="3">
        <v>4</v>
      </c>
      <c r="AX599" s="2"/>
      <c r="AY599" s="2"/>
      <c r="AZ599" s="1"/>
      <c r="BA599" s="2"/>
      <c r="BB599" s="3">
        <v>292</v>
      </c>
      <c r="BC599" s="3">
        <v>296</v>
      </c>
      <c r="BD599" s="2"/>
      <c r="BE599" s="1"/>
      <c r="BF599" s="1"/>
      <c r="BG599" s="1"/>
      <c r="BH599" s="1"/>
      <c r="BI599" s="1"/>
      <c r="BJ599" s="1"/>
      <c r="BK599" s="1"/>
      <c r="BL599" s="1"/>
      <c r="BM599" s="1"/>
      <c r="BN599" s="2"/>
      <c r="BO599" s="1"/>
      <c r="BP599" s="1"/>
      <c r="BQ599" s="1"/>
      <c r="BR599" s="1"/>
      <c r="BS599" s="1" t="s">
        <v>5159</v>
      </c>
      <c r="BT599" s="5">
        <f>HYPERLINK("https%3A%2F%2Fwww.webofscience.com%2Fwos%2Fwoscc%2Ffull-record%2FWOS:000295837700002","View Full Record in Web of Science")</f>
      </c>
    </row>
    <row x14ac:dyDescent="0.25" r="600" customHeight="1" ht="12.75">
      <c r="A600" s="1" t="s">
        <v>72</v>
      </c>
      <c r="B600" s="1" t="s">
        <v>5160</v>
      </c>
      <c r="C600" s="1"/>
      <c r="D600" s="1"/>
      <c r="E600" s="1"/>
      <c r="F600" s="1" t="s">
        <v>5161</v>
      </c>
      <c r="G600" s="1"/>
      <c r="H600" s="1"/>
      <c r="I600" s="1" t="s">
        <v>5162</v>
      </c>
      <c r="J600" s="1" t="s">
        <v>1374</v>
      </c>
      <c r="K600" s="1"/>
      <c r="L600" s="1"/>
      <c r="M600" s="1"/>
      <c r="N600" s="1"/>
      <c r="O600" s="1"/>
      <c r="P600" s="2"/>
      <c r="Q600" s="1"/>
      <c r="R600" s="1"/>
      <c r="S600" s="1"/>
      <c r="T600" s="1"/>
      <c r="U600" s="1"/>
      <c r="V600" s="1" t="s">
        <v>5163</v>
      </c>
      <c r="W600" s="1"/>
      <c r="X600" s="1"/>
      <c r="Y600" s="1"/>
      <c r="Z600" s="1"/>
      <c r="AA600" s="1"/>
      <c r="AB600" s="1" t="s">
        <v>1376</v>
      </c>
      <c r="AC600" s="1"/>
      <c r="AD600" s="1"/>
      <c r="AE600" s="1"/>
      <c r="AF600" s="1"/>
      <c r="AG600" s="1"/>
      <c r="AH600" s="1"/>
      <c r="AI600" s="1"/>
      <c r="AJ600" s="1"/>
      <c r="AK600" s="1"/>
      <c r="AL600" s="1"/>
      <c r="AM600" s="1"/>
      <c r="AN600" s="1"/>
      <c r="AO600" s="1" t="s">
        <v>1377</v>
      </c>
      <c r="AP600" s="1"/>
      <c r="AQ600" s="1"/>
      <c r="AR600" s="1"/>
      <c r="AS600" s="1"/>
      <c r="AT600" s="1" t="s">
        <v>757</v>
      </c>
      <c r="AU600" s="3">
        <v>2011</v>
      </c>
      <c r="AV600" s="3">
        <v>20</v>
      </c>
      <c r="AW600" s="3">
        <v>2</v>
      </c>
      <c r="AX600" s="2"/>
      <c r="AY600" s="2"/>
      <c r="AZ600" s="1"/>
      <c r="BA600" s="2"/>
      <c r="BB600" s="3">
        <v>187</v>
      </c>
      <c r="BC600" s="3">
        <v>192</v>
      </c>
      <c r="BD600" s="2"/>
      <c r="BE600" s="1"/>
      <c r="BF600" s="1"/>
      <c r="BG600" s="1"/>
      <c r="BH600" s="1"/>
      <c r="BI600" s="1"/>
      <c r="BJ600" s="1"/>
      <c r="BK600" s="1"/>
      <c r="BL600" s="1"/>
      <c r="BM600" s="1"/>
      <c r="BN600" s="2"/>
      <c r="BO600" s="1"/>
      <c r="BP600" s="1"/>
      <c r="BQ600" s="1"/>
      <c r="BR600" s="1"/>
      <c r="BS600" s="1" t="s">
        <v>5164</v>
      </c>
      <c r="BT600" s="5">
        <f>HYPERLINK("https%3A%2F%2Fwww.webofscience.com%2Fwos%2Fwoscc%2Ffull-record%2FWOS:000292015600011","View Full Record in Web of Science")</f>
      </c>
    </row>
    <row x14ac:dyDescent="0.25" r="601" customHeight="1" ht="12.75">
      <c r="A601" s="1" t="s">
        <v>72</v>
      </c>
      <c r="B601" s="1" t="s">
        <v>5165</v>
      </c>
      <c r="C601" s="1"/>
      <c r="D601" s="1"/>
      <c r="E601" s="1"/>
      <c r="F601" s="1" t="s">
        <v>5166</v>
      </c>
      <c r="G601" s="1"/>
      <c r="H601" s="1"/>
      <c r="I601" s="1" t="s">
        <v>5167</v>
      </c>
      <c r="J601" s="1" t="s">
        <v>1507</v>
      </c>
      <c r="K601" s="1"/>
      <c r="L601" s="1"/>
      <c r="M601" s="1"/>
      <c r="N601" s="1"/>
      <c r="O601" s="1"/>
      <c r="P601" s="2"/>
      <c r="Q601" s="1"/>
      <c r="R601" s="1"/>
      <c r="S601" s="1"/>
      <c r="T601" s="1"/>
      <c r="U601" s="1"/>
      <c r="V601" s="1" t="s">
        <v>5168</v>
      </c>
      <c r="W601" s="1"/>
      <c r="X601" s="1"/>
      <c r="Y601" s="1"/>
      <c r="Z601" s="1"/>
      <c r="AA601" s="1"/>
      <c r="AB601" s="1" t="s">
        <v>1610</v>
      </c>
      <c r="AC601" s="1"/>
      <c r="AD601" s="1"/>
      <c r="AE601" s="1"/>
      <c r="AF601" s="1"/>
      <c r="AG601" s="1"/>
      <c r="AH601" s="1"/>
      <c r="AI601" s="1"/>
      <c r="AJ601" s="1"/>
      <c r="AK601" s="1"/>
      <c r="AL601" s="1"/>
      <c r="AM601" s="1"/>
      <c r="AN601" s="1"/>
      <c r="AO601" s="1" t="s">
        <v>2886</v>
      </c>
      <c r="AP601" s="1"/>
      <c r="AQ601" s="1"/>
      <c r="AR601" s="1"/>
      <c r="AS601" s="1"/>
      <c r="AT601" s="1" t="s">
        <v>605</v>
      </c>
      <c r="AU601" s="3">
        <v>2011</v>
      </c>
      <c r="AV601" s="3">
        <v>56</v>
      </c>
      <c r="AW601" s="3">
        <v>1</v>
      </c>
      <c r="AX601" s="2"/>
      <c r="AY601" s="2"/>
      <c r="AZ601" s="1"/>
      <c r="BA601" s="2"/>
      <c r="BB601" s="3">
        <v>532</v>
      </c>
      <c r="BC601" s="3">
        <v>534</v>
      </c>
      <c r="BD601" s="2"/>
      <c r="BE601" s="1" t="s">
        <v>5169</v>
      </c>
      <c r="BF601" s="4">
        <f>HYPERLINK("http://dx.doi.org/10.4067/S0717-97072011000100002","http://dx.doi.org/10.4067/S0717-97072011000100002")</f>
      </c>
      <c r="BG601" s="1"/>
      <c r="BH601" s="1"/>
      <c r="BI601" s="1"/>
      <c r="BJ601" s="1"/>
      <c r="BK601" s="1"/>
      <c r="BL601" s="1"/>
      <c r="BM601" s="1"/>
      <c r="BN601" s="2"/>
      <c r="BO601" s="1"/>
      <c r="BP601" s="1"/>
      <c r="BQ601" s="1"/>
      <c r="BR601" s="1"/>
      <c r="BS601" s="1" t="s">
        <v>5170</v>
      </c>
      <c r="BT601" s="5">
        <f>HYPERLINK("https%3A%2F%2Fwww.webofscience.com%2Fwos%2Fwoscc%2Ffull-record%2FWOS:000290700500002","View Full Record in Web of Science")</f>
      </c>
    </row>
    <row x14ac:dyDescent="0.25" r="602" customHeight="1" ht="12.75">
      <c r="A602" s="1" t="s">
        <v>72</v>
      </c>
      <c r="B602" s="1" t="s">
        <v>2264</v>
      </c>
      <c r="C602" s="1"/>
      <c r="D602" s="1"/>
      <c r="E602" s="1"/>
      <c r="F602" s="1" t="s">
        <v>2265</v>
      </c>
      <c r="G602" s="1"/>
      <c r="H602" s="1"/>
      <c r="I602" s="1" t="s">
        <v>5171</v>
      </c>
      <c r="J602" s="1" t="s">
        <v>5172</v>
      </c>
      <c r="K602" s="1"/>
      <c r="L602" s="1"/>
      <c r="M602" s="1"/>
      <c r="N602" s="1"/>
      <c r="O602" s="1"/>
      <c r="P602" s="2"/>
      <c r="Q602" s="1"/>
      <c r="R602" s="1"/>
      <c r="S602" s="1"/>
      <c r="T602" s="1"/>
      <c r="U602" s="1"/>
      <c r="V602" s="1" t="s">
        <v>5173</v>
      </c>
      <c r="W602" s="1"/>
      <c r="X602" s="1"/>
      <c r="Y602" s="1"/>
      <c r="Z602" s="1"/>
      <c r="AA602" s="1"/>
      <c r="AB602" s="1" t="s">
        <v>2269</v>
      </c>
      <c r="AC602" s="1"/>
      <c r="AD602" s="1"/>
      <c r="AE602" s="1"/>
      <c r="AF602" s="1"/>
      <c r="AG602" s="1"/>
      <c r="AH602" s="1"/>
      <c r="AI602" s="1"/>
      <c r="AJ602" s="1"/>
      <c r="AK602" s="1"/>
      <c r="AL602" s="1"/>
      <c r="AM602" s="1"/>
      <c r="AN602" s="1"/>
      <c r="AO602" s="1" t="s">
        <v>5174</v>
      </c>
      <c r="AP602" s="1" t="s">
        <v>5175</v>
      </c>
      <c r="AQ602" s="1"/>
      <c r="AR602" s="1"/>
      <c r="AS602" s="1"/>
      <c r="AT602" s="1" t="s">
        <v>763</v>
      </c>
      <c r="AU602" s="3">
        <v>2011</v>
      </c>
      <c r="AV602" s="3">
        <v>328</v>
      </c>
      <c r="AW602" s="3">
        <v>1</v>
      </c>
      <c r="AX602" s="2"/>
      <c r="AY602" s="2"/>
      <c r="AZ602" s="1"/>
      <c r="BA602" s="2"/>
      <c r="BB602" s="3">
        <v>31</v>
      </c>
      <c r="BC602" s="3">
        <v>42</v>
      </c>
      <c r="BD602" s="2"/>
      <c r="BE602" s="1" t="s">
        <v>5176</v>
      </c>
      <c r="BF602" s="4">
        <f>HYPERLINK("http://dx.doi.org/10.1016/j.jalgebra.2010.10.020","http://dx.doi.org/10.1016/j.jalgebra.2010.10.020")</f>
      </c>
      <c r="BG602" s="1"/>
      <c r="BH602" s="1"/>
      <c r="BI602" s="1"/>
      <c r="BJ602" s="1"/>
      <c r="BK602" s="1"/>
      <c r="BL602" s="1"/>
      <c r="BM602" s="1"/>
      <c r="BN602" s="2"/>
      <c r="BO602" s="1"/>
      <c r="BP602" s="1"/>
      <c r="BQ602" s="1"/>
      <c r="BR602" s="1"/>
      <c r="BS602" s="1" t="s">
        <v>5177</v>
      </c>
      <c r="BT602" s="5">
        <f>HYPERLINK("https%3A%2F%2Fwww.webofscience.com%2Fwos%2Fwoscc%2Ffull-record%2FWOS:000286447400002","View Full Record in Web of Science")</f>
      </c>
    </row>
    <row x14ac:dyDescent="0.25" r="603" customHeight="1" ht="12.75">
      <c r="A603" s="1" t="s">
        <v>72</v>
      </c>
      <c r="B603" s="1" t="s">
        <v>5178</v>
      </c>
      <c r="C603" s="1"/>
      <c r="D603" s="1"/>
      <c r="E603" s="1"/>
      <c r="F603" s="1" t="s">
        <v>5179</v>
      </c>
      <c r="G603" s="1"/>
      <c r="H603" s="1"/>
      <c r="I603" s="1" t="s">
        <v>5180</v>
      </c>
      <c r="J603" s="1" t="s">
        <v>5181</v>
      </c>
      <c r="K603" s="1"/>
      <c r="L603" s="1"/>
      <c r="M603" s="1"/>
      <c r="N603" s="1"/>
      <c r="O603" s="1"/>
      <c r="P603" s="2"/>
      <c r="Q603" s="1"/>
      <c r="R603" s="1"/>
      <c r="S603" s="1"/>
      <c r="T603" s="1"/>
      <c r="U603" s="1"/>
      <c r="V603" s="1" t="s">
        <v>5182</v>
      </c>
      <c r="W603" s="1"/>
      <c r="X603" s="1"/>
      <c r="Y603" s="1"/>
      <c r="Z603" s="1"/>
      <c r="AA603" s="1" t="s">
        <v>5183</v>
      </c>
      <c r="AB603" s="1" t="s">
        <v>5184</v>
      </c>
      <c r="AC603" s="1"/>
      <c r="AD603" s="1"/>
      <c r="AE603" s="1"/>
      <c r="AF603" s="1"/>
      <c r="AG603" s="1"/>
      <c r="AH603" s="1"/>
      <c r="AI603" s="1"/>
      <c r="AJ603" s="1"/>
      <c r="AK603" s="1"/>
      <c r="AL603" s="1"/>
      <c r="AM603" s="1"/>
      <c r="AN603" s="1"/>
      <c r="AO603" s="1" t="s">
        <v>5185</v>
      </c>
      <c r="AP603" s="1"/>
      <c r="AQ603" s="1"/>
      <c r="AR603" s="1"/>
      <c r="AS603" s="1"/>
      <c r="AT603" s="1"/>
      <c r="AU603" s="3">
        <v>2011</v>
      </c>
      <c r="AV603" s="3">
        <v>90</v>
      </c>
      <c r="AW603" s="3">
        <v>5</v>
      </c>
      <c r="AX603" s="2"/>
      <c r="AY603" s="2"/>
      <c r="AZ603" s="1"/>
      <c r="BA603" s="2"/>
      <c r="BB603" s="3">
        <v>787</v>
      </c>
      <c r="BC603" s="3">
        <v>798</v>
      </c>
      <c r="BD603" s="2" t="s">
        <v>5186</v>
      </c>
      <c r="BE603" s="1" t="s">
        <v>5187</v>
      </c>
      <c r="BF603" s="4">
        <f>HYPERLINK("http://dx.doi.org/10.1080/00036811.2010.505565","http://dx.doi.org/10.1080/00036811.2010.505565")</f>
      </c>
      <c r="BG603" s="1"/>
      <c r="BH603" s="1"/>
      <c r="BI603" s="1"/>
      <c r="BJ603" s="1"/>
      <c r="BK603" s="1"/>
      <c r="BL603" s="1"/>
      <c r="BM603" s="1"/>
      <c r="BN603" s="2"/>
      <c r="BO603" s="1"/>
      <c r="BP603" s="1"/>
      <c r="BQ603" s="1"/>
      <c r="BR603" s="1"/>
      <c r="BS603" s="1" t="s">
        <v>5188</v>
      </c>
      <c r="BT603" s="5">
        <f>HYPERLINK("https%3A%2F%2Fwww.webofscience.com%2Fwos%2Fwoscc%2Ffull-record%2FWOS:000289572800002","View Full Record in Web of Science")</f>
      </c>
    </row>
    <row x14ac:dyDescent="0.25" r="604" customHeight="1" ht="12.75">
      <c r="A604" s="1" t="s">
        <v>72</v>
      </c>
      <c r="B604" s="1" t="s">
        <v>697</v>
      </c>
      <c r="C604" s="1"/>
      <c r="D604" s="1"/>
      <c r="E604" s="1"/>
      <c r="F604" s="1" t="s">
        <v>698</v>
      </c>
      <c r="G604" s="1"/>
      <c r="H604" s="1"/>
      <c r="I604" s="1" t="s">
        <v>5189</v>
      </c>
      <c r="J604" s="1" t="s">
        <v>1661</v>
      </c>
      <c r="K604" s="1"/>
      <c r="L604" s="1"/>
      <c r="M604" s="1"/>
      <c r="N604" s="1"/>
      <c r="O604" s="1"/>
      <c r="P604" s="2"/>
      <c r="Q604" s="1"/>
      <c r="R604" s="1"/>
      <c r="S604" s="1"/>
      <c r="T604" s="1"/>
      <c r="U604" s="1"/>
      <c r="V604" s="1" t="s">
        <v>5190</v>
      </c>
      <c r="W604" s="1"/>
      <c r="X604" s="1"/>
      <c r="Y604" s="1"/>
      <c r="Z604" s="1"/>
      <c r="AA604" s="1" t="s">
        <v>702</v>
      </c>
      <c r="AB604" s="1" t="s">
        <v>703</v>
      </c>
      <c r="AC604" s="1"/>
      <c r="AD604" s="1"/>
      <c r="AE604" s="1"/>
      <c r="AF604" s="1"/>
      <c r="AG604" s="1"/>
      <c r="AH604" s="1"/>
      <c r="AI604" s="1"/>
      <c r="AJ604" s="1"/>
      <c r="AK604" s="1"/>
      <c r="AL604" s="1"/>
      <c r="AM604" s="1"/>
      <c r="AN604" s="1"/>
      <c r="AO604" s="1" t="s">
        <v>1663</v>
      </c>
      <c r="AP604" s="1"/>
      <c r="AQ604" s="1"/>
      <c r="AR604" s="1"/>
      <c r="AS604" s="1"/>
      <c r="AT604" s="1" t="s">
        <v>292</v>
      </c>
      <c r="AU604" s="3">
        <v>2010</v>
      </c>
      <c r="AV604" s="3">
        <v>49</v>
      </c>
      <c r="AW604" s="3">
        <v>9</v>
      </c>
      <c r="AX604" s="2"/>
      <c r="AY604" s="2"/>
      <c r="AZ604" s="1"/>
      <c r="BA604" s="2"/>
      <c r="BB604" s="3">
        <v>1985</v>
      </c>
      <c r="BC604" s="3">
        <v>1992</v>
      </c>
      <c r="BD604" s="2"/>
      <c r="BE604" s="1" t="s">
        <v>5191</v>
      </c>
      <c r="BF604" s="4">
        <f>HYPERLINK("http://dx.doi.org/10.1007/s10773-009-0217-5","http://dx.doi.org/10.1007/s10773-009-0217-5")</f>
      </c>
      <c r="BG604" s="1"/>
      <c r="BH604" s="1"/>
      <c r="BI604" s="1"/>
      <c r="BJ604" s="1"/>
      <c r="BK604" s="1"/>
      <c r="BL604" s="1"/>
      <c r="BM604" s="1"/>
      <c r="BN604" s="2"/>
      <c r="BO604" s="1"/>
      <c r="BP604" s="1"/>
      <c r="BQ604" s="1"/>
      <c r="BR604" s="1"/>
      <c r="BS604" s="1" t="s">
        <v>5192</v>
      </c>
      <c r="BT604" s="5">
        <f>HYPERLINK("https%3A%2F%2Fwww.webofscience.com%2Fwos%2Fwoscc%2Ffull-record%2FWOS:000281041400001","View Full Record in Web of Science")</f>
      </c>
    </row>
    <row x14ac:dyDescent="0.25" r="605" customHeight="1" ht="12.75">
      <c r="A605" s="1" t="s">
        <v>72</v>
      </c>
      <c r="B605" s="1" t="s">
        <v>5193</v>
      </c>
      <c r="C605" s="1"/>
      <c r="D605" s="1"/>
      <c r="E605" s="1"/>
      <c r="F605" s="1" t="s">
        <v>5194</v>
      </c>
      <c r="G605" s="1"/>
      <c r="H605" s="1"/>
      <c r="I605" s="1" t="s">
        <v>5195</v>
      </c>
      <c r="J605" s="1" t="s">
        <v>98</v>
      </c>
      <c r="K605" s="1"/>
      <c r="L605" s="1"/>
      <c r="M605" s="1"/>
      <c r="N605" s="1"/>
      <c r="O605" s="1"/>
      <c r="P605" s="2"/>
      <c r="Q605" s="1"/>
      <c r="R605" s="1"/>
      <c r="S605" s="1"/>
      <c r="T605" s="1"/>
      <c r="U605" s="1"/>
      <c r="V605" s="1" t="s">
        <v>5196</v>
      </c>
      <c r="W605" s="1"/>
      <c r="X605" s="1"/>
      <c r="Y605" s="1"/>
      <c r="Z605" s="1"/>
      <c r="AA605" s="1" t="s">
        <v>5197</v>
      </c>
      <c r="AB605" s="1" t="s">
        <v>5198</v>
      </c>
      <c r="AC605" s="1"/>
      <c r="AD605" s="1"/>
      <c r="AE605" s="1"/>
      <c r="AF605" s="1"/>
      <c r="AG605" s="1"/>
      <c r="AH605" s="1"/>
      <c r="AI605" s="1"/>
      <c r="AJ605" s="1"/>
      <c r="AK605" s="1"/>
      <c r="AL605" s="1"/>
      <c r="AM605" s="1"/>
      <c r="AN605" s="1"/>
      <c r="AO605" s="1" t="s">
        <v>101</v>
      </c>
      <c r="AP605" s="1"/>
      <c r="AQ605" s="1"/>
      <c r="AR605" s="1"/>
      <c r="AS605" s="1"/>
      <c r="AT605" s="1" t="s">
        <v>1029</v>
      </c>
      <c r="AU605" s="3">
        <v>2008</v>
      </c>
      <c r="AV605" s="3">
        <v>69</v>
      </c>
      <c r="AW605" s="3">
        <v>1</v>
      </c>
      <c r="AX605" s="2"/>
      <c r="AY605" s="2"/>
      <c r="AZ605" s="1"/>
      <c r="BA605" s="2"/>
      <c r="BB605" s="3">
        <v>140</v>
      </c>
      <c r="BC605" s="3">
        <v>150</v>
      </c>
      <c r="BD605" s="2"/>
      <c r="BE605" s="1" t="s">
        <v>5199</v>
      </c>
      <c r="BF605" s="4">
        <f>HYPERLINK("http://dx.doi.org/10.1016/j.na.2007.05.005","http://dx.doi.org/10.1016/j.na.2007.05.005")</f>
      </c>
      <c r="BG605" s="1"/>
      <c r="BH605" s="1"/>
      <c r="BI605" s="1"/>
      <c r="BJ605" s="1"/>
      <c r="BK605" s="1"/>
      <c r="BL605" s="1"/>
      <c r="BM605" s="1"/>
      <c r="BN605" s="2"/>
      <c r="BO605" s="1"/>
      <c r="BP605" s="1"/>
      <c r="BQ605" s="1"/>
      <c r="BR605" s="1"/>
      <c r="BS605" s="1" t="s">
        <v>5200</v>
      </c>
      <c r="BT605" s="5">
        <f>HYPERLINK("https%3A%2F%2Fwww.webofscience.com%2Fwos%2Fwoscc%2Ffull-record%2FWOS:000256952200011","View Full Record in Web of Science")</f>
      </c>
    </row>
    <row x14ac:dyDescent="0.25" r="606" customHeight="1" ht="12.75">
      <c r="A606" s="1" t="s">
        <v>72</v>
      </c>
      <c r="B606" s="1" t="s">
        <v>5201</v>
      </c>
      <c r="C606" s="1"/>
      <c r="D606" s="1"/>
      <c r="E606" s="1"/>
      <c r="F606" s="1" t="s">
        <v>5202</v>
      </c>
      <c r="G606" s="1"/>
      <c r="H606" s="1"/>
      <c r="I606" s="1" t="s">
        <v>5203</v>
      </c>
      <c r="J606" s="1" t="s">
        <v>4437</v>
      </c>
      <c r="K606" s="1"/>
      <c r="L606" s="1"/>
      <c r="M606" s="1"/>
      <c r="N606" s="1"/>
      <c r="O606" s="1"/>
      <c r="P606" s="2"/>
      <c r="Q606" s="1"/>
      <c r="R606" s="1"/>
      <c r="S606" s="1"/>
      <c r="T606" s="1"/>
      <c r="U606" s="1"/>
      <c r="V606" s="1" t="s">
        <v>5204</v>
      </c>
      <c r="W606" s="1"/>
      <c r="X606" s="1"/>
      <c r="Y606" s="1"/>
      <c r="Z606" s="1"/>
      <c r="AA606" s="1"/>
      <c r="AB606" s="1"/>
      <c r="AC606" s="1"/>
      <c r="AD606" s="1"/>
      <c r="AE606" s="1"/>
      <c r="AF606" s="1"/>
      <c r="AG606" s="1"/>
      <c r="AH606" s="1"/>
      <c r="AI606" s="1"/>
      <c r="AJ606" s="1"/>
      <c r="AK606" s="1"/>
      <c r="AL606" s="1"/>
      <c r="AM606" s="1"/>
      <c r="AN606" s="1"/>
      <c r="AO606" s="1" t="s">
        <v>4439</v>
      </c>
      <c r="AP606" s="1"/>
      <c r="AQ606" s="1"/>
      <c r="AR606" s="1"/>
      <c r="AS606" s="1"/>
      <c r="AT606" s="1" t="s">
        <v>103</v>
      </c>
      <c r="AU606" s="3">
        <v>2008</v>
      </c>
      <c r="AV606" s="3">
        <v>51</v>
      </c>
      <c r="AW606" s="2" t="s">
        <v>1479</v>
      </c>
      <c r="AX606" s="2"/>
      <c r="AY606" s="2"/>
      <c r="AZ606" s="1"/>
      <c r="BA606" s="2"/>
      <c r="BB606" s="3">
        <v>302</v>
      </c>
      <c r="BC606" s="3">
        <v>311</v>
      </c>
      <c r="BD606" s="2"/>
      <c r="BE606" s="1" t="s">
        <v>5205</v>
      </c>
      <c r="BF606" s="4">
        <f>HYPERLINK("http://dx.doi.org/10.1016/j.ijheatmasstransfer.2007.03.041","http://dx.doi.org/10.1016/j.ijheatmasstransfer.2007.03.041")</f>
      </c>
      <c r="BG606" s="1"/>
      <c r="BH606" s="1"/>
      <c r="BI606" s="1"/>
      <c r="BJ606" s="1"/>
      <c r="BK606" s="1"/>
      <c r="BL606" s="1"/>
      <c r="BM606" s="1"/>
      <c r="BN606" s="2"/>
      <c r="BO606" s="1"/>
      <c r="BP606" s="1"/>
      <c r="BQ606" s="1"/>
      <c r="BR606" s="1"/>
      <c r="BS606" s="1" t="s">
        <v>5206</v>
      </c>
      <c r="BT606" s="5">
        <f>HYPERLINK("https%3A%2F%2Fwww.webofscience.com%2Fwos%2Fwoscc%2Ffull-record%2FWOS:000252688800029","View Full Record in Web of Science")</f>
      </c>
    </row>
    <row x14ac:dyDescent="0.25" r="607" customHeight="1" ht="12.75">
      <c r="A607" s="1" t="s">
        <v>72</v>
      </c>
      <c r="B607" s="1" t="s">
        <v>5207</v>
      </c>
      <c r="C607" s="1"/>
      <c r="D607" s="1"/>
      <c r="E607" s="1"/>
      <c r="F607" s="1" t="s">
        <v>5208</v>
      </c>
      <c r="G607" s="1"/>
      <c r="H607" s="1"/>
      <c r="I607" s="1" t="s">
        <v>5209</v>
      </c>
      <c r="J607" s="1" t="s">
        <v>1507</v>
      </c>
      <c r="K607" s="1"/>
      <c r="L607" s="1"/>
      <c r="M607" s="1"/>
      <c r="N607" s="1"/>
      <c r="O607" s="1"/>
      <c r="P607" s="2"/>
      <c r="Q607" s="1"/>
      <c r="R607" s="1"/>
      <c r="S607" s="1"/>
      <c r="T607" s="1"/>
      <c r="U607" s="1"/>
      <c r="V607" s="1" t="s">
        <v>5210</v>
      </c>
      <c r="W607" s="1"/>
      <c r="X607" s="1"/>
      <c r="Y607" s="1"/>
      <c r="Z607" s="1"/>
      <c r="AA607" s="1" t="s">
        <v>5211</v>
      </c>
      <c r="AB607" s="1" t="s">
        <v>5212</v>
      </c>
      <c r="AC607" s="1"/>
      <c r="AD607" s="1"/>
      <c r="AE607" s="1"/>
      <c r="AF607" s="1"/>
      <c r="AG607" s="1"/>
      <c r="AH607" s="1"/>
      <c r="AI607" s="1"/>
      <c r="AJ607" s="1"/>
      <c r="AK607" s="1"/>
      <c r="AL607" s="1"/>
      <c r="AM607" s="1"/>
      <c r="AN607" s="1"/>
      <c r="AO607" s="1" t="s">
        <v>1510</v>
      </c>
      <c r="AP607" s="1"/>
      <c r="AQ607" s="1"/>
      <c r="AR607" s="1"/>
      <c r="AS607" s="1"/>
      <c r="AT607" s="1" t="s">
        <v>757</v>
      </c>
      <c r="AU607" s="3">
        <v>2007</v>
      </c>
      <c r="AV607" s="3">
        <v>52</v>
      </c>
      <c r="AW607" s="3">
        <v>2</v>
      </c>
      <c r="AX607" s="2"/>
      <c r="AY607" s="2"/>
      <c r="AZ607" s="1"/>
      <c r="BA607" s="2"/>
      <c r="BB607" s="3">
        <v>1142</v>
      </c>
      <c r="BC607" s="3">
        <v>1144</v>
      </c>
      <c r="BD607" s="2"/>
      <c r="BE607" s="1"/>
      <c r="BF607" s="1"/>
      <c r="BG607" s="1"/>
      <c r="BH607" s="1"/>
      <c r="BI607" s="1"/>
      <c r="BJ607" s="1"/>
      <c r="BK607" s="1"/>
      <c r="BL607" s="1"/>
      <c r="BM607" s="1"/>
      <c r="BN607" s="2"/>
      <c r="BO607" s="1"/>
      <c r="BP607" s="1"/>
      <c r="BQ607" s="1"/>
      <c r="BR607" s="1"/>
      <c r="BS607" s="1" t="s">
        <v>5213</v>
      </c>
      <c r="BT607" s="5">
        <f>HYPERLINK("https%3A%2F%2Fwww.webofscience.com%2Fwos%2Fwoscc%2Ffull-record%2FWOS:000247078800005","View Full Record in Web of Science")</f>
      </c>
    </row>
    <row x14ac:dyDescent="0.25" r="608" customHeight="1" ht="12.75">
      <c r="A608" s="1" t="s">
        <v>72</v>
      </c>
      <c r="B608" s="1" t="s">
        <v>5214</v>
      </c>
      <c r="C608" s="1"/>
      <c r="D608" s="1"/>
      <c r="E608" s="1"/>
      <c r="F608" s="1" t="s">
        <v>5215</v>
      </c>
      <c r="G608" s="1"/>
      <c r="H608" s="1"/>
      <c r="I608" s="1" t="s">
        <v>5216</v>
      </c>
      <c r="J608" s="1" t="s">
        <v>5217</v>
      </c>
      <c r="K608" s="1"/>
      <c r="L608" s="1"/>
      <c r="M608" s="1"/>
      <c r="N608" s="1"/>
      <c r="O608" s="1"/>
      <c r="P608" s="2"/>
      <c r="Q608" s="1"/>
      <c r="R608" s="1"/>
      <c r="S608" s="1"/>
      <c r="T608" s="1"/>
      <c r="U608" s="1"/>
      <c r="V608" s="1" t="s">
        <v>5218</v>
      </c>
      <c r="W608" s="1"/>
      <c r="X608" s="1"/>
      <c r="Y608" s="1"/>
      <c r="Z608" s="1"/>
      <c r="AA608" s="1" t="s">
        <v>5219</v>
      </c>
      <c r="AB608" s="1" t="s">
        <v>5220</v>
      </c>
      <c r="AC608" s="1"/>
      <c r="AD608" s="1"/>
      <c r="AE608" s="1"/>
      <c r="AF608" s="1"/>
      <c r="AG608" s="1"/>
      <c r="AH608" s="1"/>
      <c r="AI608" s="1"/>
      <c r="AJ608" s="1"/>
      <c r="AK608" s="1"/>
      <c r="AL608" s="1"/>
      <c r="AM608" s="1"/>
      <c r="AN608" s="1"/>
      <c r="AO608" s="1" t="s">
        <v>5221</v>
      </c>
      <c r="AP608" s="1" t="s">
        <v>5222</v>
      </c>
      <c r="AQ608" s="1"/>
      <c r="AR608" s="1"/>
      <c r="AS608" s="1"/>
      <c r="AT608" s="1" t="s">
        <v>292</v>
      </c>
      <c r="AU608" s="3">
        <v>2006</v>
      </c>
      <c r="AV608" s="3">
        <v>40</v>
      </c>
      <c r="AW608" s="3">
        <v>9</v>
      </c>
      <c r="AX608" s="2"/>
      <c r="AY608" s="2"/>
      <c r="AZ608" s="1"/>
      <c r="BA608" s="2"/>
      <c r="BB608" s="3">
        <v>979</v>
      </c>
      <c r="BC608" s="3">
        <v>985</v>
      </c>
      <c r="BD608" s="2"/>
      <c r="BE608" s="1" t="s">
        <v>5223</v>
      </c>
      <c r="BF608" s="4">
        <f>HYPERLINK("http://dx.doi.org/10.1080/10715760500481233","http://dx.doi.org/10.1080/10715760500481233")</f>
      </c>
      <c r="BG608" s="1"/>
      <c r="BH608" s="1"/>
      <c r="BI608" s="1"/>
      <c r="BJ608" s="1"/>
      <c r="BK608" s="1"/>
      <c r="BL608" s="1"/>
      <c r="BM608" s="1"/>
      <c r="BN608" s="3">
        <v>17015279</v>
      </c>
      <c r="BO608" s="1"/>
      <c r="BP608" s="1"/>
      <c r="BQ608" s="1"/>
      <c r="BR608" s="1"/>
      <c r="BS608" s="1" t="s">
        <v>5224</v>
      </c>
      <c r="BT608" s="5">
        <f>HYPERLINK("https%3A%2F%2Fwww.webofscience.com%2Fwos%2Fwoscc%2Ffull-record%2FWOS:000240748500011","View Full Record in Web of Science")</f>
      </c>
    </row>
    <row x14ac:dyDescent="0.25" r="609" customHeight="1" ht="12.75">
      <c r="A609" s="1" t="s">
        <v>72</v>
      </c>
      <c r="B609" s="1" t="s">
        <v>5225</v>
      </c>
      <c r="C609" s="1"/>
      <c r="D609" s="1"/>
      <c r="E609" s="1"/>
      <c r="F609" s="1" t="s">
        <v>5226</v>
      </c>
      <c r="G609" s="1"/>
      <c r="H609" s="1"/>
      <c r="I609" s="1" t="s">
        <v>5227</v>
      </c>
      <c r="J609" s="1" t="s">
        <v>3064</v>
      </c>
      <c r="K609" s="1"/>
      <c r="L609" s="1"/>
      <c r="M609" s="1"/>
      <c r="N609" s="1"/>
      <c r="O609" s="1"/>
      <c r="P609" s="2"/>
      <c r="Q609" s="1"/>
      <c r="R609" s="1"/>
      <c r="S609" s="1"/>
      <c r="T609" s="1"/>
      <c r="U609" s="1"/>
      <c r="V609" s="1" t="s">
        <v>5228</v>
      </c>
      <c r="W609" s="1"/>
      <c r="X609" s="1"/>
      <c r="Y609" s="1"/>
      <c r="Z609" s="1"/>
      <c r="AA609" s="1"/>
      <c r="AB609" s="1" t="s">
        <v>5229</v>
      </c>
      <c r="AC609" s="1"/>
      <c r="AD609" s="1"/>
      <c r="AE609" s="1"/>
      <c r="AF609" s="1"/>
      <c r="AG609" s="1"/>
      <c r="AH609" s="1"/>
      <c r="AI609" s="1"/>
      <c r="AJ609" s="1"/>
      <c r="AK609" s="1"/>
      <c r="AL609" s="1"/>
      <c r="AM609" s="1"/>
      <c r="AN609" s="1"/>
      <c r="AO609" s="1" t="s">
        <v>3066</v>
      </c>
      <c r="AP609" s="1" t="s">
        <v>3067</v>
      </c>
      <c r="AQ609" s="1"/>
      <c r="AR609" s="1"/>
      <c r="AS609" s="1"/>
      <c r="AT609" s="1" t="s">
        <v>757</v>
      </c>
      <c r="AU609" s="3">
        <v>2006</v>
      </c>
      <c r="AV609" s="3">
        <v>134</v>
      </c>
      <c r="AW609" s="3">
        <v>6</v>
      </c>
      <c r="AX609" s="2"/>
      <c r="AY609" s="2"/>
      <c r="AZ609" s="1"/>
      <c r="BA609" s="2"/>
      <c r="BB609" s="3">
        <v>754</v>
      </c>
      <c r="BC609" s="3">
        <v>761</v>
      </c>
      <c r="BD609" s="2"/>
      <c r="BE609" s="1"/>
      <c r="BF609" s="1"/>
      <c r="BG609" s="1"/>
      <c r="BH609" s="1"/>
      <c r="BI609" s="1"/>
      <c r="BJ609" s="1"/>
      <c r="BK609" s="1"/>
      <c r="BL609" s="1"/>
      <c r="BM609" s="1"/>
      <c r="BN609" s="3">
        <v>17130951</v>
      </c>
      <c r="BO609" s="1"/>
      <c r="BP609" s="1"/>
      <c r="BQ609" s="1"/>
      <c r="BR609" s="1"/>
      <c r="BS609" s="1" t="s">
        <v>5230</v>
      </c>
      <c r="BT609" s="5">
        <f>HYPERLINK("https%3A%2F%2Fwww.webofscience.com%2Fwos%2Fwoscc%2Ffull-record%2FWOS:000239580200012","View Full Record in Web of Science")</f>
      </c>
    </row>
    <row x14ac:dyDescent="0.25" r="610" customHeight="1" ht="12.75">
      <c r="A610" s="1" t="s">
        <v>303</v>
      </c>
      <c r="B610" s="1" t="s">
        <v>5231</v>
      </c>
      <c r="C610" s="1"/>
      <c r="D610" s="1" t="s">
        <v>5232</v>
      </c>
      <c r="E610" s="1"/>
      <c r="F610" s="1" t="s">
        <v>5233</v>
      </c>
      <c r="G610" s="1"/>
      <c r="H610" s="1"/>
      <c r="I610" s="1" t="s">
        <v>5234</v>
      </c>
      <c r="J610" s="1" t="s">
        <v>5235</v>
      </c>
      <c r="K610" s="1" t="s">
        <v>5236</v>
      </c>
      <c r="L610" s="1"/>
      <c r="M610" s="1"/>
      <c r="N610" s="1"/>
      <c r="O610" s="1" t="s">
        <v>5237</v>
      </c>
      <c r="P610" s="2" t="s">
        <v>5238</v>
      </c>
      <c r="Q610" s="1" t="s">
        <v>507</v>
      </c>
      <c r="R610" s="1" t="s">
        <v>5239</v>
      </c>
      <c r="S610" s="1"/>
      <c r="T610" s="1"/>
      <c r="U610" s="1"/>
      <c r="V610" s="1" t="s">
        <v>5240</v>
      </c>
      <c r="W610" s="1"/>
      <c r="X610" s="1"/>
      <c r="Y610" s="1"/>
      <c r="Z610" s="1"/>
      <c r="AA610" s="1" t="s">
        <v>5241</v>
      </c>
      <c r="AB610" s="1" t="s">
        <v>1712</v>
      </c>
      <c r="AC610" s="1"/>
      <c r="AD610" s="1"/>
      <c r="AE610" s="1"/>
      <c r="AF610" s="1"/>
      <c r="AG610" s="1"/>
      <c r="AH610" s="1"/>
      <c r="AI610" s="1"/>
      <c r="AJ610" s="1"/>
      <c r="AK610" s="1"/>
      <c r="AL610" s="1"/>
      <c r="AM610" s="1"/>
      <c r="AN610" s="1"/>
      <c r="AO610" s="1" t="s">
        <v>5242</v>
      </c>
      <c r="AP610" s="1"/>
      <c r="AQ610" s="1" t="s">
        <v>5243</v>
      </c>
      <c r="AR610" s="1"/>
      <c r="AS610" s="1"/>
      <c r="AT610" s="1"/>
      <c r="AU610" s="3">
        <v>2006</v>
      </c>
      <c r="AV610" s="3">
        <v>218</v>
      </c>
      <c r="AW610" s="2"/>
      <c r="AX610" s="2"/>
      <c r="AY610" s="2"/>
      <c r="AZ610" s="1"/>
      <c r="BA610" s="2"/>
      <c r="BB610" s="3">
        <v>313</v>
      </c>
      <c r="BC610" s="2" t="s">
        <v>1630</v>
      </c>
      <c r="BD610" s="2"/>
      <c r="BE610" s="1"/>
      <c r="BF610" s="1"/>
      <c r="BG610" s="1"/>
      <c r="BH610" s="1"/>
      <c r="BI610" s="1"/>
      <c r="BJ610" s="1"/>
      <c r="BK610" s="1"/>
      <c r="BL610" s="1"/>
      <c r="BM610" s="1"/>
      <c r="BN610" s="2"/>
      <c r="BO610" s="1"/>
      <c r="BP610" s="1"/>
      <c r="BQ610" s="1"/>
      <c r="BR610" s="1"/>
      <c r="BS610" s="1" t="s">
        <v>5244</v>
      </c>
      <c r="BT610" s="5">
        <f>HYPERLINK("https%3A%2F%2Fwww.webofscience.com%2Fwos%2Fwoscc%2Ffull-record%2FWOS:000239687600033","View Full Record in Web of Science")</f>
      </c>
    </row>
    <row x14ac:dyDescent="0.25" r="611" customHeight="1" ht="12.75">
      <c r="A611" s="1" t="s">
        <v>72</v>
      </c>
      <c r="B611" s="1" t="s">
        <v>5245</v>
      </c>
      <c r="C611" s="1"/>
      <c r="D611" s="1"/>
      <c r="E611" s="1"/>
      <c r="F611" s="1" t="s">
        <v>5245</v>
      </c>
      <c r="G611" s="1"/>
      <c r="H611" s="1"/>
      <c r="I611" s="1" t="s">
        <v>5246</v>
      </c>
      <c r="J611" s="1" t="s">
        <v>754</v>
      </c>
      <c r="K611" s="1"/>
      <c r="L611" s="1"/>
      <c r="M611" s="1"/>
      <c r="N611" s="1"/>
      <c r="O611" s="1"/>
      <c r="P611" s="2"/>
      <c r="Q611" s="1"/>
      <c r="R611" s="1"/>
      <c r="S611" s="1"/>
      <c r="T611" s="1"/>
      <c r="U611" s="1"/>
      <c r="V611" s="1" t="s">
        <v>5247</v>
      </c>
      <c r="W611" s="1"/>
      <c r="X611" s="1"/>
      <c r="Y611" s="1"/>
      <c r="Z611" s="1"/>
      <c r="AA611" s="1" t="s">
        <v>5248</v>
      </c>
      <c r="AB611" s="1" t="s">
        <v>5249</v>
      </c>
      <c r="AC611" s="1"/>
      <c r="AD611" s="1"/>
      <c r="AE611" s="1"/>
      <c r="AF611" s="1"/>
      <c r="AG611" s="1"/>
      <c r="AH611" s="1"/>
      <c r="AI611" s="1"/>
      <c r="AJ611" s="1"/>
      <c r="AK611" s="1"/>
      <c r="AL611" s="1"/>
      <c r="AM611" s="1"/>
      <c r="AN611" s="1"/>
      <c r="AO611" s="1" t="s">
        <v>756</v>
      </c>
      <c r="AP611" s="1"/>
      <c r="AQ611" s="1"/>
      <c r="AR611" s="1"/>
      <c r="AS611" s="1"/>
      <c r="AT611" s="1" t="s">
        <v>204</v>
      </c>
      <c r="AU611" s="3">
        <v>2004</v>
      </c>
      <c r="AV611" s="3">
        <v>21</v>
      </c>
      <c r="AW611" s="3">
        <v>2</v>
      </c>
      <c r="AX611" s="2"/>
      <c r="AY611" s="2"/>
      <c r="AZ611" s="1"/>
      <c r="BA611" s="2"/>
      <c r="BB611" s="3">
        <v>191</v>
      </c>
      <c r="BC611" s="3">
        <v>201</v>
      </c>
      <c r="BD611" s="2"/>
      <c r="BE611" s="1"/>
      <c r="BF611" s="1"/>
      <c r="BG611" s="1"/>
      <c r="BH611" s="1"/>
      <c r="BI611" s="1"/>
      <c r="BJ611" s="1"/>
      <c r="BK611" s="1"/>
      <c r="BL611" s="1"/>
      <c r="BM611" s="1"/>
      <c r="BN611" s="2"/>
      <c r="BO611" s="1"/>
      <c r="BP611" s="1"/>
      <c r="BQ611" s="1"/>
      <c r="BR611" s="1"/>
      <c r="BS611" s="1" t="s">
        <v>5250</v>
      </c>
      <c r="BT611" s="5">
        <f>HYPERLINK("https%3A%2F%2Fwww.webofscience.com%2Fwos%2Fwoscc%2Ffull-record%2FWOS:000226097500008","View Full Record in Web of Science")</f>
      </c>
    </row>
    <row x14ac:dyDescent="0.25" r="612" customHeight="1" ht="12.75">
      <c r="A612" s="1" t="s">
        <v>72</v>
      </c>
      <c r="B612" s="1" t="s">
        <v>548</v>
      </c>
      <c r="C612" s="1"/>
      <c r="D612" s="1"/>
      <c r="E612" s="1"/>
      <c r="F612" s="1" t="s">
        <v>548</v>
      </c>
      <c r="G612" s="1"/>
      <c r="H612" s="1"/>
      <c r="I612" s="1" t="s">
        <v>5251</v>
      </c>
      <c r="J612" s="1" t="s">
        <v>1466</v>
      </c>
      <c r="K612" s="1"/>
      <c r="L612" s="1"/>
      <c r="M612" s="1"/>
      <c r="N612" s="1"/>
      <c r="O612" s="1"/>
      <c r="P612" s="2"/>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t="s">
        <v>1467</v>
      </c>
      <c r="AP612" s="1"/>
      <c r="AQ612" s="1"/>
      <c r="AR612" s="1"/>
      <c r="AS612" s="1"/>
      <c r="AT612" s="1" t="s">
        <v>137</v>
      </c>
      <c r="AU612" s="3">
        <v>2004</v>
      </c>
      <c r="AV612" s="3">
        <v>36</v>
      </c>
      <c r="AW612" s="2"/>
      <c r="AX612" s="3">
        <v>1</v>
      </c>
      <c r="AY612" s="2"/>
      <c r="AZ612" s="1"/>
      <c r="BA612" s="2"/>
      <c r="BB612" s="3">
        <v>150</v>
      </c>
      <c r="BC612" s="3">
        <v>151</v>
      </c>
      <c r="BD612" s="2"/>
      <c r="BE612" s="1" t="s">
        <v>5252</v>
      </c>
      <c r="BF612" s="4">
        <f>HYPERLINK("http://dx.doi.org/10.1017/S0022216X03237688","http://dx.doi.org/10.1017/S0022216X03237688")</f>
      </c>
      <c r="BG612" s="1"/>
      <c r="BH612" s="1"/>
      <c r="BI612" s="1"/>
      <c r="BJ612" s="1"/>
      <c r="BK612" s="1"/>
      <c r="BL612" s="1"/>
      <c r="BM612" s="1"/>
      <c r="BN612" s="2"/>
      <c r="BO612" s="1"/>
      <c r="BP612" s="1"/>
      <c r="BQ612" s="1"/>
      <c r="BR612" s="1"/>
      <c r="BS612" s="1" t="s">
        <v>5253</v>
      </c>
      <c r="BT612" s="5">
        <f>HYPERLINK("https%3A%2F%2Fwww.webofscience.com%2Fwos%2Fwoscc%2Ffull-record%2FWOS:000220642700009","View Full Record in Web of Science")</f>
      </c>
    </row>
    <row x14ac:dyDescent="0.25" r="613" customHeight="1" ht="12.75">
      <c r="A613" s="1" t="s">
        <v>72</v>
      </c>
      <c r="B613" s="1" t="s">
        <v>5254</v>
      </c>
      <c r="C613" s="1"/>
      <c r="D613" s="1"/>
      <c r="E613" s="1"/>
      <c r="F613" s="1" t="s">
        <v>5254</v>
      </c>
      <c r="G613" s="1"/>
      <c r="H613" s="1"/>
      <c r="I613" s="1" t="s">
        <v>5255</v>
      </c>
      <c r="J613" s="1" t="s">
        <v>5256</v>
      </c>
      <c r="K613" s="1"/>
      <c r="L613" s="1"/>
      <c r="M613" s="1"/>
      <c r="N613" s="1"/>
      <c r="O613" s="1" t="s">
        <v>5257</v>
      </c>
      <c r="P613" s="2" t="s">
        <v>5258</v>
      </c>
      <c r="Q613" s="1" t="s">
        <v>5259</v>
      </c>
      <c r="R613" s="1" t="s">
        <v>5260</v>
      </c>
      <c r="S613" s="1"/>
      <c r="T613" s="1"/>
      <c r="U613" s="1"/>
      <c r="V613" s="1" t="s">
        <v>5261</v>
      </c>
      <c r="W613" s="1"/>
      <c r="X613" s="1"/>
      <c r="Y613" s="1"/>
      <c r="Z613" s="1"/>
      <c r="AA613" s="1" t="s">
        <v>5262</v>
      </c>
      <c r="AB613" s="1" t="s">
        <v>1540</v>
      </c>
      <c r="AC613" s="1"/>
      <c r="AD613" s="1"/>
      <c r="AE613" s="1"/>
      <c r="AF613" s="1"/>
      <c r="AG613" s="1"/>
      <c r="AH613" s="1"/>
      <c r="AI613" s="1"/>
      <c r="AJ613" s="1"/>
      <c r="AK613" s="1"/>
      <c r="AL613" s="1"/>
      <c r="AM613" s="1"/>
      <c r="AN613" s="1"/>
      <c r="AO613" s="1" t="s">
        <v>5263</v>
      </c>
      <c r="AP613" s="1" t="s">
        <v>5264</v>
      </c>
      <c r="AQ613" s="1"/>
      <c r="AR613" s="1"/>
      <c r="AS613" s="1"/>
      <c r="AT613" s="1"/>
      <c r="AU613" s="3">
        <v>2004</v>
      </c>
      <c r="AV613" s="3">
        <v>96</v>
      </c>
      <c r="AW613" s="3">
        <v>1</v>
      </c>
      <c r="AX613" s="2"/>
      <c r="AY613" s="2"/>
      <c r="AZ613" s="1"/>
      <c r="BA613" s="2"/>
      <c r="BB613" s="3">
        <v>76</v>
      </c>
      <c r="BC613" s="3">
        <v>83</v>
      </c>
      <c r="BD613" s="2"/>
      <c r="BE613" s="1" t="s">
        <v>5265</v>
      </c>
      <c r="BF613" s="4">
        <f>HYPERLINK("http://dx.doi.org/10.1046/j.1365-2672.2003.02080.x","http://dx.doi.org/10.1046/j.1365-2672.2003.02080.x")</f>
      </c>
      <c r="BG613" s="1"/>
      <c r="BH613" s="1"/>
      <c r="BI613" s="1"/>
      <c r="BJ613" s="1"/>
      <c r="BK613" s="1"/>
      <c r="BL613" s="1"/>
      <c r="BM613" s="1"/>
      <c r="BN613" s="3">
        <v>14678161</v>
      </c>
      <c r="BO613" s="1"/>
      <c r="BP613" s="1"/>
      <c r="BQ613" s="1"/>
      <c r="BR613" s="1"/>
      <c r="BS613" s="1" t="s">
        <v>5266</v>
      </c>
      <c r="BT613" s="5">
        <f>HYPERLINK("https%3A%2F%2Fwww.webofscience.com%2Fwos%2Fwoscc%2Ffull-record%2FWOS:000187407100009","View Full Record in Web of Science")</f>
      </c>
    </row>
    <row x14ac:dyDescent="0.25" r="614" customHeight="1" ht="12.75">
      <c r="A614" s="1" t="s">
        <v>72</v>
      </c>
      <c r="B614" s="1" t="s">
        <v>743</v>
      </c>
      <c r="C614" s="1"/>
      <c r="D614" s="1"/>
      <c r="E614" s="1"/>
      <c r="F614" s="1" t="s">
        <v>743</v>
      </c>
      <c r="G614" s="1"/>
      <c r="H614" s="1"/>
      <c r="I614" s="1" t="s">
        <v>5267</v>
      </c>
      <c r="J614" s="1" t="s">
        <v>5268</v>
      </c>
      <c r="K614" s="1"/>
      <c r="L614" s="1"/>
      <c r="M614" s="1"/>
      <c r="N614" s="1"/>
      <c r="O614" s="1"/>
      <c r="P614" s="2"/>
      <c r="Q614" s="1"/>
      <c r="R614" s="1"/>
      <c r="S614" s="1"/>
      <c r="T614" s="1"/>
      <c r="U614" s="1"/>
      <c r="V614" s="1" t="s">
        <v>5269</v>
      </c>
      <c r="W614" s="1"/>
      <c r="X614" s="1"/>
      <c r="Y614" s="1"/>
      <c r="Z614" s="1"/>
      <c r="AA614" s="1" t="s">
        <v>747</v>
      </c>
      <c r="AB614" s="1" t="s">
        <v>748</v>
      </c>
      <c r="AC614" s="1"/>
      <c r="AD614" s="1"/>
      <c r="AE614" s="1"/>
      <c r="AF614" s="1"/>
      <c r="AG614" s="1"/>
      <c r="AH614" s="1"/>
      <c r="AI614" s="1"/>
      <c r="AJ614" s="1"/>
      <c r="AK614" s="1"/>
      <c r="AL614" s="1"/>
      <c r="AM614" s="1"/>
      <c r="AN614" s="1"/>
      <c r="AO614" s="1" t="s">
        <v>5270</v>
      </c>
      <c r="AP614" s="1"/>
      <c r="AQ614" s="1"/>
      <c r="AR614" s="1"/>
      <c r="AS614" s="1"/>
      <c r="AT614" s="1" t="s">
        <v>204</v>
      </c>
      <c r="AU614" s="3">
        <v>2003</v>
      </c>
      <c r="AV614" s="3">
        <v>61</v>
      </c>
      <c r="AW614" s="3">
        <v>12</v>
      </c>
      <c r="AX614" s="2"/>
      <c r="AY614" s="2"/>
      <c r="AZ614" s="1"/>
      <c r="BA614" s="2"/>
      <c r="BB614" s="3">
        <v>1311</v>
      </c>
      <c r="BC614" s="3">
        <v>1314</v>
      </c>
      <c r="BD614" s="2"/>
      <c r="BE614" s="1"/>
      <c r="BF614" s="1"/>
      <c r="BG614" s="1"/>
      <c r="BH614" s="1"/>
      <c r="BI614" s="1"/>
      <c r="BJ614" s="1"/>
      <c r="BK614" s="1"/>
      <c r="BL614" s="1"/>
      <c r="BM614" s="1"/>
      <c r="BN614" s="2"/>
      <c r="BO614" s="1"/>
      <c r="BP614" s="1"/>
      <c r="BQ614" s="1"/>
      <c r="BR614" s="1"/>
      <c r="BS614" s="1" t="s">
        <v>5271</v>
      </c>
      <c r="BT614" s="5">
        <f>HYPERLINK("https%3A%2F%2Fwww.webofscience.com%2Fwos%2Fwoscc%2Ffull-record%2FWOS:000186970400005","View Full Record in Web of Science")</f>
      </c>
    </row>
    <row x14ac:dyDescent="0.25" r="615" customHeight="1" ht="12.75">
      <c r="A615" s="1" t="s">
        <v>72</v>
      </c>
      <c r="B615" s="1" t="s">
        <v>5272</v>
      </c>
      <c r="C615" s="1"/>
      <c r="D615" s="1"/>
      <c r="E615" s="1"/>
      <c r="F615" s="1" t="s">
        <v>5272</v>
      </c>
      <c r="G615" s="1"/>
      <c r="H615" s="1"/>
      <c r="I615" s="1" t="s">
        <v>5273</v>
      </c>
      <c r="J615" s="1" t="s">
        <v>761</v>
      </c>
      <c r="K615" s="1"/>
      <c r="L615" s="1"/>
      <c r="M615" s="1"/>
      <c r="N615" s="1"/>
      <c r="O615" s="1"/>
      <c r="P615" s="2"/>
      <c r="Q615" s="1"/>
      <c r="R615" s="1"/>
      <c r="S615" s="1"/>
      <c r="T615" s="1"/>
      <c r="U615" s="1"/>
      <c r="V615" s="1" t="s">
        <v>5274</v>
      </c>
      <c r="W615" s="1"/>
      <c r="X615" s="1"/>
      <c r="Y615" s="1"/>
      <c r="Z615" s="1"/>
      <c r="AA615" s="1" t="s">
        <v>5275</v>
      </c>
      <c r="AB615" s="1"/>
      <c r="AC615" s="1"/>
      <c r="AD615" s="1"/>
      <c r="AE615" s="1"/>
      <c r="AF615" s="1"/>
      <c r="AG615" s="1"/>
      <c r="AH615" s="1"/>
      <c r="AI615" s="1"/>
      <c r="AJ615" s="1"/>
      <c r="AK615" s="1"/>
      <c r="AL615" s="1"/>
      <c r="AM615" s="1"/>
      <c r="AN615" s="1"/>
      <c r="AO615" s="1" t="s">
        <v>762</v>
      </c>
      <c r="AP615" s="1" t="s">
        <v>5276</v>
      </c>
      <c r="AQ615" s="1"/>
      <c r="AR615" s="1"/>
      <c r="AS615" s="1"/>
      <c r="AT615" s="1" t="s">
        <v>5277</v>
      </c>
      <c r="AU615" s="3">
        <v>2003</v>
      </c>
      <c r="AV615" s="3">
        <v>37</v>
      </c>
      <c r="AW615" s="3">
        <v>7</v>
      </c>
      <c r="AX615" s="2"/>
      <c r="AY615" s="2"/>
      <c r="AZ615" s="1"/>
      <c r="BA615" s="2"/>
      <c r="BB615" s="3">
        <v>637</v>
      </c>
      <c r="BC615" s="3">
        <v>640</v>
      </c>
      <c r="BD615" s="2"/>
      <c r="BE615" s="1" t="s">
        <v>5278</v>
      </c>
      <c r="BF615" s="4">
        <f>HYPERLINK("http://dx.doi.org/10.33588/rn.3707.2003248","http://dx.doi.org/10.33588/rn.3707.2003248")</f>
      </c>
      <c r="BG615" s="1"/>
      <c r="BH615" s="1"/>
      <c r="BI615" s="1"/>
      <c r="BJ615" s="1"/>
      <c r="BK615" s="1"/>
      <c r="BL615" s="1"/>
      <c r="BM615" s="1"/>
      <c r="BN615" s="3">
        <v>14582020</v>
      </c>
      <c r="BO615" s="1"/>
      <c r="BP615" s="1"/>
      <c r="BQ615" s="1"/>
      <c r="BR615" s="1"/>
      <c r="BS615" s="1" t="s">
        <v>5279</v>
      </c>
      <c r="BT615" s="5">
        <f>HYPERLINK("https%3A%2F%2Fwww.webofscience.com%2Fwos%2Fwoscc%2Ffull-record%2FWOS:000186192000008","View Full Record in Web of Science")</f>
      </c>
    </row>
    <row x14ac:dyDescent="0.25" r="616" customHeight="1" ht="12.75">
      <c r="A616" s="1" t="s">
        <v>72</v>
      </c>
      <c r="B616" s="1" t="s">
        <v>5280</v>
      </c>
      <c r="C616" s="1"/>
      <c r="D616" s="1"/>
      <c r="E616" s="1"/>
      <c r="F616" s="1" t="s">
        <v>5280</v>
      </c>
      <c r="G616" s="1"/>
      <c r="H616" s="1"/>
      <c r="I616" s="1" t="s">
        <v>5281</v>
      </c>
      <c r="J616" s="1" t="s">
        <v>1507</v>
      </c>
      <c r="K616" s="1"/>
      <c r="L616" s="1"/>
      <c r="M616" s="1"/>
      <c r="N616" s="1"/>
      <c r="O616" s="1"/>
      <c r="P616" s="2"/>
      <c r="Q616" s="1"/>
      <c r="R616" s="1"/>
      <c r="S616" s="1"/>
      <c r="T616" s="1"/>
      <c r="U616" s="1"/>
      <c r="V616" s="1" t="s">
        <v>5282</v>
      </c>
      <c r="W616" s="1"/>
      <c r="X616" s="1"/>
      <c r="Y616" s="1"/>
      <c r="Z616" s="1"/>
      <c r="AA616" s="1"/>
      <c r="AB616" s="1"/>
      <c r="AC616" s="1"/>
      <c r="AD616" s="1"/>
      <c r="AE616" s="1"/>
      <c r="AF616" s="1"/>
      <c r="AG616" s="1"/>
      <c r="AH616" s="1"/>
      <c r="AI616" s="1"/>
      <c r="AJ616" s="1"/>
      <c r="AK616" s="1"/>
      <c r="AL616" s="1"/>
      <c r="AM616" s="1"/>
      <c r="AN616" s="1"/>
      <c r="AO616" s="1" t="s">
        <v>2886</v>
      </c>
      <c r="AP616" s="1"/>
      <c r="AQ616" s="1"/>
      <c r="AR616" s="1"/>
      <c r="AS616" s="1"/>
      <c r="AT616" s="1" t="s">
        <v>757</v>
      </c>
      <c r="AU616" s="3">
        <v>2003</v>
      </c>
      <c r="AV616" s="3">
        <v>48</v>
      </c>
      <c r="AW616" s="3">
        <v>2</v>
      </c>
      <c r="AX616" s="2"/>
      <c r="AY616" s="2"/>
      <c r="AZ616" s="1"/>
      <c r="BA616" s="2"/>
      <c r="BB616" s="3">
        <v>67</v>
      </c>
      <c r="BC616" s="3">
        <v>71</v>
      </c>
      <c r="BD616" s="2"/>
      <c r="BE616" s="1"/>
      <c r="BF616" s="1"/>
      <c r="BG616" s="1"/>
      <c r="BH616" s="1"/>
      <c r="BI616" s="1"/>
      <c r="BJ616" s="1"/>
      <c r="BK616" s="1"/>
      <c r="BL616" s="1"/>
      <c r="BM616" s="1"/>
      <c r="BN616" s="2"/>
      <c r="BO616" s="1"/>
      <c r="BP616" s="1"/>
      <c r="BQ616" s="1"/>
      <c r="BR616" s="1"/>
      <c r="BS616" s="1" t="s">
        <v>5283</v>
      </c>
      <c r="BT616" s="5">
        <f>HYPERLINK("https%3A%2F%2Fwww.webofscience.com%2Fwos%2Fwoscc%2Ffull-record%2FWOS:000183467400012","View Full Record in Web of Science")</f>
      </c>
    </row>
    <row x14ac:dyDescent="0.25" r="617" customHeight="1" ht="12.75">
      <c r="A617" s="1" t="s">
        <v>778</v>
      </c>
      <c r="B617" s="1" t="s">
        <v>5284</v>
      </c>
      <c r="C617" s="1"/>
      <c r="D617" s="1" t="s">
        <v>3185</v>
      </c>
      <c r="E617" s="1"/>
      <c r="F617" s="1" t="s">
        <v>5284</v>
      </c>
      <c r="G617" s="1"/>
      <c r="H617" s="1"/>
      <c r="I617" s="1" t="s">
        <v>5285</v>
      </c>
      <c r="J617" s="1" t="s">
        <v>5286</v>
      </c>
      <c r="K617" s="1" t="s">
        <v>3188</v>
      </c>
      <c r="L617" s="1"/>
      <c r="M617" s="1"/>
      <c r="N617" s="1"/>
      <c r="O617" s="1" t="s">
        <v>5287</v>
      </c>
      <c r="P617" s="2" t="s">
        <v>5288</v>
      </c>
      <c r="Q617" s="1" t="s">
        <v>5289</v>
      </c>
      <c r="R617" s="1" t="s">
        <v>5290</v>
      </c>
      <c r="S617" s="1"/>
      <c r="T617" s="1"/>
      <c r="U617" s="1"/>
      <c r="V617" s="1" t="s">
        <v>5291</v>
      </c>
      <c r="W617" s="1"/>
      <c r="X617" s="1"/>
      <c r="Y617" s="1"/>
      <c r="Z617" s="1"/>
      <c r="AA617" s="1"/>
      <c r="AB617" s="1"/>
      <c r="AC617" s="1"/>
      <c r="AD617" s="1"/>
      <c r="AE617" s="1"/>
      <c r="AF617" s="1"/>
      <c r="AG617" s="1"/>
      <c r="AH617" s="1"/>
      <c r="AI617" s="1"/>
      <c r="AJ617" s="1"/>
      <c r="AK617" s="1"/>
      <c r="AL617" s="1"/>
      <c r="AM617" s="1"/>
      <c r="AN617" s="1"/>
      <c r="AO617" s="1" t="s">
        <v>3194</v>
      </c>
      <c r="AP617" s="1"/>
      <c r="AQ617" s="1" t="s">
        <v>5292</v>
      </c>
      <c r="AR617" s="1"/>
      <c r="AS617" s="1"/>
      <c r="AT617" s="1"/>
      <c r="AU617" s="3">
        <v>2003</v>
      </c>
      <c r="AV617" s="2" t="s">
        <v>5293</v>
      </c>
      <c r="AW617" s="2"/>
      <c r="AX617" s="2"/>
      <c r="AY617" s="2"/>
      <c r="AZ617" s="1"/>
      <c r="BA617" s="2"/>
      <c r="BB617" s="3">
        <v>276</v>
      </c>
      <c r="BC617" s="3">
        <v>282</v>
      </c>
      <c r="BD617" s="2"/>
      <c r="BE617" s="1" t="s">
        <v>5294</v>
      </c>
      <c r="BF617" s="4">
        <f>HYPERLINK("http://dx.doi.org/10.4028/www.scientific.net/MSF.416-418.276","http://dx.doi.org/10.4028/www.scientific.net/MSF.416-418.276")</f>
      </c>
      <c r="BG617" s="1"/>
      <c r="BH617" s="1"/>
      <c r="BI617" s="1"/>
      <c r="BJ617" s="1"/>
      <c r="BK617" s="1"/>
      <c r="BL617" s="1"/>
      <c r="BM617" s="1"/>
      <c r="BN617" s="2"/>
      <c r="BO617" s="1"/>
      <c r="BP617" s="1"/>
      <c r="BQ617" s="1"/>
      <c r="BR617" s="1"/>
      <c r="BS617" s="1" t="s">
        <v>5295</v>
      </c>
      <c r="BT617" s="5">
        <f>HYPERLINK("https%3A%2F%2Fwww.webofscience.com%2Fwos%2Fwoscc%2Ffull-record%2FWOS:000182605200046","View Full Record in Web of Science")</f>
      </c>
    </row>
    <row x14ac:dyDescent="0.25" r="618" customHeight="1" ht="12.75">
      <c r="A618" s="1" t="s">
        <v>72</v>
      </c>
      <c r="B618" s="1" t="s">
        <v>5296</v>
      </c>
      <c r="C618" s="1"/>
      <c r="D618" s="1"/>
      <c r="E618" s="1"/>
      <c r="F618" s="1" t="s">
        <v>5296</v>
      </c>
      <c r="G618" s="1"/>
      <c r="H618" s="1"/>
      <c r="I618" s="1" t="s">
        <v>5297</v>
      </c>
      <c r="J618" s="1" t="s">
        <v>897</v>
      </c>
      <c r="K618" s="1"/>
      <c r="L618" s="1"/>
      <c r="M618" s="1"/>
      <c r="N618" s="1"/>
      <c r="O618" s="1"/>
      <c r="P618" s="2"/>
      <c r="Q618" s="1"/>
      <c r="R618" s="1"/>
      <c r="S618" s="1"/>
      <c r="T618" s="1"/>
      <c r="U618" s="1"/>
      <c r="V618" s="1" t="s">
        <v>5298</v>
      </c>
      <c r="W618" s="1"/>
      <c r="X618" s="1"/>
      <c r="Y618" s="1"/>
      <c r="Z618" s="1"/>
      <c r="AA618" s="1" t="s">
        <v>5299</v>
      </c>
      <c r="AB618" s="1" t="s">
        <v>1610</v>
      </c>
      <c r="AC618" s="1"/>
      <c r="AD618" s="1"/>
      <c r="AE618" s="1"/>
      <c r="AF618" s="1"/>
      <c r="AG618" s="1"/>
      <c r="AH618" s="1"/>
      <c r="AI618" s="1"/>
      <c r="AJ618" s="1"/>
      <c r="AK618" s="1"/>
      <c r="AL618" s="1"/>
      <c r="AM618" s="1"/>
      <c r="AN618" s="1"/>
      <c r="AO618" s="1" t="s">
        <v>900</v>
      </c>
      <c r="AP618" s="1"/>
      <c r="AQ618" s="1"/>
      <c r="AR618" s="1"/>
      <c r="AS618" s="1"/>
      <c r="AT618" s="1" t="s">
        <v>757</v>
      </c>
      <c r="AU618" s="3">
        <v>2002</v>
      </c>
      <c r="AV618" s="3">
        <v>47</v>
      </c>
      <c r="AW618" s="3">
        <v>2</v>
      </c>
      <c r="AX618" s="2"/>
      <c r="AY618" s="2"/>
      <c r="AZ618" s="1"/>
      <c r="BA618" s="2"/>
      <c r="BB618" s="3">
        <v>91</v>
      </c>
      <c r="BC618" s="3">
        <v>98</v>
      </c>
      <c r="BD618" s="2"/>
      <c r="BE618" s="1"/>
      <c r="BF618" s="1"/>
      <c r="BG618" s="1"/>
      <c r="BH618" s="1"/>
      <c r="BI618" s="1"/>
      <c r="BJ618" s="1"/>
      <c r="BK618" s="1"/>
      <c r="BL618" s="1"/>
      <c r="BM618" s="1"/>
      <c r="BN618" s="2"/>
      <c r="BO618" s="1"/>
      <c r="BP618" s="1"/>
      <c r="BQ618" s="1"/>
      <c r="BR618" s="1"/>
      <c r="BS618" s="1" t="s">
        <v>5300</v>
      </c>
      <c r="BT618" s="5">
        <f>HYPERLINK("https%3A%2F%2Fwww.webofscience.com%2Fwos%2Fwoscc%2Ffull-record%2FWOS:000176814300003","View Full Record in Web of Science")</f>
      </c>
    </row>
    <row x14ac:dyDescent="0.25" r="619" customHeight="1" ht="12.75">
      <c r="A619" s="1" t="s">
        <v>72</v>
      </c>
      <c r="B619" s="1" t="s">
        <v>5301</v>
      </c>
      <c r="C619" s="1"/>
      <c r="D619" s="1"/>
      <c r="E619" s="1"/>
      <c r="F619" s="1" t="s">
        <v>5301</v>
      </c>
      <c r="G619" s="1"/>
      <c r="H619" s="1"/>
      <c r="I619" s="1" t="s">
        <v>5302</v>
      </c>
      <c r="J619" s="1" t="s">
        <v>5303</v>
      </c>
      <c r="K619" s="1"/>
      <c r="L619" s="1"/>
      <c r="M619" s="1"/>
      <c r="N619" s="1"/>
      <c r="O619" s="1"/>
      <c r="P619" s="2"/>
      <c r="Q619" s="1"/>
      <c r="R619" s="1"/>
      <c r="S619" s="1"/>
      <c r="T619" s="1"/>
      <c r="U619" s="1"/>
      <c r="V619" s="1" t="s">
        <v>5304</v>
      </c>
      <c r="W619" s="1"/>
      <c r="X619" s="1"/>
      <c r="Y619" s="1"/>
      <c r="Z619" s="1"/>
      <c r="AA619" s="1" t="s">
        <v>5305</v>
      </c>
      <c r="AB619" s="1" t="s">
        <v>2943</v>
      </c>
      <c r="AC619" s="1"/>
      <c r="AD619" s="1"/>
      <c r="AE619" s="1"/>
      <c r="AF619" s="1"/>
      <c r="AG619" s="1"/>
      <c r="AH619" s="1"/>
      <c r="AI619" s="1"/>
      <c r="AJ619" s="1"/>
      <c r="AK619" s="1"/>
      <c r="AL619" s="1"/>
      <c r="AM619" s="1"/>
      <c r="AN619" s="1"/>
      <c r="AO619" s="1" t="s">
        <v>5306</v>
      </c>
      <c r="AP619" s="1" t="s">
        <v>5307</v>
      </c>
      <c r="AQ619" s="1"/>
      <c r="AR619" s="1"/>
      <c r="AS619" s="1"/>
      <c r="AT619" s="1" t="s">
        <v>2576</v>
      </c>
      <c r="AU619" s="3">
        <v>2002</v>
      </c>
      <c r="AV619" s="3">
        <v>106</v>
      </c>
      <c r="AW619" s="3">
        <v>13</v>
      </c>
      <c r="AX619" s="2"/>
      <c r="AY619" s="2"/>
      <c r="AZ619" s="1"/>
      <c r="BA619" s="2"/>
      <c r="BB619" s="3">
        <v>3202</v>
      </c>
      <c r="BC619" s="3">
        <v>3206</v>
      </c>
      <c r="BD619" s="2"/>
      <c r="BE619" s="1" t="s">
        <v>5308</v>
      </c>
      <c r="BF619" s="4">
        <f>HYPERLINK("http://dx.doi.org/10.1021/jp013050e","http://dx.doi.org/10.1021/jp013050e")</f>
      </c>
      <c r="BG619" s="1"/>
      <c r="BH619" s="1"/>
      <c r="BI619" s="1"/>
      <c r="BJ619" s="1"/>
      <c r="BK619" s="1"/>
      <c r="BL619" s="1"/>
      <c r="BM619" s="1"/>
      <c r="BN619" s="2"/>
      <c r="BO619" s="1"/>
      <c r="BP619" s="1"/>
      <c r="BQ619" s="1"/>
      <c r="BR619" s="1"/>
      <c r="BS619" s="1" t="s">
        <v>5309</v>
      </c>
      <c r="BT619" s="5">
        <f>HYPERLINK("https%3A%2F%2Fwww.webofscience.com%2Fwos%2Fwoscc%2Ffull-record%2FWOS:000174793100021","View Full Record in Web of Science")</f>
      </c>
    </row>
    <row x14ac:dyDescent="0.25" r="620" customHeight="1" ht="12.75">
      <c r="A620" s="1" t="s">
        <v>72</v>
      </c>
      <c r="B620" s="1" t="s">
        <v>5310</v>
      </c>
      <c r="C620" s="1"/>
      <c r="D620" s="1"/>
      <c r="E620" s="1"/>
      <c r="F620" s="1" t="s">
        <v>5310</v>
      </c>
      <c r="G620" s="1"/>
      <c r="H620" s="1"/>
      <c r="I620" s="1" t="s">
        <v>5311</v>
      </c>
      <c r="J620" s="1" t="s">
        <v>5312</v>
      </c>
      <c r="K620" s="1"/>
      <c r="L620" s="1"/>
      <c r="M620" s="1"/>
      <c r="N620" s="1"/>
      <c r="O620" s="1"/>
      <c r="P620" s="2"/>
      <c r="Q620" s="1"/>
      <c r="R620" s="1"/>
      <c r="S620" s="1"/>
      <c r="T620" s="1"/>
      <c r="U620" s="1"/>
      <c r="V620" s="1" t="s">
        <v>5313</v>
      </c>
      <c r="W620" s="1"/>
      <c r="X620" s="1"/>
      <c r="Y620" s="1"/>
      <c r="Z620" s="1"/>
      <c r="AA620" s="1" t="s">
        <v>5314</v>
      </c>
      <c r="AB620" s="1" t="s">
        <v>5315</v>
      </c>
      <c r="AC620" s="1"/>
      <c r="AD620" s="1"/>
      <c r="AE620" s="1"/>
      <c r="AF620" s="1"/>
      <c r="AG620" s="1"/>
      <c r="AH620" s="1"/>
      <c r="AI620" s="1"/>
      <c r="AJ620" s="1"/>
      <c r="AK620" s="1"/>
      <c r="AL620" s="1"/>
      <c r="AM620" s="1"/>
      <c r="AN620" s="1"/>
      <c r="AO620" s="1" t="s">
        <v>5316</v>
      </c>
      <c r="AP620" s="1"/>
      <c r="AQ620" s="1"/>
      <c r="AR620" s="1"/>
      <c r="AS620" s="1"/>
      <c r="AT620" s="1" t="s">
        <v>567</v>
      </c>
      <c r="AU620" s="3">
        <v>2002</v>
      </c>
      <c r="AV620" s="3">
        <v>14</v>
      </c>
      <c r="AW620" s="2" t="s">
        <v>5317</v>
      </c>
      <c r="AX620" s="2"/>
      <c r="AY620" s="2"/>
      <c r="AZ620" s="1"/>
      <c r="BA620" s="2"/>
      <c r="BB620" s="3">
        <v>540</v>
      </c>
      <c r="BC620" s="3">
        <v>545</v>
      </c>
      <c r="BD620" s="2"/>
      <c r="BE620" s="1" t="s">
        <v>5318</v>
      </c>
      <c r="BF620" s="4">
        <f>HYPERLINK("http://dx.doi.org/10.1002/1521-4109(200204)14:7/8&lt;540::AID-ELAN540&gt;3.0.CO;2-3","http://dx.doi.org/10.1002/1521-4109(200204)14:7/8&lt;540::AID-ELAN540&gt;3.0.CO;2-3")</f>
      </c>
      <c r="BG620" s="1"/>
      <c r="BH620" s="1"/>
      <c r="BI620" s="1"/>
      <c r="BJ620" s="1"/>
      <c r="BK620" s="1"/>
      <c r="BL620" s="1"/>
      <c r="BM620" s="1"/>
      <c r="BN620" s="2"/>
      <c r="BO620" s="1"/>
      <c r="BP620" s="1"/>
      <c r="BQ620" s="1"/>
      <c r="BR620" s="1"/>
      <c r="BS620" s="1" t="s">
        <v>5319</v>
      </c>
      <c r="BT620" s="5">
        <f>HYPERLINK("https%3A%2F%2Fwww.webofscience.com%2Fwos%2Fwoscc%2Ffull-record%2FWOS:000175374900012","View Full Record in Web of Science")</f>
      </c>
    </row>
    <row x14ac:dyDescent="0.25" r="621" customHeight="1" ht="12.75">
      <c r="A621" s="1" t="s">
        <v>72</v>
      </c>
      <c r="B621" s="1" t="s">
        <v>5320</v>
      </c>
      <c r="C621" s="1"/>
      <c r="D621" s="1"/>
      <c r="E621" s="1"/>
      <c r="F621" s="1" t="s">
        <v>5320</v>
      </c>
      <c r="G621" s="1"/>
      <c r="H621" s="1"/>
      <c r="I621" s="1" t="s">
        <v>5321</v>
      </c>
      <c r="J621" s="1" t="s">
        <v>1609</v>
      </c>
      <c r="K621" s="1"/>
      <c r="L621" s="1"/>
      <c r="M621" s="1"/>
      <c r="N621" s="1"/>
      <c r="O621" s="1"/>
      <c r="P621" s="2"/>
      <c r="Q621" s="1"/>
      <c r="R621" s="1"/>
      <c r="S621" s="1"/>
      <c r="T621" s="1"/>
      <c r="U621" s="1"/>
      <c r="V621" s="1"/>
      <c r="W621" s="1"/>
      <c r="X621" s="1"/>
      <c r="Y621" s="1"/>
      <c r="Z621" s="1"/>
      <c r="AA621" s="1"/>
      <c r="AB621" s="1" t="s">
        <v>1610</v>
      </c>
      <c r="AC621" s="1"/>
      <c r="AD621" s="1"/>
      <c r="AE621" s="1"/>
      <c r="AF621" s="1"/>
      <c r="AG621" s="1"/>
      <c r="AH621" s="1"/>
      <c r="AI621" s="1"/>
      <c r="AJ621" s="1"/>
      <c r="AK621" s="1"/>
      <c r="AL621" s="1"/>
      <c r="AM621" s="1"/>
      <c r="AN621" s="1"/>
      <c r="AO621" s="1" t="s">
        <v>1611</v>
      </c>
      <c r="AP621" s="1"/>
      <c r="AQ621" s="1"/>
      <c r="AR621" s="1"/>
      <c r="AS621" s="1"/>
      <c r="AT621" s="1" t="s">
        <v>265</v>
      </c>
      <c r="AU621" s="3">
        <v>2001</v>
      </c>
      <c r="AV621" s="3">
        <v>29</v>
      </c>
      <c r="AW621" s="3">
        <v>8</v>
      </c>
      <c r="AX621" s="2"/>
      <c r="AY621" s="2"/>
      <c r="AZ621" s="1"/>
      <c r="BA621" s="2"/>
      <c r="BB621" s="3">
        <v>865</v>
      </c>
      <c r="BC621" s="3">
        <v>867</v>
      </c>
      <c r="BD621" s="2"/>
      <c r="BE621" s="1" t="s">
        <v>5322</v>
      </c>
      <c r="BF621" s="4">
        <f>HYPERLINK("http://dx.doi.org/10.1016/S0305-1978(00)00114-9","http://dx.doi.org/10.1016/S0305-1978(00)00114-9")</f>
      </c>
      <c r="BG621" s="1"/>
      <c r="BH621" s="1"/>
      <c r="BI621" s="1"/>
      <c r="BJ621" s="1"/>
      <c r="BK621" s="1"/>
      <c r="BL621" s="1"/>
      <c r="BM621" s="1"/>
      <c r="BN621" s="3">
        <v>11412961</v>
      </c>
      <c r="BO621" s="1"/>
      <c r="BP621" s="1"/>
      <c r="BQ621" s="1"/>
      <c r="BR621" s="1"/>
      <c r="BS621" s="1" t="s">
        <v>5323</v>
      </c>
      <c r="BT621" s="5">
        <f>HYPERLINK("https%3A%2F%2Fwww.webofscience.com%2Fwos%2Fwoscc%2Ffull-record%2FWOS:000169719700011","View Full Record in Web of Science")</f>
      </c>
    </row>
    <row x14ac:dyDescent="0.25" r="622" customHeight="1" ht="12.75">
      <c r="A622" s="1" t="s">
        <v>72</v>
      </c>
      <c r="B622" s="1" t="s">
        <v>5324</v>
      </c>
      <c r="C622" s="1"/>
      <c r="D622" s="1"/>
      <c r="E622" s="1"/>
      <c r="F622" s="1" t="s">
        <v>5324</v>
      </c>
      <c r="G622" s="1"/>
      <c r="H622" s="1"/>
      <c r="I622" s="1" t="s">
        <v>5325</v>
      </c>
      <c r="J622" s="1" t="s">
        <v>3022</v>
      </c>
      <c r="K622" s="1"/>
      <c r="L622" s="1"/>
      <c r="M622" s="1"/>
      <c r="N622" s="1"/>
      <c r="O622" s="1"/>
      <c r="P622" s="2"/>
      <c r="Q622" s="1"/>
      <c r="R622" s="1"/>
      <c r="S622" s="1"/>
      <c r="T622" s="1"/>
      <c r="U622" s="1"/>
      <c r="V622" s="1" t="s">
        <v>5326</v>
      </c>
      <c r="W622" s="1"/>
      <c r="X622" s="1"/>
      <c r="Y622" s="1"/>
      <c r="Z622" s="1"/>
      <c r="AA622" s="1" t="s">
        <v>5327</v>
      </c>
      <c r="AB622" s="1" t="s">
        <v>4562</v>
      </c>
      <c r="AC622" s="1"/>
      <c r="AD622" s="1"/>
      <c r="AE622" s="1"/>
      <c r="AF622" s="1"/>
      <c r="AG622" s="1"/>
      <c r="AH622" s="1"/>
      <c r="AI622" s="1"/>
      <c r="AJ622" s="1"/>
      <c r="AK622" s="1"/>
      <c r="AL622" s="1"/>
      <c r="AM622" s="1"/>
      <c r="AN622" s="1"/>
      <c r="AO622" s="1" t="s">
        <v>3025</v>
      </c>
      <c r="AP622" s="1"/>
      <c r="AQ622" s="1"/>
      <c r="AR622" s="1"/>
      <c r="AS622" s="1"/>
      <c r="AT622" s="1" t="s">
        <v>5328</v>
      </c>
      <c r="AU622" s="3">
        <v>2001</v>
      </c>
      <c r="AV622" s="3">
        <v>39</v>
      </c>
      <c r="AW622" s="3">
        <v>6</v>
      </c>
      <c r="AX622" s="2"/>
      <c r="AY622" s="2"/>
      <c r="AZ622" s="1"/>
      <c r="BA622" s="2"/>
      <c r="BB622" s="3">
        <v>631</v>
      </c>
      <c r="BC622" s="3">
        <v>654</v>
      </c>
      <c r="BD622" s="2"/>
      <c r="BE622" s="1" t="s">
        <v>5329</v>
      </c>
      <c r="BF622" s="4">
        <f>HYPERLINK("http://dx.doi.org/10.1080/104077801750178905","http://dx.doi.org/10.1080/104077801750178905")</f>
      </c>
      <c r="BG622" s="1"/>
      <c r="BH622" s="1"/>
      <c r="BI622" s="1"/>
      <c r="BJ622" s="1"/>
      <c r="BK622" s="1"/>
      <c r="BL622" s="1"/>
      <c r="BM622" s="1"/>
      <c r="BN622" s="2"/>
      <c r="BO622" s="1"/>
      <c r="BP622" s="1"/>
      <c r="BQ622" s="1"/>
      <c r="BR622" s="1"/>
      <c r="BS622" s="1" t="s">
        <v>5330</v>
      </c>
      <c r="BT622" s="5">
        <f>HYPERLINK("https%3A%2F%2Fwww.webofscience.com%2Fwos%2Fwoscc%2Ffull-record%2FWOS:000168798700005","View Full Record in Web of Science")</f>
      </c>
    </row>
    <row x14ac:dyDescent="0.25" r="623" customHeight="1" ht="12.75">
      <c r="A623" s="1" t="s">
        <v>778</v>
      </c>
      <c r="B623" s="1" t="s">
        <v>824</v>
      </c>
      <c r="C623" s="1"/>
      <c r="D623" s="1" t="s">
        <v>5331</v>
      </c>
      <c r="E623" s="1"/>
      <c r="F623" s="1" t="s">
        <v>824</v>
      </c>
      <c r="G623" s="1"/>
      <c r="H623" s="1"/>
      <c r="I623" s="1" t="s">
        <v>5332</v>
      </c>
      <c r="J623" s="1" t="s">
        <v>5333</v>
      </c>
      <c r="K623" s="1" t="s">
        <v>5334</v>
      </c>
      <c r="L623" s="1"/>
      <c r="M623" s="1"/>
      <c r="N623" s="1"/>
      <c r="O623" s="1" t="s">
        <v>5335</v>
      </c>
      <c r="P623" s="2" t="s">
        <v>5336</v>
      </c>
      <c r="Q623" s="1" t="s">
        <v>5337</v>
      </c>
      <c r="R623" s="1" t="s">
        <v>5338</v>
      </c>
      <c r="S623" s="1"/>
      <c r="T623" s="1"/>
      <c r="U623" s="1"/>
      <c r="V623" s="1" t="s">
        <v>5339</v>
      </c>
      <c r="W623" s="1"/>
      <c r="X623" s="1"/>
      <c r="Y623" s="1"/>
      <c r="Z623" s="1"/>
      <c r="AA623" s="1"/>
      <c r="AB623" s="1"/>
      <c r="AC623" s="1"/>
      <c r="AD623" s="1"/>
      <c r="AE623" s="1"/>
      <c r="AF623" s="1"/>
      <c r="AG623" s="1"/>
      <c r="AH623" s="1"/>
      <c r="AI623" s="1"/>
      <c r="AJ623" s="1"/>
      <c r="AK623" s="1"/>
      <c r="AL623" s="1"/>
      <c r="AM623" s="1"/>
      <c r="AN623" s="1"/>
      <c r="AO623" s="1" t="s">
        <v>5340</v>
      </c>
      <c r="AP623" s="1"/>
      <c r="AQ623" s="1" t="s">
        <v>5341</v>
      </c>
      <c r="AR623" s="1"/>
      <c r="AS623" s="1"/>
      <c r="AT623" s="1"/>
      <c r="AU623" s="3">
        <v>2001</v>
      </c>
      <c r="AV623" s="2" t="s">
        <v>5342</v>
      </c>
      <c r="AW623" s="2"/>
      <c r="AX623" s="2"/>
      <c r="AY623" s="2"/>
      <c r="AZ623" s="1"/>
      <c r="BA623" s="2"/>
      <c r="BB623" s="3">
        <v>232</v>
      </c>
      <c r="BC623" s="3">
        <v>238</v>
      </c>
      <c r="BD623" s="2"/>
      <c r="BE623" s="1" t="s">
        <v>5343</v>
      </c>
      <c r="BF623" s="4">
        <f>HYPERLINK("http://dx.doi.org/10.4028/www.scientific.net/KEM.189-191.232","http://dx.doi.org/10.4028/www.scientific.net/KEM.189-191.232")</f>
      </c>
      <c r="BG623" s="1"/>
      <c r="BH623" s="1"/>
      <c r="BI623" s="1"/>
      <c r="BJ623" s="1"/>
      <c r="BK623" s="1"/>
      <c r="BL623" s="1"/>
      <c r="BM623" s="1"/>
      <c r="BN623" s="2"/>
      <c r="BO623" s="1"/>
      <c r="BP623" s="1"/>
      <c r="BQ623" s="1"/>
      <c r="BR623" s="1"/>
      <c r="BS623" s="1" t="s">
        <v>5344</v>
      </c>
      <c r="BT623" s="5">
        <f>HYPERLINK("https%3A%2F%2Fwww.webofscience.com%2Fwos%2Fwoscc%2Ffull-record%2FWOS:000168303300037","View Full Record in Web of Science")</f>
      </c>
    </row>
    <row x14ac:dyDescent="0.25" r="624" customHeight="1" ht="12.75">
      <c r="A624" s="1" t="s">
        <v>72</v>
      </c>
      <c r="B624" s="1" t="s">
        <v>5345</v>
      </c>
      <c r="C624" s="1"/>
      <c r="D624" s="1"/>
      <c r="E624" s="1"/>
      <c r="F624" s="1" t="s">
        <v>5345</v>
      </c>
      <c r="G624" s="1"/>
      <c r="H624" s="1"/>
      <c r="I624" s="1" t="s">
        <v>5346</v>
      </c>
      <c r="J624" s="1" t="s">
        <v>2559</v>
      </c>
      <c r="K624" s="1"/>
      <c r="L624" s="1"/>
      <c r="M624" s="1"/>
      <c r="N624" s="1"/>
      <c r="O624" s="1"/>
      <c r="P624" s="2"/>
      <c r="Q624" s="1"/>
      <c r="R624" s="1"/>
      <c r="S624" s="1"/>
      <c r="T624" s="1"/>
      <c r="U624" s="1"/>
      <c r="V624" s="1" t="s">
        <v>5347</v>
      </c>
      <c r="W624" s="1"/>
      <c r="X624" s="1"/>
      <c r="Y624" s="1"/>
      <c r="Z624" s="1"/>
      <c r="AA624" s="1"/>
      <c r="AB624" s="1"/>
      <c r="AC624" s="1"/>
      <c r="AD624" s="1"/>
      <c r="AE624" s="1"/>
      <c r="AF624" s="1"/>
      <c r="AG624" s="1"/>
      <c r="AH624" s="1"/>
      <c r="AI624" s="1"/>
      <c r="AJ624" s="1"/>
      <c r="AK624" s="1"/>
      <c r="AL624" s="1"/>
      <c r="AM624" s="1"/>
      <c r="AN624" s="1"/>
      <c r="AO624" s="1" t="s">
        <v>2561</v>
      </c>
      <c r="AP624" s="1" t="s">
        <v>2562</v>
      </c>
      <c r="AQ624" s="1"/>
      <c r="AR624" s="1"/>
      <c r="AS624" s="1"/>
      <c r="AT624" s="1" t="s">
        <v>1894</v>
      </c>
      <c r="AU624" s="3">
        <v>2000</v>
      </c>
      <c r="AV624" s="3">
        <v>379</v>
      </c>
      <c r="AW624" s="3">
        <v>2</v>
      </c>
      <c r="AX624" s="2"/>
      <c r="AY624" s="2"/>
      <c r="AZ624" s="1"/>
      <c r="BA624" s="2"/>
      <c r="BB624" s="3">
        <v>245</v>
      </c>
      <c r="BC624" s="3">
        <v>251</v>
      </c>
      <c r="BD624" s="2"/>
      <c r="BE624" s="1" t="s">
        <v>5348</v>
      </c>
      <c r="BF624" s="4">
        <f>HYPERLINK("http://dx.doi.org/10.1006/abbi.2000.1887","http://dx.doi.org/10.1006/abbi.2000.1887")</f>
      </c>
      <c r="BG624" s="1"/>
      <c r="BH624" s="1"/>
      <c r="BI624" s="1"/>
      <c r="BJ624" s="1"/>
      <c r="BK624" s="1"/>
      <c r="BL624" s="1"/>
      <c r="BM624" s="1"/>
      <c r="BN624" s="3">
        <v>10898941</v>
      </c>
      <c r="BO624" s="1"/>
      <c r="BP624" s="1"/>
      <c r="BQ624" s="1"/>
      <c r="BR624" s="1"/>
      <c r="BS624" s="1" t="s">
        <v>5349</v>
      </c>
      <c r="BT624" s="5">
        <f>HYPERLINK("https%3A%2F%2Fwww.webofscience.com%2Fwos%2Fwoscc%2Ffull-record%2FWOS:000088522200010","View Full Record in Web of Science")</f>
      </c>
    </row>
    <row x14ac:dyDescent="0.25" r="625" customHeight="1" ht="12.75">
      <c r="A625" s="1" t="s">
        <v>72</v>
      </c>
      <c r="B625" s="1" t="s">
        <v>5350</v>
      </c>
      <c r="C625" s="1"/>
      <c r="D625" s="1"/>
      <c r="E625" s="1"/>
      <c r="F625" s="1" t="s">
        <v>5350</v>
      </c>
      <c r="G625" s="1"/>
      <c r="H625" s="1"/>
      <c r="I625" s="1" t="s">
        <v>5351</v>
      </c>
      <c r="J625" s="1" t="s">
        <v>2812</v>
      </c>
      <c r="K625" s="1"/>
      <c r="L625" s="1"/>
      <c r="M625" s="1"/>
      <c r="N625" s="1"/>
      <c r="O625" s="1"/>
      <c r="P625" s="2"/>
      <c r="Q625" s="1"/>
      <c r="R625" s="1"/>
      <c r="S625" s="1"/>
      <c r="T625" s="1"/>
      <c r="U625" s="1"/>
      <c r="V625" s="1" t="s">
        <v>5352</v>
      </c>
      <c r="W625" s="1"/>
      <c r="X625" s="1"/>
      <c r="Y625" s="1"/>
      <c r="Z625" s="1"/>
      <c r="AA625" s="1" t="s">
        <v>4570</v>
      </c>
      <c r="AB625" s="1"/>
      <c r="AC625" s="1"/>
      <c r="AD625" s="1"/>
      <c r="AE625" s="1"/>
      <c r="AF625" s="1"/>
      <c r="AG625" s="1"/>
      <c r="AH625" s="1"/>
      <c r="AI625" s="1"/>
      <c r="AJ625" s="1"/>
      <c r="AK625" s="1"/>
      <c r="AL625" s="1"/>
      <c r="AM625" s="1"/>
      <c r="AN625" s="1"/>
      <c r="AO625" s="1" t="s">
        <v>2815</v>
      </c>
      <c r="AP625" s="1"/>
      <c r="AQ625" s="1"/>
      <c r="AR625" s="1"/>
      <c r="AS625" s="1"/>
      <c r="AT625" s="1" t="s">
        <v>5353</v>
      </c>
      <c r="AU625" s="3">
        <v>2000</v>
      </c>
      <c r="AV625" s="3">
        <v>477</v>
      </c>
      <c r="AW625" s="3">
        <v>4</v>
      </c>
      <c r="AX625" s="2"/>
      <c r="AY625" s="2"/>
      <c r="AZ625" s="1"/>
      <c r="BA625" s="2"/>
      <c r="BB625" s="3">
        <v>469</v>
      </c>
      <c r="BC625" s="3">
        <v>473</v>
      </c>
      <c r="BD625" s="2"/>
      <c r="BE625" s="1" t="s">
        <v>5354</v>
      </c>
      <c r="BF625" s="4">
        <f>HYPERLINK("http://dx.doi.org/10.1016/S0370-2693(00)00243-4","http://dx.doi.org/10.1016/S0370-2693(00)00243-4")</f>
      </c>
      <c r="BG625" s="1"/>
      <c r="BH625" s="1"/>
      <c r="BI625" s="1"/>
      <c r="BJ625" s="1"/>
      <c r="BK625" s="1"/>
      <c r="BL625" s="1"/>
      <c r="BM625" s="1"/>
      <c r="BN625" s="2"/>
      <c r="BO625" s="1"/>
      <c r="BP625" s="1"/>
      <c r="BQ625" s="1"/>
      <c r="BR625" s="1"/>
      <c r="BS625" s="1" t="s">
        <v>5355</v>
      </c>
      <c r="BT625" s="5">
        <f>HYPERLINK("https%3A%2F%2Fwww.webofscience.com%2Fwos%2Fwoscc%2Ffull-record%2FWOS:000086203300009","View Full Record in Web of Science")</f>
      </c>
    </row>
    <row x14ac:dyDescent="0.25" r="626" customHeight="1" ht="12.75">
      <c r="A626" s="1" t="s">
        <v>72</v>
      </c>
      <c r="B626" s="1" t="s">
        <v>5356</v>
      </c>
      <c r="C626" s="1"/>
      <c r="D626" s="1"/>
      <c r="E626" s="1"/>
      <c r="F626" s="1" t="s">
        <v>5356</v>
      </c>
      <c r="G626" s="1"/>
      <c r="H626" s="1"/>
      <c r="I626" s="1" t="s">
        <v>5357</v>
      </c>
      <c r="J626" s="1" t="s">
        <v>3064</v>
      </c>
      <c r="K626" s="1"/>
      <c r="L626" s="1"/>
      <c r="M626" s="1"/>
      <c r="N626" s="1"/>
      <c r="O626" s="1"/>
      <c r="P626" s="2"/>
      <c r="Q626" s="1"/>
      <c r="R626" s="1"/>
      <c r="S626" s="1"/>
      <c r="T626" s="1"/>
      <c r="U626" s="1"/>
      <c r="V626" s="1" t="s">
        <v>5358</v>
      </c>
      <c r="W626" s="1"/>
      <c r="X626" s="1"/>
      <c r="Y626" s="1"/>
      <c r="Z626" s="1"/>
      <c r="AA626" s="1"/>
      <c r="AB626" s="1"/>
      <c r="AC626" s="1"/>
      <c r="AD626" s="1"/>
      <c r="AE626" s="1"/>
      <c r="AF626" s="1"/>
      <c r="AG626" s="1"/>
      <c r="AH626" s="1"/>
      <c r="AI626" s="1"/>
      <c r="AJ626" s="1"/>
      <c r="AK626" s="1"/>
      <c r="AL626" s="1"/>
      <c r="AM626" s="1"/>
      <c r="AN626" s="1"/>
      <c r="AO626" s="1" t="s">
        <v>3066</v>
      </c>
      <c r="AP626" s="1" t="s">
        <v>3067</v>
      </c>
      <c r="AQ626" s="1"/>
      <c r="AR626" s="1"/>
      <c r="AS626" s="1"/>
      <c r="AT626" s="1" t="s">
        <v>137</v>
      </c>
      <c r="AU626" s="3">
        <v>1999</v>
      </c>
      <c r="AV626" s="3">
        <v>127</v>
      </c>
      <c r="AW626" s="3">
        <v>2</v>
      </c>
      <c r="AX626" s="2"/>
      <c r="AY626" s="2"/>
      <c r="AZ626" s="1"/>
      <c r="BA626" s="2"/>
      <c r="BB626" s="3">
        <v>235</v>
      </c>
      <c r="BC626" s="3">
        <v>242</v>
      </c>
      <c r="BD626" s="2"/>
      <c r="BE626" s="1"/>
      <c r="BF626" s="1"/>
      <c r="BG626" s="1"/>
      <c r="BH626" s="1"/>
      <c r="BI626" s="1"/>
      <c r="BJ626" s="1"/>
      <c r="BK626" s="1"/>
      <c r="BL626" s="1"/>
      <c r="BM626" s="1"/>
      <c r="BN626" s="3">
        <v>10436706</v>
      </c>
      <c r="BO626" s="1"/>
      <c r="BP626" s="1"/>
      <c r="BQ626" s="1"/>
      <c r="BR626" s="1"/>
      <c r="BS626" s="1" t="s">
        <v>5359</v>
      </c>
      <c r="BT626" s="5">
        <f>HYPERLINK("https%3A%2F%2Fwww.webofscience.com%2Fwos%2Fwoscc%2Ffull-record%2FWOS:000079616700016","View Full Record in Web of Science")</f>
      </c>
    </row>
    <row x14ac:dyDescent="0.25" r="627" customHeight="1" ht="12.75">
      <c r="A627" s="1" t="s">
        <v>303</v>
      </c>
      <c r="B627" s="1" t="s">
        <v>5360</v>
      </c>
      <c r="C627" s="1"/>
      <c r="D627" s="1" t="s">
        <v>5361</v>
      </c>
      <c r="E627" s="1"/>
      <c r="F627" s="1" t="s">
        <v>5360</v>
      </c>
      <c r="G627" s="1"/>
      <c r="H627" s="1"/>
      <c r="I627" s="1" t="s">
        <v>5362</v>
      </c>
      <c r="J627" s="1" t="s">
        <v>5363</v>
      </c>
      <c r="K627" s="1"/>
      <c r="L627" s="1"/>
      <c r="M627" s="1"/>
      <c r="N627" s="1"/>
      <c r="O627" s="1" t="s">
        <v>5364</v>
      </c>
      <c r="P627" s="2" t="s">
        <v>5365</v>
      </c>
      <c r="Q627" s="1" t="s">
        <v>5366</v>
      </c>
      <c r="R627" s="1" t="s">
        <v>5367</v>
      </c>
      <c r="S627" s="1"/>
      <c r="T627" s="1"/>
      <c r="U627" s="1"/>
      <c r="V627" s="1" t="s">
        <v>5368</v>
      </c>
      <c r="W627" s="1"/>
      <c r="X627" s="1"/>
      <c r="Y627" s="1"/>
      <c r="Z627" s="1"/>
      <c r="AA627" s="1"/>
      <c r="AB627" s="1"/>
      <c r="AC627" s="1"/>
      <c r="AD627" s="1"/>
      <c r="AE627" s="1"/>
      <c r="AF627" s="1"/>
      <c r="AG627" s="1"/>
      <c r="AH627" s="1"/>
      <c r="AI627" s="1"/>
      <c r="AJ627" s="1"/>
      <c r="AK627" s="1"/>
      <c r="AL627" s="1"/>
      <c r="AM627" s="1"/>
      <c r="AN627" s="1"/>
      <c r="AO627" s="1"/>
      <c r="AP627" s="1"/>
      <c r="AQ627" s="1" t="s">
        <v>5369</v>
      </c>
      <c r="AR627" s="1"/>
      <c r="AS627" s="1"/>
      <c r="AT627" s="1"/>
      <c r="AU627" s="3">
        <v>1999</v>
      </c>
      <c r="AV627" s="2"/>
      <c r="AW627" s="2"/>
      <c r="AX627" s="2"/>
      <c r="AY627" s="2"/>
      <c r="AZ627" s="1"/>
      <c r="BA627" s="2"/>
      <c r="BB627" s="3">
        <v>245</v>
      </c>
      <c r="BC627" s="3">
        <v>259</v>
      </c>
      <c r="BD627" s="2"/>
      <c r="BE627" s="1"/>
      <c r="BF627" s="1"/>
      <c r="BG627" s="1"/>
      <c r="BH627" s="1"/>
      <c r="BI627" s="1"/>
      <c r="BJ627" s="1"/>
      <c r="BK627" s="1"/>
      <c r="BL627" s="1"/>
      <c r="BM627" s="1"/>
      <c r="BN627" s="2"/>
      <c r="BO627" s="1"/>
      <c r="BP627" s="1"/>
      <c r="BQ627" s="1"/>
      <c r="BR627" s="1"/>
      <c r="BS627" s="1" t="s">
        <v>5370</v>
      </c>
      <c r="BT627" s="5">
        <f>HYPERLINK("https%3A%2F%2Fwww.webofscience.com%2Fwos%2Fwoscc%2Ffull-record%2FWOS:000085715900018","View Full Record in Web of Science")</f>
      </c>
    </row>
    <row x14ac:dyDescent="0.25" r="628" customHeight="1" ht="12.75">
      <c r="A628" s="1" t="s">
        <v>72</v>
      </c>
      <c r="B628" s="1" t="s">
        <v>5371</v>
      </c>
      <c r="C628" s="1"/>
      <c r="D628" s="1"/>
      <c r="E628" s="1"/>
      <c r="F628" s="1" t="s">
        <v>5371</v>
      </c>
      <c r="G628" s="1"/>
      <c r="H628" s="1"/>
      <c r="I628" s="1" t="s">
        <v>5372</v>
      </c>
      <c r="J628" s="1" t="s">
        <v>897</v>
      </c>
      <c r="K628" s="1"/>
      <c r="L628" s="1"/>
      <c r="M628" s="1"/>
      <c r="N628" s="1"/>
      <c r="O628" s="1"/>
      <c r="P628" s="2"/>
      <c r="Q628" s="1"/>
      <c r="R628" s="1"/>
      <c r="S628" s="1"/>
      <c r="T628" s="1"/>
      <c r="U628" s="1"/>
      <c r="V628" s="1" t="s">
        <v>5373</v>
      </c>
      <c r="W628" s="1"/>
      <c r="X628" s="1"/>
      <c r="Y628" s="1"/>
      <c r="Z628" s="1"/>
      <c r="AA628" s="1" t="s">
        <v>5374</v>
      </c>
      <c r="AB628" s="1"/>
      <c r="AC628" s="1"/>
      <c r="AD628" s="1"/>
      <c r="AE628" s="1"/>
      <c r="AF628" s="1"/>
      <c r="AG628" s="1"/>
      <c r="AH628" s="1"/>
      <c r="AI628" s="1"/>
      <c r="AJ628" s="1"/>
      <c r="AK628" s="1"/>
      <c r="AL628" s="1"/>
      <c r="AM628" s="1"/>
      <c r="AN628" s="1"/>
      <c r="AO628" s="1" t="s">
        <v>900</v>
      </c>
      <c r="AP628" s="1"/>
      <c r="AQ628" s="1"/>
      <c r="AR628" s="1"/>
      <c r="AS628" s="1"/>
      <c r="AT628" s="1" t="s">
        <v>757</v>
      </c>
      <c r="AU628" s="3">
        <v>1997</v>
      </c>
      <c r="AV628" s="3">
        <v>42</v>
      </c>
      <c r="AW628" s="3">
        <v>2</v>
      </c>
      <c r="AX628" s="2"/>
      <c r="AY628" s="2"/>
      <c r="AZ628" s="1"/>
      <c r="BA628" s="2"/>
      <c r="BB628" s="3">
        <v>193</v>
      </c>
      <c r="BC628" s="3">
        <v>201</v>
      </c>
      <c r="BD628" s="2"/>
      <c r="BE628" s="1"/>
      <c r="BF628" s="1"/>
      <c r="BG628" s="1"/>
      <c r="BH628" s="1"/>
      <c r="BI628" s="1"/>
      <c r="BJ628" s="1"/>
      <c r="BK628" s="1"/>
      <c r="BL628" s="1"/>
      <c r="BM628" s="1"/>
      <c r="BN628" s="2"/>
      <c r="BO628" s="1"/>
      <c r="BP628" s="1"/>
      <c r="BQ628" s="1"/>
      <c r="BR628" s="1"/>
      <c r="BS628" s="1" t="s">
        <v>5375</v>
      </c>
      <c r="BT628" s="5">
        <f>HYPERLINK("https%3A%2F%2Fwww.webofscience.com%2Fwos%2Fwoscc%2Ffull-record%2FWOS:A1997XH41800007","View Full Record in Web of Science")</f>
      </c>
    </row>
    <row x14ac:dyDescent="0.25" r="629" customHeight="1" ht="12.75">
      <c r="A629" s="1" t="s">
        <v>72</v>
      </c>
      <c r="B629" s="1" t="s">
        <v>548</v>
      </c>
      <c r="C629" s="1"/>
      <c r="D629" s="1"/>
      <c r="E629" s="1"/>
      <c r="F629" s="1" t="s">
        <v>548</v>
      </c>
      <c r="G629" s="1"/>
      <c r="H629" s="1"/>
      <c r="I629" s="1" t="s">
        <v>5376</v>
      </c>
      <c r="J629" s="1" t="s">
        <v>1466</v>
      </c>
      <c r="K629" s="1"/>
      <c r="L629" s="1"/>
      <c r="M629" s="1"/>
      <c r="N629" s="1"/>
      <c r="O629" s="1"/>
      <c r="P629" s="2"/>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t="s">
        <v>1467</v>
      </c>
      <c r="AP629" s="1"/>
      <c r="AQ629" s="1"/>
      <c r="AR629" s="1"/>
      <c r="AS629" s="1"/>
      <c r="AT629" s="1" t="s">
        <v>683</v>
      </c>
      <c r="AU629" s="3">
        <v>1997</v>
      </c>
      <c r="AV629" s="3">
        <v>29</v>
      </c>
      <c r="AW629" s="2"/>
      <c r="AX629" s="3">
        <v>2</v>
      </c>
      <c r="AY629" s="2"/>
      <c r="AZ629" s="1"/>
      <c r="BA629" s="2"/>
      <c r="BB629" s="3">
        <v>509</v>
      </c>
      <c r="BC629" s="3">
        <v>511</v>
      </c>
      <c r="BD629" s="2"/>
      <c r="BE629" s="1"/>
      <c r="BF629" s="1"/>
      <c r="BG629" s="1"/>
      <c r="BH629" s="1"/>
      <c r="BI629" s="1"/>
      <c r="BJ629" s="1"/>
      <c r="BK629" s="1"/>
      <c r="BL629" s="1"/>
      <c r="BM629" s="1"/>
      <c r="BN629" s="2"/>
      <c r="BO629" s="1"/>
      <c r="BP629" s="1"/>
      <c r="BQ629" s="1"/>
      <c r="BR629" s="1"/>
      <c r="BS629" s="1" t="s">
        <v>5377</v>
      </c>
      <c r="BT629" s="5">
        <f>HYPERLINK("https%3A%2F%2Fwww.webofscience.com%2Fwos%2Fwoscc%2Ffull-record%2FWOS:A1997XB75800018","View Full Record in Web of Science")</f>
      </c>
    </row>
    <row x14ac:dyDescent="0.25" r="630" customHeight="1" ht="12.75">
      <c r="A630" s="1" t="s">
        <v>72</v>
      </c>
      <c r="B630" s="1" t="s">
        <v>5378</v>
      </c>
      <c r="C630" s="1"/>
      <c r="D630" s="1"/>
      <c r="E630" s="1"/>
      <c r="F630" s="1" t="s">
        <v>5378</v>
      </c>
      <c r="G630" s="1"/>
      <c r="H630" s="1"/>
      <c r="I630" s="1" t="s">
        <v>5379</v>
      </c>
      <c r="J630" s="1" t="s">
        <v>5380</v>
      </c>
      <c r="K630" s="1"/>
      <c r="L630" s="1"/>
      <c r="M630" s="1"/>
      <c r="N630" s="1"/>
      <c r="O630" s="1" t="s">
        <v>5381</v>
      </c>
      <c r="P630" s="2" t="s">
        <v>5382</v>
      </c>
      <c r="Q630" s="1" t="s">
        <v>5383</v>
      </c>
      <c r="R630" s="1"/>
      <c r="S630" s="1"/>
      <c r="T630" s="1"/>
      <c r="U630" s="1"/>
      <c r="V630" s="1" t="s">
        <v>5384</v>
      </c>
      <c r="W630" s="1"/>
      <c r="X630" s="1"/>
      <c r="Y630" s="1"/>
      <c r="Z630" s="1"/>
      <c r="AA630" s="1" t="s">
        <v>5385</v>
      </c>
      <c r="AB630" s="1" t="s">
        <v>5386</v>
      </c>
      <c r="AC630" s="1"/>
      <c r="AD630" s="1"/>
      <c r="AE630" s="1"/>
      <c r="AF630" s="1"/>
      <c r="AG630" s="1"/>
      <c r="AH630" s="1"/>
      <c r="AI630" s="1"/>
      <c r="AJ630" s="1"/>
      <c r="AK630" s="1"/>
      <c r="AL630" s="1"/>
      <c r="AM630" s="1"/>
      <c r="AN630" s="1"/>
      <c r="AO630" s="1" t="s">
        <v>5387</v>
      </c>
      <c r="AP630" s="1" t="s">
        <v>5388</v>
      </c>
      <c r="AQ630" s="1"/>
      <c r="AR630" s="1"/>
      <c r="AS630" s="1"/>
      <c r="AT630" s="1"/>
      <c r="AU630" s="3">
        <v>1997</v>
      </c>
      <c r="AV630" s="3">
        <v>9</v>
      </c>
      <c r="AW630" s="3">
        <v>5</v>
      </c>
      <c r="AX630" s="2"/>
      <c r="AY630" s="2"/>
      <c r="AZ630" s="1"/>
      <c r="BA630" s="2"/>
      <c r="BB630" s="3">
        <v>465</v>
      </c>
      <c r="BC630" s="3">
        <v>469</v>
      </c>
      <c r="BD630" s="2"/>
      <c r="BE630" s="1" t="s">
        <v>5389</v>
      </c>
      <c r="BF630" s="4">
        <f>HYPERLINK("http://dx.doi.org/10.1023/A:1007930804367","http://dx.doi.org/10.1023/A:1007930804367")</f>
      </c>
      <c r="BG630" s="1"/>
      <c r="BH630" s="1"/>
      <c r="BI630" s="1"/>
      <c r="BJ630" s="1"/>
      <c r="BK630" s="1"/>
      <c r="BL630" s="1"/>
      <c r="BM630" s="1"/>
      <c r="BN630" s="2"/>
      <c r="BO630" s="1"/>
      <c r="BP630" s="1"/>
      <c r="BQ630" s="1"/>
      <c r="BR630" s="1"/>
      <c r="BS630" s="1" t="s">
        <v>5390</v>
      </c>
      <c r="BT630" s="5">
        <f>HYPERLINK("https%3A%2F%2Fwww.webofscience.com%2Fwos%2Fwoscc%2Ffull-record%2FWOS:000072582100012","View Full Record in Web of Science")</f>
      </c>
    </row>
    <row x14ac:dyDescent="0.25" r="631" customHeight="1" ht="12.75">
      <c r="A631" s="1" t="s">
        <v>72</v>
      </c>
      <c r="B631" s="1" t="s">
        <v>4613</v>
      </c>
      <c r="C631" s="1"/>
      <c r="D631" s="1"/>
      <c r="E631" s="1"/>
      <c r="F631" s="1" t="s">
        <v>4613</v>
      </c>
      <c r="G631" s="1"/>
      <c r="H631" s="1"/>
      <c r="I631" s="1" t="s">
        <v>5391</v>
      </c>
      <c r="J631" s="1" t="s">
        <v>5392</v>
      </c>
      <c r="K631" s="1"/>
      <c r="L631" s="1"/>
      <c r="M631" s="1"/>
      <c r="N631" s="1"/>
      <c r="O631" s="1"/>
      <c r="P631" s="2"/>
      <c r="Q631" s="1"/>
      <c r="R631" s="1"/>
      <c r="S631" s="1"/>
      <c r="T631" s="1"/>
      <c r="U631" s="1"/>
      <c r="V631" s="1" t="s">
        <v>5393</v>
      </c>
      <c r="W631" s="1"/>
      <c r="X631" s="1"/>
      <c r="Y631" s="1"/>
      <c r="Z631" s="1"/>
      <c r="AA631" s="1"/>
      <c r="AB631" s="1"/>
      <c r="AC631" s="1"/>
      <c r="AD631" s="1"/>
      <c r="AE631" s="1"/>
      <c r="AF631" s="1"/>
      <c r="AG631" s="1"/>
      <c r="AH631" s="1"/>
      <c r="AI631" s="1"/>
      <c r="AJ631" s="1"/>
      <c r="AK631" s="1"/>
      <c r="AL631" s="1"/>
      <c r="AM631" s="1"/>
      <c r="AN631" s="1"/>
      <c r="AO631" s="1" t="s">
        <v>5394</v>
      </c>
      <c r="AP631" s="1"/>
      <c r="AQ631" s="1"/>
      <c r="AR631" s="1"/>
      <c r="AS631" s="1"/>
      <c r="AT631" s="1" t="s">
        <v>567</v>
      </c>
      <c r="AU631" s="3">
        <v>1996</v>
      </c>
      <c r="AV631" s="3">
        <v>27</v>
      </c>
      <c r="AW631" s="3">
        <v>4</v>
      </c>
      <c r="AX631" s="2"/>
      <c r="AY631" s="2"/>
      <c r="AZ631" s="1"/>
      <c r="BA631" s="2"/>
      <c r="BB631" s="3">
        <v>357</v>
      </c>
      <c r="BC631" s="3">
        <v>386</v>
      </c>
      <c r="BD631" s="2"/>
      <c r="BE631" s="1"/>
      <c r="BF631" s="1"/>
      <c r="BG631" s="1"/>
      <c r="BH631" s="1"/>
      <c r="BI631" s="1"/>
      <c r="BJ631" s="1"/>
      <c r="BK631" s="1"/>
      <c r="BL631" s="1"/>
      <c r="BM631" s="1"/>
      <c r="BN631" s="2"/>
      <c r="BO631" s="1"/>
      <c r="BP631" s="1"/>
      <c r="BQ631" s="1"/>
      <c r="BR631" s="1"/>
      <c r="BS631" s="1" t="s">
        <v>5395</v>
      </c>
      <c r="BT631" s="5">
        <f>HYPERLINK("https%3A%2F%2Fwww.webofscience.com%2Fwos%2Fwoscc%2Ffull-record%2FWOS:A1996UJ08700003","View Full Record in Web of Science")</f>
      </c>
    </row>
    <row x14ac:dyDescent="0.25" r="632" customHeight="1" ht="12.75">
      <c r="A632" s="1" t="s">
        <v>72</v>
      </c>
      <c r="B632" s="1" t="s">
        <v>5396</v>
      </c>
      <c r="C632" s="1"/>
      <c r="D632" s="1"/>
      <c r="E632" s="1"/>
      <c r="F632" s="1" t="s">
        <v>5396</v>
      </c>
      <c r="G632" s="1"/>
      <c r="H632" s="1"/>
      <c r="I632" s="1" t="s">
        <v>5397</v>
      </c>
      <c r="J632" s="1" t="s">
        <v>5398</v>
      </c>
      <c r="K632" s="1"/>
      <c r="L632" s="1"/>
      <c r="M632" s="1"/>
      <c r="N632" s="1"/>
      <c r="O632" s="1"/>
      <c r="P632" s="2"/>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t="s">
        <v>5399</v>
      </c>
      <c r="AP632" s="1"/>
      <c r="AQ632" s="1"/>
      <c r="AR632" s="1"/>
      <c r="AS632" s="1"/>
      <c r="AT632" s="1"/>
      <c r="AU632" s="3">
        <v>1996</v>
      </c>
      <c r="AV632" s="3">
        <v>54</v>
      </c>
      <c r="AW632" s="2"/>
      <c r="AX632" s="2"/>
      <c r="AY632" s="3">
        <v>1</v>
      </c>
      <c r="AZ632" s="1"/>
      <c r="BA632" s="2"/>
      <c r="BB632" s="3">
        <v>118</v>
      </c>
      <c r="BC632" s="3">
        <v>118</v>
      </c>
      <c r="BD632" s="2"/>
      <c r="BE632" s="1"/>
      <c r="BF632" s="1"/>
      <c r="BG632" s="1"/>
      <c r="BH632" s="1"/>
      <c r="BI632" s="1"/>
      <c r="BJ632" s="1"/>
      <c r="BK632" s="1"/>
      <c r="BL632" s="1"/>
      <c r="BM632" s="1"/>
      <c r="BN632" s="2"/>
      <c r="BO632" s="1"/>
      <c r="BP632" s="1"/>
      <c r="BQ632" s="1"/>
      <c r="BR632" s="1"/>
      <c r="BS632" s="1" t="s">
        <v>5400</v>
      </c>
      <c r="BT632" s="5">
        <f>HYPERLINK("https%3A%2F%2Fwww.webofscience.com%2Fwos%2Fwoscc%2Ffull-record%2FWOS:A1996VF09900124","View Full Record in Web of Science")</f>
      </c>
    </row>
    <row x14ac:dyDescent="0.25" r="633" customHeight="1" ht="12.75">
      <c r="A633" s="1" t="s">
        <v>303</v>
      </c>
      <c r="B633" s="1" t="s">
        <v>5401</v>
      </c>
      <c r="C633" s="1"/>
      <c r="D633" s="1" t="s">
        <v>5402</v>
      </c>
      <c r="E633" s="1"/>
      <c r="F633" s="1" t="s">
        <v>5401</v>
      </c>
      <c r="G633" s="1"/>
      <c r="H633" s="1"/>
      <c r="I633" s="1" t="s">
        <v>5403</v>
      </c>
      <c r="J633" s="1" t="s">
        <v>5404</v>
      </c>
      <c r="K633" s="1" t="s">
        <v>5405</v>
      </c>
      <c r="L633" s="1"/>
      <c r="M633" s="1"/>
      <c r="N633" s="1"/>
      <c r="O633" s="1" t="s">
        <v>5406</v>
      </c>
      <c r="P633" s="2" t="s">
        <v>5407</v>
      </c>
      <c r="Q633" s="1" t="s">
        <v>5408</v>
      </c>
      <c r="R633" s="1" t="s">
        <v>5409</v>
      </c>
      <c r="S633" s="1"/>
      <c r="T633" s="1"/>
      <c r="U633" s="1"/>
      <c r="V633" s="1"/>
      <c r="W633" s="1"/>
      <c r="X633" s="1"/>
      <c r="Y633" s="1"/>
      <c r="Z633" s="1"/>
      <c r="AA633" s="1" t="s">
        <v>1696</v>
      </c>
      <c r="AB633" s="1"/>
      <c r="AC633" s="1"/>
      <c r="AD633" s="1"/>
      <c r="AE633" s="1"/>
      <c r="AF633" s="1"/>
      <c r="AG633" s="1"/>
      <c r="AH633" s="1"/>
      <c r="AI633" s="1"/>
      <c r="AJ633" s="1"/>
      <c r="AK633" s="1"/>
      <c r="AL633" s="1"/>
      <c r="AM633" s="1"/>
      <c r="AN633" s="1"/>
      <c r="AO633" s="1"/>
      <c r="AP633" s="1"/>
      <c r="AQ633" s="1" t="s">
        <v>5410</v>
      </c>
      <c r="AR633" s="1"/>
      <c r="AS633" s="1"/>
      <c r="AT633" s="1"/>
      <c r="AU633" s="3">
        <v>1996</v>
      </c>
      <c r="AV633" s="3">
        <v>2708</v>
      </c>
      <c r="AW633" s="2"/>
      <c r="AX633" s="2"/>
      <c r="AY633" s="2"/>
      <c r="AZ633" s="1"/>
      <c r="BA633" s="2"/>
      <c r="BB633" s="3">
        <v>727</v>
      </c>
      <c r="BC633" s="3">
        <v>733</v>
      </c>
      <c r="BD633" s="2"/>
      <c r="BE633" s="1" t="s">
        <v>5411</v>
      </c>
      <c r="BF633" s="4">
        <f>HYPERLINK("http://dx.doi.org/10.1117/12.237837","http://dx.doi.org/10.1117/12.237837")</f>
      </c>
      <c r="BG633" s="1"/>
      <c r="BH633" s="1"/>
      <c r="BI633" s="1"/>
      <c r="BJ633" s="1"/>
      <c r="BK633" s="1"/>
      <c r="BL633" s="1"/>
      <c r="BM633" s="1"/>
      <c r="BN633" s="2"/>
      <c r="BO633" s="1"/>
      <c r="BP633" s="1"/>
      <c r="BQ633" s="1"/>
      <c r="BR633" s="1"/>
      <c r="BS633" s="1" t="s">
        <v>5412</v>
      </c>
      <c r="BT633" s="5">
        <f>HYPERLINK("https%3A%2F%2Fwww.webofscience.com%2Fwos%2Fwoscc%2Ffull-record%2FWOS:A1996BF52P00067","View Full Record in Web of Science")</f>
      </c>
    </row>
    <row x14ac:dyDescent="0.25" r="634" customHeight="1" ht="12.75">
      <c r="A634" s="1" t="s">
        <v>303</v>
      </c>
      <c r="B634" s="1" t="s">
        <v>5413</v>
      </c>
      <c r="C634" s="1"/>
      <c r="D634" s="1" t="s">
        <v>5414</v>
      </c>
      <c r="E634" s="1"/>
      <c r="F634" s="1" t="s">
        <v>5413</v>
      </c>
      <c r="G634" s="1"/>
      <c r="H634" s="1"/>
      <c r="I634" s="1" t="s">
        <v>5415</v>
      </c>
      <c r="J634" s="1" t="s">
        <v>5416</v>
      </c>
      <c r="K634" s="1" t="s">
        <v>5417</v>
      </c>
      <c r="L634" s="1"/>
      <c r="M634" s="1"/>
      <c r="N634" s="1"/>
      <c r="O634" s="1" t="s">
        <v>5418</v>
      </c>
      <c r="P634" s="2" t="s">
        <v>5419</v>
      </c>
      <c r="Q634" s="1" t="s">
        <v>3163</v>
      </c>
      <c r="R634" s="1" t="s">
        <v>5420</v>
      </c>
      <c r="S634" s="1"/>
      <c r="T634" s="1"/>
      <c r="U634" s="1"/>
      <c r="V634" s="1"/>
      <c r="W634" s="1"/>
      <c r="X634" s="1"/>
      <c r="Y634" s="1"/>
      <c r="Z634" s="1"/>
      <c r="AA634" s="1" t="s">
        <v>5421</v>
      </c>
      <c r="AB634" s="1"/>
      <c r="AC634" s="1"/>
      <c r="AD634" s="1"/>
      <c r="AE634" s="1"/>
      <c r="AF634" s="1"/>
      <c r="AG634" s="1"/>
      <c r="AH634" s="1"/>
      <c r="AI634" s="1"/>
      <c r="AJ634" s="1"/>
      <c r="AK634" s="1"/>
      <c r="AL634" s="1"/>
      <c r="AM634" s="1"/>
      <c r="AN634" s="1"/>
      <c r="AO634" s="1" t="s">
        <v>5145</v>
      </c>
      <c r="AP634" s="1"/>
      <c r="AQ634" s="1" t="s">
        <v>5422</v>
      </c>
      <c r="AR634" s="1"/>
      <c r="AS634" s="1"/>
      <c r="AT634" s="1"/>
      <c r="AU634" s="3">
        <v>1996</v>
      </c>
      <c r="AV634" s="2"/>
      <c r="AW634" s="3">
        <v>378</v>
      </c>
      <c r="AX634" s="2"/>
      <c r="AY634" s="2"/>
      <c r="AZ634" s="1"/>
      <c r="BA634" s="2"/>
      <c r="BB634" s="3">
        <v>122</v>
      </c>
      <c r="BC634" s="3">
        <v>125</v>
      </c>
      <c r="BD634" s="2"/>
      <c r="BE634" s="1"/>
      <c r="BF634" s="1"/>
      <c r="BG634" s="1"/>
      <c r="BH634" s="1"/>
      <c r="BI634" s="1"/>
      <c r="BJ634" s="1"/>
      <c r="BK634" s="1"/>
      <c r="BL634" s="1"/>
      <c r="BM634" s="1"/>
      <c r="BN634" s="2"/>
      <c r="BO634" s="1"/>
      <c r="BP634" s="1"/>
      <c r="BQ634" s="1"/>
      <c r="BR634" s="1"/>
      <c r="BS634" s="1" t="s">
        <v>5423</v>
      </c>
      <c r="BT634" s="5">
        <f>HYPERLINK("https%3A%2F%2Fwww.webofscience.com%2Fwos%2Fwoscc%2Ffull-record%2FWOS:A1996BG27Q00022","View Full Record in Web of Science")</f>
      </c>
    </row>
    <row x14ac:dyDescent="0.25" r="635" customHeight="1" ht="12.75">
      <c r="A635" s="1" t="s">
        <v>72</v>
      </c>
      <c r="B635" s="1" t="s">
        <v>907</v>
      </c>
      <c r="C635" s="1"/>
      <c r="D635" s="1"/>
      <c r="E635" s="1"/>
      <c r="F635" s="1" t="s">
        <v>907</v>
      </c>
      <c r="G635" s="1"/>
      <c r="H635" s="1"/>
      <c r="I635" s="1" t="s">
        <v>5424</v>
      </c>
      <c r="J635" s="1" t="s">
        <v>5425</v>
      </c>
      <c r="K635" s="1"/>
      <c r="L635" s="1"/>
      <c r="M635" s="1"/>
      <c r="N635" s="1"/>
      <c r="O635" s="1"/>
      <c r="P635" s="2"/>
      <c r="Q635" s="1"/>
      <c r="R635" s="1"/>
      <c r="S635" s="1"/>
      <c r="T635" s="1"/>
      <c r="U635" s="1"/>
      <c r="V635" s="1" t="s">
        <v>5426</v>
      </c>
      <c r="W635" s="1"/>
      <c r="X635" s="1"/>
      <c r="Y635" s="1"/>
      <c r="Z635" s="1"/>
      <c r="AA635" s="1"/>
      <c r="AB635" s="1" t="s">
        <v>1610</v>
      </c>
      <c r="AC635" s="1"/>
      <c r="AD635" s="1"/>
      <c r="AE635" s="1"/>
      <c r="AF635" s="1"/>
      <c r="AG635" s="1"/>
      <c r="AH635" s="1"/>
      <c r="AI635" s="1"/>
      <c r="AJ635" s="1"/>
      <c r="AK635" s="1"/>
      <c r="AL635" s="1"/>
      <c r="AM635" s="1"/>
      <c r="AN635" s="1"/>
      <c r="AO635" s="1" t="s">
        <v>5427</v>
      </c>
      <c r="AP635" s="1"/>
      <c r="AQ635" s="1"/>
      <c r="AR635" s="1"/>
      <c r="AS635" s="1"/>
      <c r="AT635" s="1" t="s">
        <v>265</v>
      </c>
      <c r="AU635" s="3">
        <v>1995</v>
      </c>
      <c r="AV635" s="3">
        <v>39</v>
      </c>
      <c r="AW635" s="3">
        <v>6</v>
      </c>
      <c r="AX635" s="2"/>
      <c r="AY635" s="2"/>
      <c r="AZ635" s="1"/>
      <c r="BA635" s="2"/>
      <c r="BB635" s="3">
        <v>1489</v>
      </c>
      <c r="BC635" s="3">
        <v>1491</v>
      </c>
      <c r="BD635" s="2"/>
      <c r="BE635" s="1" t="s">
        <v>5428</v>
      </c>
      <c r="BF635" s="4">
        <f>HYPERLINK("http://dx.doi.org/10.1016/0031-9422(95)00109-K","http://dx.doi.org/10.1016/0031-9422(95)00109-K")</f>
      </c>
      <c r="BG635" s="1"/>
      <c r="BH635" s="1"/>
      <c r="BI635" s="1"/>
      <c r="BJ635" s="1"/>
      <c r="BK635" s="1"/>
      <c r="BL635" s="1"/>
      <c r="BM635" s="1"/>
      <c r="BN635" s="2"/>
      <c r="BO635" s="1"/>
      <c r="BP635" s="1"/>
      <c r="BQ635" s="1"/>
      <c r="BR635" s="1"/>
      <c r="BS635" s="1" t="s">
        <v>5429</v>
      </c>
      <c r="BT635" s="5">
        <f>HYPERLINK("https%3A%2F%2Fwww.webofscience.com%2Fwos%2Fwoscc%2Ffull-record%2FWOS:A1995RN85800040","View Full Record in Web of Science")</f>
      </c>
    </row>
    <row x14ac:dyDescent="0.25" r="636" customHeight="1" ht="12.75">
      <c r="A636" s="1" t="s">
        <v>72</v>
      </c>
      <c r="B636" s="1" t="s">
        <v>4682</v>
      </c>
      <c r="C636" s="1"/>
      <c r="D636" s="1"/>
      <c r="E636" s="1"/>
      <c r="F636" s="1" t="s">
        <v>4682</v>
      </c>
      <c r="G636" s="1"/>
      <c r="H636" s="1"/>
      <c r="I636" s="1" t="s">
        <v>5430</v>
      </c>
      <c r="J636" s="1" t="s">
        <v>4684</v>
      </c>
      <c r="K636" s="1"/>
      <c r="L636" s="1"/>
      <c r="M636" s="1"/>
      <c r="N636" s="1"/>
      <c r="O636" s="1"/>
      <c r="P636" s="2"/>
      <c r="Q636" s="1"/>
      <c r="R636" s="1"/>
      <c r="S636" s="1"/>
      <c r="T636" s="1"/>
      <c r="U636" s="1"/>
      <c r="V636" s="1" t="s">
        <v>5431</v>
      </c>
      <c r="W636" s="1"/>
      <c r="X636" s="1"/>
      <c r="Y636" s="1"/>
      <c r="Z636" s="1"/>
      <c r="AA636" s="1"/>
      <c r="AB636" s="1"/>
      <c r="AC636" s="1"/>
      <c r="AD636" s="1"/>
      <c r="AE636" s="1"/>
      <c r="AF636" s="1"/>
      <c r="AG636" s="1"/>
      <c r="AH636" s="1"/>
      <c r="AI636" s="1"/>
      <c r="AJ636" s="1"/>
      <c r="AK636" s="1"/>
      <c r="AL636" s="1"/>
      <c r="AM636" s="1"/>
      <c r="AN636" s="1"/>
      <c r="AO636" s="1" t="s">
        <v>4686</v>
      </c>
      <c r="AP636" s="1"/>
      <c r="AQ636" s="1"/>
      <c r="AR636" s="1"/>
      <c r="AS636" s="1"/>
      <c r="AT636" s="1" t="s">
        <v>204</v>
      </c>
      <c r="AU636" s="3">
        <v>1994</v>
      </c>
      <c r="AV636" s="3">
        <v>107</v>
      </c>
      <c r="AW636" s="3">
        <v>12</v>
      </c>
      <c r="AX636" s="2"/>
      <c r="AY636" s="2"/>
      <c r="AZ636" s="1"/>
      <c r="BA636" s="2"/>
      <c r="BB636" s="3">
        <v>2715</v>
      </c>
      <c r="BC636" s="3">
        <v>2725</v>
      </c>
      <c r="BD636" s="2"/>
      <c r="BE636" s="1" t="s">
        <v>5432</v>
      </c>
      <c r="BF636" s="4">
        <f>HYPERLINK("http://dx.doi.org/10.1007/BF02730951","http://dx.doi.org/10.1007/BF02730951")</f>
      </c>
      <c r="BG636" s="1"/>
      <c r="BH636" s="1"/>
      <c r="BI636" s="1"/>
      <c r="BJ636" s="1"/>
      <c r="BK636" s="1"/>
      <c r="BL636" s="1"/>
      <c r="BM636" s="1"/>
      <c r="BN636" s="2"/>
      <c r="BO636" s="1"/>
      <c r="BP636" s="1"/>
      <c r="BQ636" s="1"/>
      <c r="BR636" s="1"/>
      <c r="BS636" s="1" t="s">
        <v>5433</v>
      </c>
      <c r="BT636" s="5">
        <f>HYPERLINK("https%3A%2F%2Fwww.webofscience.com%2Fwos%2Fwoscc%2Ffull-record%2FWOS:A1994QF37200004","View Full Record in Web of Science")</f>
      </c>
    </row>
    <row x14ac:dyDescent="0.25" r="637" customHeight="1" ht="12.75">
      <c r="A637" s="1" t="s">
        <v>72</v>
      </c>
      <c r="B637" s="1" t="s">
        <v>5434</v>
      </c>
      <c r="C637" s="1"/>
      <c r="D637" s="1"/>
      <c r="E637" s="1"/>
      <c r="F637" s="1" t="s">
        <v>5434</v>
      </c>
      <c r="G637" s="1"/>
      <c r="H637" s="1"/>
      <c r="I637" s="1" t="s">
        <v>5435</v>
      </c>
      <c r="J637" s="1" t="s">
        <v>5436</v>
      </c>
      <c r="K637" s="1"/>
      <c r="L637" s="1"/>
      <c r="M637" s="1"/>
      <c r="N637" s="1"/>
      <c r="O637" s="1"/>
      <c r="P637" s="2"/>
      <c r="Q637" s="1"/>
      <c r="R637" s="1"/>
      <c r="S637" s="1"/>
      <c r="T637" s="1"/>
      <c r="U637" s="1"/>
      <c r="V637" s="1"/>
      <c r="W637" s="1"/>
      <c r="X637" s="1"/>
      <c r="Y637" s="1"/>
      <c r="Z637" s="1"/>
      <c r="AA637" s="1" t="s">
        <v>899</v>
      </c>
      <c r="AB637" s="1"/>
      <c r="AC637" s="1"/>
      <c r="AD637" s="1"/>
      <c r="AE637" s="1"/>
      <c r="AF637" s="1"/>
      <c r="AG637" s="1"/>
      <c r="AH637" s="1"/>
      <c r="AI637" s="1"/>
      <c r="AJ637" s="1"/>
      <c r="AK637" s="1"/>
      <c r="AL637" s="1"/>
      <c r="AM637" s="1"/>
      <c r="AN637" s="1"/>
      <c r="AO637" s="1" t="s">
        <v>5437</v>
      </c>
      <c r="AP637" s="1" t="s">
        <v>5438</v>
      </c>
      <c r="AQ637" s="1"/>
      <c r="AR637" s="1"/>
      <c r="AS637" s="1"/>
      <c r="AT637" s="1" t="s">
        <v>3146</v>
      </c>
      <c r="AU637" s="3">
        <v>1992</v>
      </c>
      <c r="AV637" s="3">
        <v>119</v>
      </c>
      <c r="AW637" s="2"/>
      <c r="AX637" s="2"/>
      <c r="AY637" s="2"/>
      <c r="AZ637" s="1"/>
      <c r="BA637" s="2"/>
      <c r="BB637" s="3">
        <v>89</v>
      </c>
      <c r="BC637" s="3">
        <v>136</v>
      </c>
      <c r="BD637" s="2"/>
      <c r="BE637" s="1" t="s">
        <v>5439</v>
      </c>
      <c r="BF637" s="4">
        <f>HYPERLINK("http://dx.doi.org/10.1016/0010-8545(92)80031-L","http://dx.doi.org/10.1016/0010-8545(92)80031-L")</f>
      </c>
      <c r="BG637" s="1"/>
      <c r="BH637" s="1"/>
      <c r="BI637" s="1"/>
      <c r="BJ637" s="1"/>
      <c r="BK637" s="1"/>
      <c r="BL637" s="1"/>
      <c r="BM637" s="1"/>
      <c r="BN637" s="2"/>
      <c r="BO637" s="1"/>
      <c r="BP637" s="1"/>
      <c r="BQ637" s="1"/>
      <c r="BR637" s="1"/>
      <c r="BS637" s="1" t="s">
        <v>5440</v>
      </c>
      <c r="BT637" s="5">
        <f>HYPERLINK("https%3A%2F%2Fwww.webofscience.com%2Fwos%2Fwoscc%2Ffull-record%2FWOS:A1992JU43200004","View Full Record in Web of Science")</f>
      </c>
    </row>
    <row x14ac:dyDescent="0.25" r="638" customHeight="1" ht="12.75">
      <c r="A638" s="1" t="s">
        <v>72</v>
      </c>
      <c r="B638" s="1" t="s">
        <v>5441</v>
      </c>
      <c r="C638" s="1"/>
      <c r="D638" s="1"/>
      <c r="E638" s="1"/>
      <c r="F638" s="1" t="s">
        <v>5441</v>
      </c>
      <c r="G638" s="1"/>
      <c r="H638" s="1"/>
      <c r="I638" s="1" t="s">
        <v>5442</v>
      </c>
      <c r="J638" s="1" t="s">
        <v>897</v>
      </c>
      <c r="K638" s="1"/>
      <c r="L638" s="1"/>
      <c r="M638" s="1"/>
      <c r="N638" s="1"/>
      <c r="O638" s="1"/>
      <c r="P638" s="2"/>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t="s">
        <v>900</v>
      </c>
      <c r="AP638" s="1"/>
      <c r="AQ638" s="1"/>
      <c r="AR638" s="1"/>
      <c r="AS638" s="1"/>
      <c r="AT638" s="1" t="s">
        <v>757</v>
      </c>
      <c r="AU638" s="3">
        <v>1988</v>
      </c>
      <c r="AV638" s="3">
        <v>33</v>
      </c>
      <c r="AW638" s="3">
        <v>2</v>
      </c>
      <c r="AX638" s="2"/>
      <c r="AY638" s="2"/>
      <c r="AZ638" s="1"/>
      <c r="BA638" s="2"/>
      <c r="BB638" s="3">
        <v>107</v>
      </c>
      <c r="BC638" s="3">
        <v>109</v>
      </c>
      <c r="BD638" s="2"/>
      <c r="BE638" s="1"/>
      <c r="BF638" s="1"/>
      <c r="BG638" s="1"/>
      <c r="BH638" s="1"/>
      <c r="BI638" s="1"/>
      <c r="BJ638" s="1"/>
      <c r="BK638" s="1"/>
      <c r="BL638" s="1"/>
      <c r="BM638" s="1"/>
      <c r="BN638" s="2"/>
      <c r="BO638" s="1"/>
      <c r="BP638" s="1"/>
      <c r="BQ638" s="1"/>
      <c r="BR638" s="1"/>
      <c r="BS638" s="1" t="s">
        <v>5443</v>
      </c>
      <c r="BT638" s="5">
        <f>HYPERLINK("https%3A%2F%2Fwww.webofscience.com%2Fwos%2Fwoscc%2Ffull-record%2FWOS:A1988P037100007","View Full Record in Web of Science")</f>
      </c>
    </row>
    <row x14ac:dyDescent="0.25" r="639" customHeight="1" ht="12.75">
      <c r="A639" s="1" t="s">
        <v>72</v>
      </c>
      <c r="B639" s="1" t="s">
        <v>5444</v>
      </c>
      <c r="C639" s="1"/>
      <c r="D639" s="1"/>
      <c r="E639" s="1"/>
      <c r="F639" s="1" t="s">
        <v>5444</v>
      </c>
      <c r="G639" s="1"/>
      <c r="H639" s="1"/>
      <c r="I639" s="1" t="s">
        <v>5445</v>
      </c>
      <c r="J639" s="1" t="s">
        <v>897</v>
      </c>
      <c r="K639" s="1"/>
      <c r="L639" s="1"/>
      <c r="M639" s="1"/>
      <c r="N639" s="1"/>
      <c r="O639" s="1"/>
      <c r="P639" s="2"/>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t="s">
        <v>900</v>
      </c>
      <c r="AP639" s="1"/>
      <c r="AQ639" s="1"/>
      <c r="AR639" s="1"/>
      <c r="AS639" s="1"/>
      <c r="AT639" s="1" t="s">
        <v>204</v>
      </c>
      <c r="AU639" s="3">
        <v>1987</v>
      </c>
      <c r="AV639" s="3">
        <v>32</v>
      </c>
      <c r="AW639" s="3">
        <v>4</v>
      </c>
      <c r="AX639" s="2"/>
      <c r="AY639" s="2"/>
      <c r="AZ639" s="1"/>
      <c r="BA639" s="2"/>
      <c r="BB639" s="3">
        <v>215</v>
      </c>
      <c r="BC639" s="3">
        <v>220</v>
      </c>
      <c r="BD639" s="2"/>
      <c r="BE639" s="1"/>
      <c r="BF639" s="1"/>
      <c r="BG639" s="1"/>
      <c r="BH639" s="1"/>
      <c r="BI639" s="1"/>
      <c r="BJ639" s="1"/>
      <c r="BK639" s="1"/>
      <c r="BL639" s="1"/>
      <c r="BM639" s="1"/>
      <c r="BN639" s="2"/>
      <c r="BO639" s="1"/>
      <c r="BP639" s="1"/>
      <c r="BQ639" s="1"/>
      <c r="BR639" s="1"/>
      <c r="BS639" s="1" t="s">
        <v>5446</v>
      </c>
      <c r="BT639" s="5">
        <f>HYPERLINK("https%3A%2F%2Fwww.webofscience.com%2Fwos%2Fwoscc%2Ffull-record%2FWOS:A1987L154000006","View Full Record in Web of Science")</f>
      </c>
    </row>
    <row x14ac:dyDescent="0.25" r="640" customHeight="1" ht="12.75">
      <c r="A640" s="1" t="s">
        <v>72</v>
      </c>
      <c r="B640" s="1" t="s">
        <v>5447</v>
      </c>
      <c r="C640" s="1"/>
      <c r="D640" s="1"/>
      <c r="E640" s="1"/>
      <c r="F640" s="1" t="s">
        <v>5447</v>
      </c>
      <c r="G640" s="1"/>
      <c r="H640" s="1"/>
      <c r="I640" s="1" t="s">
        <v>5448</v>
      </c>
      <c r="J640" s="1" t="s">
        <v>5449</v>
      </c>
      <c r="K640" s="1"/>
      <c r="L640" s="1"/>
      <c r="M640" s="1"/>
      <c r="N640" s="1"/>
      <c r="O640" s="1"/>
      <c r="P640" s="2"/>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t="s">
        <v>5450</v>
      </c>
      <c r="AP640" s="1"/>
      <c r="AQ640" s="1"/>
      <c r="AR640" s="1"/>
      <c r="AS640" s="1"/>
      <c r="AT640" s="1"/>
      <c r="AU640" s="3">
        <v>1984</v>
      </c>
      <c r="AV640" s="3">
        <v>22</v>
      </c>
      <c r="AW640" s="3">
        <v>1</v>
      </c>
      <c r="AX640" s="2"/>
      <c r="AY640" s="2"/>
      <c r="AZ640" s="1"/>
      <c r="BA640" s="2"/>
      <c r="BB640" s="3">
        <v>101</v>
      </c>
      <c r="BC640" s="3">
        <v>106</v>
      </c>
      <c r="BD640" s="2"/>
      <c r="BE640" s="1"/>
      <c r="BF640" s="1"/>
      <c r="BG640" s="1"/>
      <c r="BH640" s="1"/>
      <c r="BI640" s="1"/>
      <c r="BJ640" s="1"/>
      <c r="BK640" s="1"/>
      <c r="BL640" s="1"/>
      <c r="BM640" s="1"/>
      <c r="BN640" s="2"/>
      <c r="BO640" s="1"/>
      <c r="BP640" s="1"/>
      <c r="BQ640" s="1"/>
      <c r="BR640" s="1"/>
      <c r="BS640" s="1" t="s">
        <v>5451</v>
      </c>
      <c r="BT640" s="5">
        <f>HYPERLINK("https%3A%2F%2Fwww.webofscience.com%2Fwos%2Fwoscc%2Ffull-record%2FWOS:A1984SB36600022","View Full Record in Web of Science")</f>
      </c>
    </row>
    <row x14ac:dyDescent="0.25" r="641" customHeight="1" ht="12.75">
      <c r="A641" s="1" t="s">
        <v>72</v>
      </c>
      <c r="B641" s="1" t="s">
        <v>5452</v>
      </c>
      <c r="C641" s="1"/>
      <c r="D641" s="1"/>
      <c r="E641" s="1"/>
      <c r="F641" s="1" t="s">
        <v>5452</v>
      </c>
      <c r="G641" s="1"/>
      <c r="H641" s="1"/>
      <c r="I641" s="1" t="s">
        <v>5453</v>
      </c>
      <c r="J641" s="1" t="s">
        <v>1780</v>
      </c>
      <c r="K641" s="1"/>
      <c r="L641" s="1"/>
      <c r="M641" s="1"/>
      <c r="N641" s="1"/>
      <c r="O641" s="1"/>
      <c r="P641" s="2"/>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t="s">
        <v>1781</v>
      </c>
      <c r="AP641" s="1"/>
      <c r="AQ641" s="1"/>
      <c r="AR641" s="1"/>
      <c r="AS641" s="1"/>
      <c r="AT641" s="1"/>
      <c r="AU641" s="3">
        <v>1981</v>
      </c>
      <c r="AV641" s="2" t="s">
        <v>5454</v>
      </c>
      <c r="AW641" s="3">
        <v>3</v>
      </c>
      <c r="AX641" s="2"/>
      <c r="AY641" s="2"/>
      <c r="AZ641" s="1"/>
      <c r="BA641" s="2"/>
      <c r="BB641" s="3">
        <v>447</v>
      </c>
      <c r="BC641" s="3">
        <v>456</v>
      </c>
      <c r="BD641" s="2"/>
      <c r="BE641" s="1" t="s">
        <v>5455</v>
      </c>
      <c r="BF641" s="4">
        <f>HYPERLINK("http://dx.doi.org/10.1080/00222338108074384","http://dx.doi.org/10.1080/00222338108074384")</f>
      </c>
      <c r="BG641" s="1"/>
      <c r="BH641" s="1"/>
      <c r="BI641" s="1"/>
      <c r="BJ641" s="1"/>
      <c r="BK641" s="1"/>
      <c r="BL641" s="1"/>
      <c r="BM641" s="1"/>
      <c r="BN641" s="2"/>
      <c r="BO641" s="1"/>
      <c r="BP641" s="1"/>
      <c r="BQ641" s="1"/>
      <c r="BR641" s="1"/>
      <c r="BS641" s="1" t="s">
        <v>5456</v>
      </c>
      <c r="BT641" s="5">
        <f>HYPERLINK("https%3A%2F%2Fwww.webofscience.com%2Fwos%2Fwoscc%2Ffull-record%2FWOS:A1981LE65300009","View Full Record in Web of Science")</f>
      </c>
    </row>
    <row x14ac:dyDescent="0.25" r="642" customHeight="1" ht="12.75">
      <c r="A642" s="1" t="s">
        <v>72</v>
      </c>
      <c r="B642" s="1" t="s">
        <v>5457</v>
      </c>
      <c r="C642" s="1"/>
      <c r="D642" s="1"/>
      <c r="E642" s="1"/>
      <c r="F642" s="1" t="s">
        <v>5457</v>
      </c>
      <c r="G642" s="1"/>
      <c r="H642" s="1"/>
      <c r="I642" s="1" t="s">
        <v>5458</v>
      </c>
      <c r="J642" s="1" t="s">
        <v>5459</v>
      </c>
      <c r="K642" s="1"/>
      <c r="L642" s="1"/>
      <c r="M642" s="1"/>
      <c r="N642" s="1"/>
      <c r="O642" s="1"/>
      <c r="P642" s="2"/>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t="s">
        <v>5460</v>
      </c>
      <c r="AP642" s="1"/>
      <c r="AQ642" s="1"/>
      <c r="AR642" s="1"/>
      <c r="AS642" s="1"/>
      <c r="AT642" s="1"/>
      <c r="AU642" s="3">
        <v>1976</v>
      </c>
      <c r="AV642" s="3">
        <v>6</v>
      </c>
      <c r="AW642" s="3">
        <v>1</v>
      </c>
      <c r="AX642" s="2"/>
      <c r="AY642" s="2"/>
      <c r="AZ642" s="1"/>
      <c r="BA642" s="2"/>
      <c r="BB642" s="3">
        <v>1</v>
      </c>
      <c r="BC642" s="3">
        <v>8</v>
      </c>
      <c r="BD642" s="2"/>
      <c r="BE642" s="1"/>
      <c r="BF642" s="1"/>
      <c r="BG642" s="1"/>
      <c r="BH642" s="1"/>
      <c r="BI642" s="1"/>
      <c r="BJ642" s="1"/>
      <c r="BK642" s="1"/>
      <c r="BL642" s="1"/>
      <c r="BM642" s="1"/>
      <c r="BN642" s="2"/>
      <c r="BO642" s="1"/>
      <c r="BP642" s="1"/>
      <c r="BQ642" s="1"/>
      <c r="BR642" s="1"/>
      <c r="BS642" s="1" t="s">
        <v>5461</v>
      </c>
      <c r="BT642" s="5">
        <f>HYPERLINK("https%3A%2F%2Fwww.webofscience.com%2Fwos%2Fwoscc%2Ffull-record%2FWOS:A1976CJ36800001","View Full Record in Web of Science")</f>
      </c>
    </row>
    <row x14ac:dyDescent="0.25" r="643" customHeight="1" ht="12.75">
      <c r="A643" s="1" t="s">
        <v>72</v>
      </c>
      <c r="B643" s="1" t="s">
        <v>5462</v>
      </c>
      <c r="C643" s="1"/>
      <c r="D643" s="1"/>
      <c r="E643" s="1"/>
      <c r="F643" s="1" t="s">
        <v>5462</v>
      </c>
      <c r="G643" s="1"/>
      <c r="H643" s="1"/>
      <c r="I643" s="1" t="s">
        <v>5463</v>
      </c>
      <c r="J643" s="1" t="s">
        <v>5459</v>
      </c>
      <c r="K643" s="1"/>
      <c r="L643" s="1"/>
      <c r="M643" s="1"/>
      <c r="N643" s="1"/>
      <c r="O643" s="1"/>
      <c r="P643" s="2"/>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t="s">
        <v>5460</v>
      </c>
      <c r="AP643" s="1"/>
      <c r="AQ643" s="1"/>
      <c r="AR643" s="1"/>
      <c r="AS643" s="1"/>
      <c r="AT643" s="1"/>
      <c r="AU643" s="3">
        <v>1976</v>
      </c>
      <c r="AV643" s="3">
        <v>5</v>
      </c>
      <c r="AW643" s="2" t="s">
        <v>3830</v>
      </c>
      <c r="AX643" s="2"/>
      <c r="AY643" s="2"/>
      <c r="AZ643" s="1"/>
      <c r="BA643" s="2"/>
      <c r="BB643" s="3">
        <v>287</v>
      </c>
      <c r="BC643" s="3">
        <v>296</v>
      </c>
      <c r="BD643" s="2"/>
      <c r="BE643" s="1" t="s">
        <v>5464</v>
      </c>
      <c r="BF643" s="4">
        <f>HYPERLINK("http://dx.doi.org/10.1016/0047-2670(76)85025-3","http://dx.doi.org/10.1016/0047-2670(76)85025-3")</f>
      </c>
      <c r="BG643" s="1"/>
      <c r="BH643" s="1"/>
      <c r="BI643" s="1"/>
      <c r="BJ643" s="1"/>
      <c r="BK643" s="1"/>
      <c r="BL643" s="1"/>
      <c r="BM643" s="1"/>
      <c r="BN643" s="2"/>
      <c r="BO643" s="1"/>
      <c r="BP643" s="1"/>
      <c r="BQ643" s="1"/>
      <c r="BR643" s="1"/>
      <c r="BS643" s="1" t="s">
        <v>5465</v>
      </c>
      <c r="BT643" s="5">
        <f>HYPERLINK("https%3A%2F%2Fwww.webofscience.com%2Fwos%2Fwoscc%2Ffull-record%2FWOS:A1976BT92400009","View Full Record in Web of Science")</f>
      </c>
    </row>
    <row x14ac:dyDescent="0.25" r="644" customHeight="1" ht="12.75">
      <c r="A644" s="1" t="s">
        <v>72</v>
      </c>
      <c r="B644" s="1" t="s">
        <v>268</v>
      </c>
      <c r="C644" s="1"/>
      <c r="D644" s="1"/>
      <c r="E644" s="1"/>
      <c r="F644" s="1" t="s">
        <v>269</v>
      </c>
      <c r="G644" s="1"/>
      <c r="H644" s="1"/>
      <c r="I644" s="1" t="s">
        <v>5466</v>
      </c>
      <c r="J644" s="1" t="s">
        <v>154</v>
      </c>
      <c r="K644" s="1"/>
      <c r="L644" s="1"/>
      <c r="M644" s="1"/>
      <c r="N644" s="1"/>
      <c r="O644" s="1"/>
      <c r="P644" s="2"/>
      <c r="Q644" s="1"/>
      <c r="R644" s="1"/>
      <c r="S644" s="1"/>
      <c r="T644" s="1"/>
      <c r="U644" s="1"/>
      <c r="V644" s="1" t="s">
        <v>5467</v>
      </c>
      <c r="W644" s="1"/>
      <c r="X644" s="1"/>
      <c r="Y644" s="1"/>
      <c r="Z644" s="1"/>
      <c r="AA644" s="1"/>
      <c r="AB644" s="1"/>
      <c r="AC644" s="1"/>
      <c r="AD644" s="1"/>
      <c r="AE644" s="1"/>
      <c r="AF644" s="1"/>
      <c r="AG644" s="1"/>
      <c r="AH644" s="1"/>
      <c r="AI644" s="1"/>
      <c r="AJ644" s="1"/>
      <c r="AK644" s="1"/>
      <c r="AL644" s="1"/>
      <c r="AM644" s="1"/>
      <c r="AN644" s="1"/>
      <c r="AO644" s="1" t="s">
        <v>156</v>
      </c>
      <c r="AP644" s="1" t="s">
        <v>157</v>
      </c>
      <c r="AQ644" s="1"/>
      <c r="AR644" s="1"/>
      <c r="AS644" s="1"/>
      <c r="AT644" s="1" t="s">
        <v>181</v>
      </c>
      <c r="AU644" s="3">
        <v>2025</v>
      </c>
      <c r="AV644" s="3">
        <v>15</v>
      </c>
      <c r="AW644" s="3">
        <v>1</v>
      </c>
      <c r="AX644" s="2"/>
      <c r="AY644" s="2"/>
      <c r="AZ644" s="1"/>
      <c r="BA644" s="2"/>
      <c r="BB644" s="3">
        <v>155</v>
      </c>
      <c r="BC644" s="3">
        <v>184</v>
      </c>
      <c r="BD644" s="2"/>
      <c r="BE644" s="1"/>
      <c r="BF644" s="1"/>
      <c r="BG644" s="1"/>
      <c r="BH644" s="1"/>
      <c r="BI644" s="1"/>
      <c r="BJ644" s="1"/>
      <c r="BK644" s="1"/>
      <c r="BL644" s="1"/>
      <c r="BM644" s="1"/>
      <c r="BN644" s="2"/>
      <c r="BO644" s="1"/>
      <c r="BP644" s="1"/>
      <c r="BQ644" s="1"/>
      <c r="BR644" s="1"/>
      <c r="BS644" s="1" t="s">
        <v>5468</v>
      </c>
      <c r="BT644" s="5">
        <f>HYPERLINK("https%3A%2F%2Fwww.webofscience.com%2Fwos%2Fwoscc%2Ffull-record%2FWOS:001460986000006","View Full Record in Web of Science")</f>
      </c>
    </row>
    <row x14ac:dyDescent="0.25" r="645" customHeight="1" ht="12.75">
      <c r="A645" s="1" t="s">
        <v>72</v>
      </c>
      <c r="B645" s="1" t="s">
        <v>5469</v>
      </c>
      <c r="C645" s="1"/>
      <c r="D645" s="1"/>
      <c r="E645" s="1"/>
      <c r="F645" s="1" t="s">
        <v>5470</v>
      </c>
      <c r="G645" s="1"/>
      <c r="H645" s="1"/>
      <c r="I645" s="1" t="s">
        <v>5471</v>
      </c>
      <c r="J645" s="1" t="s">
        <v>1393</v>
      </c>
      <c r="K645" s="1"/>
      <c r="L645" s="1"/>
      <c r="M645" s="1"/>
      <c r="N645" s="1"/>
      <c r="O645" s="1"/>
      <c r="P645" s="2"/>
      <c r="Q645" s="1"/>
      <c r="R645" s="1"/>
      <c r="S645" s="1"/>
      <c r="T645" s="1"/>
      <c r="U645" s="1"/>
      <c r="V645" s="1" t="s">
        <v>5472</v>
      </c>
      <c r="W645" s="1"/>
      <c r="X645" s="1"/>
      <c r="Y645" s="1"/>
      <c r="Z645" s="1"/>
      <c r="AA645" s="1" t="s">
        <v>3412</v>
      </c>
      <c r="AB645" s="1"/>
      <c r="AC645" s="1"/>
      <c r="AD645" s="1"/>
      <c r="AE645" s="1"/>
      <c r="AF645" s="1"/>
      <c r="AG645" s="1"/>
      <c r="AH645" s="1"/>
      <c r="AI645" s="1"/>
      <c r="AJ645" s="1"/>
      <c r="AK645" s="1"/>
      <c r="AL645" s="1"/>
      <c r="AM645" s="1"/>
      <c r="AN645" s="1"/>
      <c r="AO645" s="1" t="s">
        <v>1395</v>
      </c>
      <c r="AP645" s="1" t="s">
        <v>5473</v>
      </c>
      <c r="AQ645" s="1"/>
      <c r="AR645" s="1"/>
      <c r="AS645" s="1"/>
      <c r="AT645" s="1" t="s">
        <v>204</v>
      </c>
      <c r="AU645" s="3">
        <v>2024</v>
      </c>
      <c r="AV645" s="3">
        <v>19</v>
      </c>
      <c r="AW645" s="3">
        <v>6</v>
      </c>
      <c r="AX645" s="2"/>
      <c r="AY645" s="2"/>
      <c r="AZ645" s="1"/>
      <c r="BA645" s="2"/>
      <c r="BB645" s="2"/>
      <c r="BC645" s="2"/>
      <c r="BD645" s="3">
        <v>6865</v>
      </c>
      <c r="BE645" s="1" t="s">
        <v>5474</v>
      </c>
      <c r="BF645" s="4">
        <f>HYPERLINK("http://dx.doi.org/10.15837/ijccc.2024.6.6865","http://dx.doi.org/10.15837/ijccc.2024.6.6865")</f>
      </c>
      <c r="BG645" s="1"/>
      <c r="BH645" s="1"/>
      <c r="BI645" s="1"/>
      <c r="BJ645" s="1"/>
      <c r="BK645" s="1"/>
      <c r="BL645" s="1"/>
      <c r="BM645" s="1"/>
      <c r="BN645" s="2"/>
      <c r="BO645" s="1"/>
      <c r="BP645" s="1"/>
      <c r="BQ645" s="1"/>
      <c r="BR645" s="1"/>
      <c r="BS645" s="1" t="s">
        <v>5475</v>
      </c>
      <c r="BT645" s="5">
        <f>HYPERLINK("https%3A%2F%2Fwww.webofscience.com%2Fwos%2Fwoscc%2Ffull-record%2FWOS:001348582100002","View Full Record in Web of Science")</f>
      </c>
    </row>
    <row x14ac:dyDescent="0.25" r="646" customHeight="1" ht="12.75">
      <c r="A646" s="1" t="s">
        <v>72</v>
      </c>
      <c r="B646" s="1" t="s">
        <v>5476</v>
      </c>
      <c r="C646" s="1"/>
      <c r="D646" s="1"/>
      <c r="E646" s="1"/>
      <c r="F646" s="1" t="s">
        <v>5477</v>
      </c>
      <c r="G646" s="1"/>
      <c r="H646" s="1"/>
      <c r="I646" s="1" t="s">
        <v>5478</v>
      </c>
      <c r="J646" s="1" t="s">
        <v>5479</v>
      </c>
      <c r="K646" s="1"/>
      <c r="L646" s="1"/>
      <c r="M646" s="1"/>
      <c r="N646" s="1"/>
      <c r="O646" s="1"/>
      <c r="P646" s="2"/>
      <c r="Q646" s="1"/>
      <c r="R646" s="1"/>
      <c r="S646" s="1"/>
      <c r="T646" s="1"/>
      <c r="U646" s="1"/>
      <c r="V646" s="1" t="s">
        <v>5480</v>
      </c>
      <c r="W646" s="1"/>
      <c r="X646" s="1"/>
      <c r="Y646" s="1"/>
      <c r="Z646" s="1"/>
      <c r="AA646" s="1" t="s">
        <v>201</v>
      </c>
      <c r="AB646" s="1" t="s">
        <v>5481</v>
      </c>
      <c r="AC646" s="1"/>
      <c r="AD646" s="1"/>
      <c r="AE646" s="1"/>
      <c r="AF646" s="1"/>
      <c r="AG646" s="1"/>
      <c r="AH646" s="1"/>
      <c r="AI646" s="1"/>
      <c r="AJ646" s="1"/>
      <c r="AK646" s="1"/>
      <c r="AL646" s="1"/>
      <c r="AM646" s="1"/>
      <c r="AN646" s="1"/>
      <c r="AO646" s="1"/>
      <c r="AP646" s="1" t="s">
        <v>5482</v>
      </c>
      <c r="AQ646" s="1"/>
      <c r="AR646" s="1"/>
      <c r="AS646" s="1"/>
      <c r="AT646" s="1" t="s">
        <v>757</v>
      </c>
      <c r="AU646" s="3">
        <v>2024</v>
      </c>
      <c r="AV646" s="3">
        <v>12</v>
      </c>
      <c r="AW646" s="3">
        <v>6</v>
      </c>
      <c r="AX646" s="2"/>
      <c r="AY646" s="2"/>
      <c r="AZ646" s="1"/>
      <c r="BA646" s="2"/>
      <c r="BB646" s="2"/>
      <c r="BC646" s="2"/>
      <c r="BD646" s="3">
        <v>1309</v>
      </c>
      <c r="BE646" s="1" t="s">
        <v>5483</v>
      </c>
      <c r="BF646" s="4">
        <f>HYPERLINK("http://dx.doi.org/10.3390/biomedicines12061309","http://dx.doi.org/10.3390/biomedicines12061309")</f>
      </c>
      <c r="BG646" s="1"/>
      <c r="BH646" s="1"/>
      <c r="BI646" s="1"/>
      <c r="BJ646" s="1"/>
      <c r="BK646" s="1"/>
      <c r="BL646" s="1"/>
      <c r="BM646" s="1"/>
      <c r="BN646" s="3">
        <v>38927516</v>
      </c>
      <c r="BO646" s="1"/>
      <c r="BP646" s="1"/>
      <c r="BQ646" s="1"/>
      <c r="BR646" s="1"/>
      <c r="BS646" s="1" t="s">
        <v>5484</v>
      </c>
      <c r="BT646" s="5">
        <f>HYPERLINK("https%3A%2F%2Fwww.webofscience.com%2Fwos%2Fwoscc%2Ffull-record%2FWOS:001254663200001","View Full Record in Web of Science")</f>
      </c>
    </row>
    <row x14ac:dyDescent="0.25" r="647" customHeight="1" ht="12.75">
      <c r="A647" s="1" t="s">
        <v>72</v>
      </c>
      <c r="B647" s="1" t="s">
        <v>5485</v>
      </c>
      <c r="C647" s="1"/>
      <c r="D647" s="1"/>
      <c r="E647" s="1"/>
      <c r="F647" s="1" t="s">
        <v>5486</v>
      </c>
      <c r="G647" s="1"/>
      <c r="H647" s="1"/>
      <c r="I647" s="1" t="s">
        <v>5487</v>
      </c>
      <c r="J647" s="1" t="s">
        <v>5488</v>
      </c>
      <c r="K647" s="1"/>
      <c r="L647" s="1"/>
      <c r="M647" s="1"/>
      <c r="N647" s="1"/>
      <c r="O647" s="1"/>
      <c r="P647" s="2"/>
      <c r="Q647" s="1"/>
      <c r="R647" s="1"/>
      <c r="S647" s="1"/>
      <c r="T647" s="1"/>
      <c r="U647" s="1"/>
      <c r="V647" s="1"/>
      <c r="W647" s="1"/>
      <c r="X647" s="1"/>
      <c r="Y647" s="1"/>
      <c r="Z647" s="1"/>
      <c r="AA647" s="1" t="s">
        <v>5489</v>
      </c>
      <c r="AB647" s="1" t="s">
        <v>5490</v>
      </c>
      <c r="AC647" s="1"/>
      <c r="AD647" s="1"/>
      <c r="AE647" s="1"/>
      <c r="AF647" s="1"/>
      <c r="AG647" s="1"/>
      <c r="AH647" s="1"/>
      <c r="AI647" s="1"/>
      <c r="AJ647" s="1"/>
      <c r="AK647" s="1"/>
      <c r="AL647" s="1"/>
      <c r="AM647" s="1"/>
      <c r="AN647" s="1"/>
      <c r="AO647" s="1" t="s">
        <v>5491</v>
      </c>
      <c r="AP647" s="1" t="s">
        <v>5492</v>
      </c>
      <c r="AQ647" s="1"/>
      <c r="AR647" s="1"/>
      <c r="AS647" s="1"/>
      <c r="AT647" s="1" t="s">
        <v>605</v>
      </c>
      <c r="AU647" s="3">
        <v>2024</v>
      </c>
      <c r="AV647" s="3">
        <v>62</v>
      </c>
      <c r="AW647" s="3">
        <v>3</v>
      </c>
      <c r="AX647" s="2"/>
      <c r="AY647" s="2"/>
      <c r="AZ647" s="1"/>
      <c r="BA647" s="2"/>
      <c r="BB647" s="3">
        <v>223</v>
      </c>
      <c r="BC647" s="3">
        <v>225</v>
      </c>
      <c r="BD647" s="2"/>
      <c r="BE647" s="1" t="s">
        <v>5493</v>
      </c>
      <c r="BF647" s="4">
        <f>HYPERLINK("http://dx.doi.org/10.1119/5.0095415","http://dx.doi.org/10.1119/5.0095415")</f>
      </c>
      <c r="BG647" s="1"/>
      <c r="BH647" s="1"/>
      <c r="BI647" s="1"/>
      <c r="BJ647" s="1"/>
      <c r="BK647" s="1"/>
      <c r="BL647" s="1"/>
      <c r="BM647" s="1"/>
      <c r="BN647" s="2"/>
      <c r="BO647" s="1"/>
      <c r="BP647" s="1"/>
      <c r="BQ647" s="1"/>
      <c r="BR647" s="1"/>
      <c r="BS647" s="1" t="s">
        <v>5494</v>
      </c>
      <c r="BT647" s="5">
        <f>HYPERLINK("https%3A%2F%2Fwww.webofscience.com%2Fwos%2Fwoscc%2Ffull-record%2FWOS:001265060900019","View Full Record in Web of Science")</f>
      </c>
    </row>
    <row x14ac:dyDescent="0.25" r="648" customHeight="1" ht="12.75">
      <c r="A648" s="1" t="s">
        <v>72</v>
      </c>
      <c r="B648" s="1" t="s">
        <v>5495</v>
      </c>
      <c r="C648" s="1"/>
      <c r="D648" s="1"/>
      <c r="E648" s="1"/>
      <c r="F648" s="1" t="s">
        <v>5496</v>
      </c>
      <c r="G648" s="1"/>
      <c r="H648" s="1"/>
      <c r="I648" s="1" t="s">
        <v>5497</v>
      </c>
      <c r="J648" s="1" t="s">
        <v>2870</v>
      </c>
      <c r="K648" s="1"/>
      <c r="L648" s="1"/>
      <c r="M648" s="1"/>
      <c r="N648" s="1"/>
      <c r="O648" s="1"/>
      <c r="P648" s="2"/>
      <c r="Q648" s="1"/>
      <c r="R648" s="1"/>
      <c r="S648" s="1"/>
      <c r="T648" s="1"/>
      <c r="U648" s="1"/>
      <c r="V648" s="1" t="s">
        <v>5498</v>
      </c>
      <c r="W648" s="1"/>
      <c r="X648" s="1"/>
      <c r="Y648" s="1"/>
      <c r="Z648" s="1"/>
      <c r="AA648" s="1" t="s">
        <v>5499</v>
      </c>
      <c r="AB648" s="1"/>
      <c r="AC648" s="1"/>
      <c r="AD648" s="1"/>
      <c r="AE648" s="1"/>
      <c r="AF648" s="1"/>
      <c r="AG648" s="1"/>
      <c r="AH648" s="1"/>
      <c r="AI648" s="1"/>
      <c r="AJ648" s="1"/>
      <c r="AK648" s="1"/>
      <c r="AL648" s="1"/>
      <c r="AM648" s="1"/>
      <c r="AN648" s="1"/>
      <c r="AO648" s="1" t="s">
        <v>2872</v>
      </c>
      <c r="AP648" s="1"/>
      <c r="AQ648" s="1"/>
      <c r="AR648" s="1"/>
      <c r="AS648" s="1"/>
      <c r="AT648" s="1"/>
      <c r="AU648" s="3">
        <v>2024</v>
      </c>
      <c r="AV648" s="2"/>
      <c r="AW648" s="3">
        <v>70</v>
      </c>
      <c r="AX648" s="2"/>
      <c r="AY648" s="2"/>
      <c r="AZ648" s="1"/>
      <c r="BA648" s="2"/>
      <c r="BB648" s="2"/>
      <c r="BC648" s="2"/>
      <c r="BD648" s="2" t="s">
        <v>5500</v>
      </c>
      <c r="BE648" s="1" t="s">
        <v>5501</v>
      </c>
      <c r="BF648" s="4">
        <f>HYPERLINK("http://dx.doi.org/10.22199/issn.0718-1043-2024-0019","http://dx.doi.org/10.22199/issn.0718-1043-2024-0019")</f>
      </c>
      <c r="BG648" s="1"/>
      <c r="BH648" s="1"/>
      <c r="BI648" s="1"/>
      <c r="BJ648" s="1"/>
      <c r="BK648" s="1"/>
      <c r="BL648" s="1"/>
      <c r="BM648" s="1"/>
      <c r="BN648" s="2"/>
      <c r="BO648" s="1"/>
      <c r="BP648" s="1"/>
      <c r="BQ648" s="1"/>
      <c r="BR648" s="1"/>
      <c r="BS648" s="1" t="s">
        <v>5502</v>
      </c>
      <c r="BT648" s="5">
        <f>HYPERLINK("https%3A%2F%2Fwww.webofscience.com%2Fwos%2Fwoscc%2Ffull-record%2FWOS:001456237000006","View Full Record in Web of Science")</f>
      </c>
    </row>
    <row x14ac:dyDescent="0.25" r="649" customHeight="1" ht="12.75">
      <c r="A649" s="1" t="s">
        <v>72</v>
      </c>
      <c r="B649" s="1" t="s">
        <v>5503</v>
      </c>
      <c r="C649" s="1"/>
      <c r="D649" s="1"/>
      <c r="E649" s="1"/>
      <c r="F649" s="1" t="s">
        <v>5504</v>
      </c>
      <c r="G649" s="1"/>
      <c r="H649" s="1"/>
      <c r="I649" s="1" t="s">
        <v>5505</v>
      </c>
      <c r="J649" s="1" t="s">
        <v>5506</v>
      </c>
      <c r="K649" s="1"/>
      <c r="L649" s="1"/>
      <c r="M649" s="1"/>
      <c r="N649" s="1"/>
      <c r="O649" s="1"/>
      <c r="P649" s="2"/>
      <c r="Q649" s="1"/>
      <c r="R649" s="1"/>
      <c r="S649" s="1"/>
      <c r="T649" s="1"/>
      <c r="U649" s="1"/>
      <c r="V649" s="1" t="s">
        <v>5507</v>
      </c>
      <c r="W649" s="1"/>
      <c r="X649" s="1"/>
      <c r="Y649" s="1"/>
      <c r="Z649" s="1"/>
      <c r="AA649" s="1"/>
      <c r="AB649" s="1"/>
      <c r="AC649" s="1"/>
      <c r="AD649" s="1"/>
      <c r="AE649" s="1"/>
      <c r="AF649" s="1"/>
      <c r="AG649" s="1"/>
      <c r="AH649" s="1"/>
      <c r="AI649" s="1"/>
      <c r="AJ649" s="1"/>
      <c r="AK649" s="1"/>
      <c r="AL649" s="1"/>
      <c r="AM649" s="1"/>
      <c r="AN649" s="1"/>
      <c r="AO649" s="1" t="s">
        <v>5508</v>
      </c>
      <c r="AP649" s="1" t="s">
        <v>5509</v>
      </c>
      <c r="AQ649" s="1"/>
      <c r="AR649" s="1"/>
      <c r="AS649" s="1"/>
      <c r="AT649" s="1"/>
      <c r="AU649" s="3">
        <v>2024</v>
      </c>
      <c r="AV649" s="3">
        <v>12</v>
      </c>
      <c r="AW649" s="2"/>
      <c r="AX649" s="2"/>
      <c r="AY649" s="2"/>
      <c r="AZ649" s="1"/>
      <c r="BA649" s="2"/>
      <c r="BB649" s="2"/>
      <c r="BC649" s="2"/>
      <c r="BD649" s="2" t="s">
        <v>5510</v>
      </c>
      <c r="BE649" s="1" t="s">
        <v>5511</v>
      </c>
      <c r="BF649" s="4">
        <f>HYPERLINK("http://dx.doi.org/10.22234/recu.20241201.e774","http://dx.doi.org/10.22234/recu.20241201.e774")</f>
      </c>
      <c r="BG649" s="1"/>
      <c r="BH649" s="1"/>
      <c r="BI649" s="1"/>
      <c r="BJ649" s="1"/>
      <c r="BK649" s="1"/>
      <c r="BL649" s="1"/>
      <c r="BM649" s="1"/>
      <c r="BN649" s="2"/>
      <c r="BO649" s="1"/>
      <c r="BP649" s="1"/>
      <c r="BQ649" s="1"/>
      <c r="BR649" s="1"/>
      <c r="BS649" s="1" t="s">
        <v>5512</v>
      </c>
      <c r="BT649" s="5">
        <f>HYPERLINK("https%3A%2F%2Fwww.webofscience.com%2Fwos%2Fwoscc%2Ffull-record%2FWOS:001152458800001","View Full Record in Web of Science")</f>
      </c>
    </row>
    <row x14ac:dyDescent="0.25" r="650" customHeight="1" ht="12.75">
      <c r="A650" s="1" t="s">
        <v>72</v>
      </c>
      <c r="B650" s="1" t="s">
        <v>5513</v>
      </c>
      <c r="C650" s="1"/>
      <c r="D650" s="1"/>
      <c r="E650" s="1"/>
      <c r="F650" s="1" t="s">
        <v>5514</v>
      </c>
      <c r="G650" s="1"/>
      <c r="H650" s="1"/>
      <c r="I650" s="1" t="s">
        <v>5515</v>
      </c>
      <c r="J650" s="1" t="s">
        <v>2629</v>
      </c>
      <c r="K650" s="1"/>
      <c r="L650" s="1"/>
      <c r="M650" s="1"/>
      <c r="N650" s="1"/>
      <c r="O650" s="1"/>
      <c r="P650" s="2"/>
      <c r="Q650" s="1"/>
      <c r="R650" s="1"/>
      <c r="S650" s="1"/>
      <c r="T650" s="1"/>
      <c r="U650" s="1"/>
      <c r="V650" s="1" t="s">
        <v>5516</v>
      </c>
      <c r="W650" s="1"/>
      <c r="X650" s="1"/>
      <c r="Y650" s="1"/>
      <c r="Z650" s="1"/>
      <c r="AA650" s="1" t="s">
        <v>5517</v>
      </c>
      <c r="AB650" s="1" t="s">
        <v>5518</v>
      </c>
      <c r="AC650" s="1"/>
      <c r="AD650" s="1"/>
      <c r="AE650" s="1"/>
      <c r="AF650" s="1"/>
      <c r="AG650" s="1"/>
      <c r="AH650" s="1"/>
      <c r="AI650" s="1"/>
      <c r="AJ650" s="1"/>
      <c r="AK650" s="1"/>
      <c r="AL650" s="1"/>
      <c r="AM650" s="1"/>
      <c r="AN650" s="1"/>
      <c r="AO650" s="1"/>
      <c r="AP650" s="1" t="s">
        <v>2632</v>
      </c>
      <c r="AQ650" s="1"/>
      <c r="AR650" s="1"/>
      <c r="AS650" s="1"/>
      <c r="AT650" s="1" t="s">
        <v>204</v>
      </c>
      <c r="AU650" s="3">
        <v>2023</v>
      </c>
      <c r="AV650" s="3">
        <v>11</v>
      </c>
      <c r="AW650" s="3">
        <v>12</v>
      </c>
      <c r="AX650" s="2"/>
      <c r="AY650" s="2"/>
      <c r="AZ650" s="1"/>
      <c r="BA650" s="2"/>
      <c r="BB650" s="2"/>
      <c r="BC650" s="2"/>
      <c r="BD650" s="3">
        <v>3278</v>
      </c>
      <c r="BE650" s="1" t="s">
        <v>5519</v>
      </c>
      <c r="BF650" s="4">
        <f>HYPERLINK("http://dx.doi.org/10.3390/pr11123278","http://dx.doi.org/10.3390/pr11123278")</f>
      </c>
      <c r="BG650" s="1"/>
      <c r="BH650" s="1"/>
      <c r="BI650" s="1"/>
      <c r="BJ650" s="1"/>
      <c r="BK650" s="1"/>
      <c r="BL650" s="1"/>
      <c r="BM650" s="1"/>
      <c r="BN650" s="2"/>
      <c r="BO650" s="1"/>
      <c r="BP650" s="1"/>
      <c r="BQ650" s="1"/>
      <c r="BR650" s="1"/>
      <c r="BS650" s="1" t="s">
        <v>5520</v>
      </c>
      <c r="BT650" s="5">
        <f>HYPERLINK("https%3A%2F%2Fwww.webofscience.com%2Fwos%2Fwoscc%2Ffull-record%2FWOS:001131216600001","View Full Record in Web of Science")</f>
      </c>
    </row>
    <row x14ac:dyDescent="0.25" r="651" customHeight="1" ht="12.75">
      <c r="A651" s="1" t="s">
        <v>72</v>
      </c>
      <c r="B651" s="1" t="s">
        <v>5521</v>
      </c>
      <c r="C651" s="1"/>
      <c r="D651" s="1"/>
      <c r="E651" s="1"/>
      <c r="F651" s="1" t="s">
        <v>5522</v>
      </c>
      <c r="G651" s="1"/>
      <c r="H651" s="1"/>
      <c r="I651" s="1" t="s">
        <v>5523</v>
      </c>
      <c r="J651" s="1" t="s">
        <v>5524</v>
      </c>
      <c r="K651" s="1"/>
      <c r="L651" s="1"/>
      <c r="M651" s="1"/>
      <c r="N651" s="1"/>
      <c r="O651" s="1"/>
      <c r="P651" s="2"/>
      <c r="Q651" s="1"/>
      <c r="R651" s="1"/>
      <c r="S651" s="1"/>
      <c r="T651" s="1"/>
      <c r="U651" s="1"/>
      <c r="V651" s="1" t="s">
        <v>5525</v>
      </c>
      <c r="W651" s="1"/>
      <c r="X651" s="1"/>
      <c r="Y651" s="1"/>
      <c r="Z651" s="1"/>
      <c r="AA651" s="1" t="s">
        <v>5526</v>
      </c>
      <c r="AB651" s="1" t="s">
        <v>5527</v>
      </c>
      <c r="AC651" s="1"/>
      <c r="AD651" s="1"/>
      <c r="AE651" s="1"/>
      <c r="AF651" s="1"/>
      <c r="AG651" s="1"/>
      <c r="AH651" s="1"/>
      <c r="AI651" s="1"/>
      <c r="AJ651" s="1"/>
      <c r="AK651" s="1"/>
      <c r="AL651" s="1"/>
      <c r="AM651" s="1"/>
      <c r="AN651" s="1"/>
      <c r="AO651" s="1"/>
      <c r="AP651" s="1" t="s">
        <v>5528</v>
      </c>
      <c r="AQ651" s="1"/>
      <c r="AR651" s="1"/>
      <c r="AS651" s="1"/>
      <c r="AT651" s="1" t="s">
        <v>5529</v>
      </c>
      <c r="AU651" s="3">
        <v>2023</v>
      </c>
      <c r="AV651" s="3">
        <v>11</v>
      </c>
      <c r="AW651" s="2"/>
      <c r="AX651" s="2"/>
      <c r="AY651" s="2"/>
      <c r="AZ651" s="1"/>
      <c r="BA651" s="2"/>
      <c r="BB651" s="2"/>
      <c r="BC651" s="2"/>
      <c r="BD651" s="3">
        <v>1191377</v>
      </c>
      <c r="BE651" s="1" t="s">
        <v>5530</v>
      </c>
      <c r="BF651" s="4">
        <f>HYPERLINK("http://dx.doi.org/10.3389/fpubh.2023.1191377","http://dx.doi.org/10.3389/fpubh.2023.1191377")</f>
      </c>
      <c r="BG651" s="1"/>
      <c r="BH651" s="1"/>
      <c r="BI651" s="1"/>
      <c r="BJ651" s="1"/>
      <c r="BK651" s="1"/>
      <c r="BL651" s="1"/>
      <c r="BM651" s="1"/>
      <c r="BN651" s="3">
        <v>37492136</v>
      </c>
      <c r="BO651" s="1"/>
      <c r="BP651" s="1"/>
      <c r="BQ651" s="1"/>
      <c r="BR651" s="1"/>
      <c r="BS651" s="1" t="s">
        <v>5531</v>
      </c>
      <c r="BT651" s="5">
        <f>HYPERLINK("https%3A%2F%2Fwww.webofscience.com%2Fwos%2Fwoscc%2Ffull-record%2FWOS:001031890200001","View Full Record in Web of Science")</f>
      </c>
    </row>
    <row x14ac:dyDescent="0.25" r="652" customHeight="1" ht="12.75">
      <c r="A652" s="1" t="s">
        <v>72</v>
      </c>
      <c r="B652" s="1" t="s">
        <v>5532</v>
      </c>
      <c r="C652" s="1"/>
      <c r="D652" s="1"/>
      <c r="E652" s="1"/>
      <c r="F652" s="1" t="s">
        <v>5533</v>
      </c>
      <c r="G652" s="1"/>
      <c r="H652" s="1"/>
      <c r="I652" s="1" t="s">
        <v>5534</v>
      </c>
      <c r="J652" s="1" t="s">
        <v>5535</v>
      </c>
      <c r="K652" s="1"/>
      <c r="L652" s="1"/>
      <c r="M652" s="1"/>
      <c r="N652" s="1"/>
      <c r="O652" s="1"/>
      <c r="P652" s="2"/>
      <c r="Q652" s="1"/>
      <c r="R652" s="1"/>
      <c r="S652" s="1"/>
      <c r="T652" s="1"/>
      <c r="U652" s="1"/>
      <c r="V652" s="1" t="s">
        <v>5536</v>
      </c>
      <c r="W652" s="1"/>
      <c r="X652" s="1"/>
      <c r="Y652" s="1"/>
      <c r="Z652" s="1"/>
      <c r="AA652" s="1"/>
      <c r="AB652" s="1"/>
      <c r="AC652" s="1"/>
      <c r="AD652" s="1"/>
      <c r="AE652" s="1"/>
      <c r="AF652" s="1"/>
      <c r="AG652" s="1"/>
      <c r="AH652" s="1"/>
      <c r="AI652" s="1"/>
      <c r="AJ652" s="1"/>
      <c r="AK652" s="1"/>
      <c r="AL652" s="1"/>
      <c r="AM652" s="1"/>
      <c r="AN652" s="1"/>
      <c r="AO652" s="1" t="s">
        <v>5537</v>
      </c>
      <c r="AP652" s="1"/>
      <c r="AQ652" s="1"/>
      <c r="AR652" s="1"/>
      <c r="AS652" s="1"/>
      <c r="AT652" s="1" t="s">
        <v>158</v>
      </c>
      <c r="AU652" s="3">
        <v>2023</v>
      </c>
      <c r="AV652" s="3">
        <v>16</v>
      </c>
      <c r="AW652" s="3">
        <v>32</v>
      </c>
      <c r="AX652" s="2"/>
      <c r="AY652" s="2"/>
      <c r="AZ652" s="1"/>
      <c r="BA652" s="2"/>
      <c r="BB652" s="3">
        <v>34</v>
      </c>
      <c r="BC652" s="3">
        <v>58</v>
      </c>
      <c r="BD652" s="2"/>
      <c r="BE652" s="1" t="s">
        <v>5538</v>
      </c>
      <c r="BF652" s="4">
        <f>HYPERLINK("http://dx.doi.org/10.5433/1984-3356.2023v16n32p034-058","http://dx.doi.org/10.5433/1984-3356.2023v16n32p034-058")</f>
      </c>
      <c r="BG652" s="1"/>
      <c r="BH652" s="1"/>
      <c r="BI652" s="1"/>
      <c r="BJ652" s="1"/>
      <c r="BK652" s="1"/>
      <c r="BL652" s="1"/>
      <c r="BM652" s="1"/>
      <c r="BN652" s="2"/>
      <c r="BO652" s="1"/>
      <c r="BP652" s="1"/>
      <c r="BQ652" s="1"/>
      <c r="BR652" s="1"/>
      <c r="BS652" s="1" t="s">
        <v>5539</v>
      </c>
      <c r="BT652" s="5">
        <f>HYPERLINK("https%3A%2F%2Fwww.webofscience.com%2Fwos%2Fwoscc%2Ffull-record%2FWOS:001252416800003","View Full Record in Web of Science")</f>
      </c>
    </row>
    <row x14ac:dyDescent="0.25" r="653" customHeight="1" ht="12.75">
      <c r="A653" s="1" t="s">
        <v>72</v>
      </c>
      <c r="B653" s="1" t="s">
        <v>5540</v>
      </c>
      <c r="C653" s="1"/>
      <c r="D653" s="1"/>
      <c r="E653" s="1"/>
      <c r="F653" s="1" t="s">
        <v>5541</v>
      </c>
      <c r="G653" s="1"/>
      <c r="H653" s="1"/>
      <c r="I653" s="1" t="s">
        <v>5542</v>
      </c>
      <c r="J653" s="1" t="s">
        <v>5543</v>
      </c>
      <c r="K653" s="1"/>
      <c r="L653" s="1"/>
      <c r="M653" s="1"/>
      <c r="N653" s="1"/>
      <c r="O653" s="1"/>
      <c r="P653" s="2"/>
      <c r="Q653" s="1"/>
      <c r="R653" s="1"/>
      <c r="S653" s="1"/>
      <c r="T653" s="1"/>
      <c r="U653" s="1"/>
      <c r="V653" s="1" t="s">
        <v>5544</v>
      </c>
      <c r="W653" s="1"/>
      <c r="X653" s="1"/>
      <c r="Y653" s="1"/>
      <c r="Z653" s="1"/>
      <c r="AA653" s="1" t="s">
        <v>5545</v>
      </c>
      <c r="AB653" s="1" t="s">
        <v>5546</v>
      </c>
      <c r="AC653" s="1"/>
      <c r="AD653" s="1"/>
      <c r="AE653" s="1"/>
      <c r="AF653" s="1"/>
      <c r="AG653" s="1"/>
      <c r="AH653" s="1"/>
      <c r="AI653" s="1"/>
      <c r="AJ653" s="1"/>
      <c r="AK653" s="1"/>
      <c r="AL653" s="1"/>
      <c r="AM653" s="1"/>
      <c r="AN653" s="1"/>
      <c r="AO653" s="1"/>
      <c r="AP653" s="1" t="s">
        <v>5547</v>
      </c>
      <c r="AQ653" s="1"/>
      <c r="AR653" s="1"/>
      <c r="AS653" s="1"/>
      <c r="AT653" s="1" t="s">
        <v>137</v>
      </c>
      <c r="AU653" s="3">
        <v>2023</v>
      </c>
      <c r="AV653" s="3">
        <v>13</v>
      </c>
      <c r="AW653" s="3">
        <v>3</v>
      </c>
      <c r="AX653" s="2"/>
      <c r="AY653" s="2"/>
      <c r="AZ653" s="1"/>
      <c r="BA653" s="2"/>
      <c r="BB653" s="2"/>
      <c r="BC653" s="2"/>
      <c r="BD653" s="3">
        <v>428</v>
      </c>
      <c r="BE653" s="1" t="s">
        <v>5548</v>
      </c>
      <c r="BF653" s="4">
        <f>HYPERLINK("http://dx.doi.org/10.3390/nano13030428","http://dx.doi.org/10.3390/nano13030428")</f>
      </c>
      <c r="BG653" s="1"/>
      <c r="BH653" s="1"/>
      <c r="BI653" s="1"/>
      <c r="BJ653" s="1"/>
      <c r="BK653" s="1"/>
      <c r="BL653" s="1"/>
      <c r="BM653" s="1"/>
      <c r="BN653" s="3">
        <v>36770389</v>
      </c>
      <c r="BO653" s="1"/>
      <c r="BP653" s="1"/>
      <c r="BQ653" s="1"/>
      <c r="BR653" s="1"/>
      <c r="BS653" s="1" t="s">
        <v>5549</v>
      </c>
      <c r="BT653" s="5">
        <f>HYPERLINK("https%3A%2F%2Fwww.webofscience.com%2Fwos%2Fwoscc%2Ffull-record%2FWOS:000929714900001","View Full Record in Web of Science")</f>
      </c>
    </row>
    <row x14ac:dyDescent="0.25" r="654" customHeight="1" ht="12.75">
      <c r="A654" s="1" t="s">
        <v>72</v>
      </c>
      <c r="B654" s="1" t="s">
        <v>5550</v>
      </c>
      <c r="C654" s="1"/>
      <c r="D654" s="1"/>
      <c r="E654" s="1"/>
      <c r="F654" s="1" t="s">
        <v>5551</v>
      </c>
      <c r="G654" s="1"/>
      <c r="H654" s="1"/>
      <c r="I654" s="1" t="s">
        <v>5552</v>
      </c>
      <c r="J654" s="1" t="s">
        <v>5553</v>
      </c>
      <c r="K654" s="1"/>
      <c r="L654" s="1"/>
      <c r="M654" s="1"/>
      <c r="N654" s="1"/>
      <c r="O654" s="1"/>
      <c r="P654" s="2"/>
      <c r="Q654" s="1"/>
      <c r="R654" s="1"/>
      <c r="S654" s="1"/>
      <c r="T654" s="1"/>
      <c r="U654" s="1"/>
      <c r="V654" s="1" t="s">
        <v>5554</v>
      </c>
      <c r="W654" s="1"/>
      <c r="X654" s="1"/>
      <c r="Y654" s="1"/>
      <c r="Z654" s="1"/>
      <c r="AA654" s="1" t="s">
        <v>5555</v>
      </c>
      <c r="AB654" s="1" t="s">
        <v>5556</v>
      </c>
      <c r="AC654" s="1"/>
      <c r="AD654" s="1"/>
      <c r="AE654" s="1"/>
      <c r="AF654" s="1"/>
      <c r="AG654" s="1"/>
      <c r="AH654" s="1"/>
      <c r="AI654" s="1"/>
      <c r="AJ654" s="1"/>
      <c r="AK654" s="1"/>
      <c r="AL654" s="1"/>
      <c r="AM654" s="1"/>
      <c r="AN654" s="1"/>
      <c r="AO654" s="1" t="s">
        <v>5557</v>
      </c>
      <c r="AP654" s="1" t="s">
        <v>5558</v>
      </c>
      <c r="AQ654" s="1"/>
      <c r="AR654" s="1"/>
      <c r="AS654" s="1"/>
      <c r="AT654" s="1" t="s">
        <v>757</v>
      </c>
      <c r="AU654" s="3">
        <v>2023</v>
      </c>
      <c r="AV654" s="3">
        <v>81</v>
      </c>
      <c r="AW654" s="3">
        <v>3</v>
      </c>
      <c r="AX654" s="2"/>
      <c r="AY654" s="2"/>
      <c r="AZ654" s="1"/>
      <c r="BA654" s="2"/>
      <c r="BB654" s="3">
        <v>713</v>
      </c>
      <c r="BC654" s="3">
        <v>722</v>
      </c>
      <c r="BD654" s="2"/>
      <c r="BE654" s="1" t="s">
        <v>5559</v>
      </c>
      <c r="BF654" s="4">
        <f>HYPERLINK("http://dx.doi.org/10.1007/s00107-022-01923-2","http://dx.doi.org/10.1007/s00107-022-01923-2")</f>
      </c>
      <c r="BG654" s="1"/>
      <c r="BH654" s="1" t="s">
        <v>5560</v>
      </c>
      <c r="BI654" s="1"/>
      <c r="BJ654" s="1"/>
      <c r="BK654" s="1"/>
      <c r="BL654" s="1"/>
      <c r="BM654" s="1"/>
      <c r="BN654" s="2"/>
      <c r="BO654" s="1"/>
      <c r="BP654" s="1"/>
      <c r="BQ654" s="1"/>
      <c r="BR654" s="1"/>
      <c r="BS654" s="1" t="s">
        <v>5561</v>
      </c>
      <c r="BT654" s="5">
        <f>HYPERLINK("https%3A%2F%2Fwww.webofscience.com%2Fwos%2Fwoscc%2Ffull-record%2FWOS:000912265800001","View Full Record in Web of Science")</f>
      </c>
    </row>
    <row x14ac:dyDescent="0.25" r="655" customHeight="1" ht="12.75">
      <c r="A655" s="1" t="s">
        <v>72</v>
      </c>
      <c r="B655" s="1" t="s">
        <v>5562</v>
      </c>
      <c r="C655" s="1"/>
      <c r="D655" s="1"/>
      <c r="E655" s="1"/>
      <c r="F655" s="1" t="s">
        <v>5563</v>
      </c>
      <c r="G655" s="1"/>
      <c r="H655" s="1"/>
      <c r="I655" s="1" t="s">
        <v>5564</v>
      </c>
      <c r="J655" s="1" t="s">
        <v>239</v>
      </c>
      <c r="K655" s="1"/>
      <c r="L655" s="1"/>
      <c r="M655" s="1"/>
      <c r="N655" s="1"/>
      <c r="O655" s="1"/>
      <c r="P655" s="2"/>
      <c r="Q655" s="1"/>
      <c r="R655" s="1"/>
      <c r="S655" s="1"/>
      <c r="T655" s="1"/>
      <c r="U655" s="1"/>
      <c r="V655" s="1" t="s">
        <v>5565</v>
      </c>
      <c r="W655" s="1"/>
      <c r="X655" s="1"/>
      <c r="Y655" s="1"/>
      <c r="Z655" s="1"/>
      <c r="AA655" s="1" t="s">
        <v>5566</v>
      </c>
      <c r="AB655" s="1" t="s">
        <v>5567</v>
      </c>
      <c r="AC655" s="1"/>
      <c r="AD655" s="1"/>
      <c r="AE655" s="1"/>
      <c r="AF655" s="1"/>
      <c r="AG655" s="1"/>
      <c r="AH655" s="1"/>
      <c r="AI655" s="1"/>
      <c r="AJ655" s="1"/>
      <c r="AK655" s="1"/>
      <c r="AL655" s="1"/>
      <c r="AM655" s="1"/>
      <c r="AN655" s="1"/>
      <c r="AO655" s="1" t="s">
        <v>243</v>
      </c>
      <c r="AP655" s="1"/>
      <c r="AQ655" s="1"/>
      <c r="AR655" s="1"/>
      <c r="AS655" s="1"/>
      <c r="AT655" s="1" t="s">
        <v>244</v>
      </c>
      <c r="AU655" s="3">
        <v>2023</v>
      </c>
      <c r="AV655" s="3">
        <v>23</v>
      </c>
      <c r="AW655" s="3">
        <v>1</v>
      </c>
      <c r="AX655" s="2"/>
      <c r="AY655" s="2"/>
      <c r="AZ655" s="1"/>
      <c r="BA655" s="2"/>
      <c r="BB655" s="2"/>
      <c r="BC655" s="2"/>
      <c r="BD655" s="2" t="s">
        <v>5568</v>
      </c>
      <c r="BE655" s="1" t="s">
        <v>5569</v>
      </c>
      <c r="BF655" s="4">
        <f>HYPERLINK("http://dx.doi.org/10.5867/medwave.2023.01.2665","http://dx.doi.org/10.5867/medwave.2023.01.2665")</f>
      </c>
      <c r="BG655" s="1"/>
      <c r="BH655" s="1"/>
      <c r="BI655" s="1"/>
      <c r="BJ655" s="1"/>
      <c r="BK655" s="1"/>
      <c r="BL655" s="1"/>
      <c r="BM655" s="1"/>
      <c r="BN655" s="3">
        <v>36820833</v>
      </c>
      <c r="BO655" s="1"/>
      <c r="BP655" s="1"/>
      <c r="BQ655" s="1"/>
      <c r="BR655" s="1"/>
      <c r="BS655" s="1" t="s">
        <v>5570</v>
      </c>
      <c r="BT655" s="5">
        <f>HYPERLINK("https%3A%2F%2Fwww.webofscience.com%2Fwos%2Fwoscc%2Ffull-record%2FWOS:000954895600001","View Full Record in Web of Science")</f>
      </c>
    </row>
    <row x14ac:dyDescent="0.25" r="656" customHeight="1" ht="12.75">
      <c r="A656" s="1" t="s">
        <v>72</v>
      </c>
      <c r="B656" s="1" t="s">
        <v>5571</v>
      </c>
      <c r="C656" s="1"/>
      <c r="D656" s="1"/>
      <c r="E656" s="1"/>
      <c r="F656" s="1" t="s">
        <v>5572</v>
      </c>
      <c r="G656" s="1"/>
      <c r="H656" s="1"/>
      <c r="I656" s="1" t="s">
        <v>5573</v>
      </c>
      <c r="J656" s="1" t="s">
        <v>5574</v>
      </c>
      <c r="K656" s="1"/>
      <c r="L656" s="1"/>
      <c r="M656" s="1"/>
      <c r="N656" s="1"/>
      <c r="O656" s="1"/>
      <c r="P656" s="2"/>
      <c r="Q656" s="1"/>
      <c r="R656" s="1"/>
      <c r="S656" s="1"/>
      <c r="T656" s="1"/>
      <c r="U656" s="1"/>
      <c r="V656" s="1" t="s">
        <v>5575</v>
      </c>
      <c r="W656" s="1"/>
      <c r="X656" s="1"/>
      <c r="Y656" s="1"/>
      <c r="Z656" s="1"/>
      <c r="AA656" s="1" t="s">
        <v>5576</v>
      </c>
      <c r="AB656" s="1" t="s">
        <v>5577</v>
      </c>
      <c r="AC656" s="1"/>
      <c r="AD656" s="1"/>
      <c r="AE656" s="1"/>
      <c r="AF656" s="1"/>
      <c r="AG656" s="1"/>
      <c r="AH656" s="1"/>
      <c r="AI656" s="1"/>
      <c r="AJ656" s="1"/>
      <c r="AK656" s="1"/>
      <c r="AL656" s="1"/>
      <c r="AM656" s="1"/>
      <c r="AN656" s="1"/>
      <c r="AO656" s="1" t="s">
        <v>5578</v>
      </c>
      <c r="AP656" s="1" t="s">
        <v>5579</v>
      </c>
      <c r="AQ656" s="1"/>
      <c r="AR656" s="1"/>
      <c r="AS656" s="1"/>
      <c r="AT656" s="1"/>
      <c r="AU656" s="3">
        <v>2023</v>
      </c>
      <c r="AV656" s="2"/>
      <c r="AW656" s="3">
        <v>49</v>
      </c>
      <c r="AX656" s="2"/>
      <c r="AY656" s="2"/>
      <c r="AZ656" s="1"/>
      <c r="BA656" s="2"/>
      <c r="BB656" s="3">
        <v>817</v>
      </c>
      <c r="BC656" s="3">
        <v>827</v>
      </c>
      <c r="BD656" s="2"/>
      <c r="BE656" s="1"/>
      <c r="BF656" s="1"/>
      <c r="BG656" s="1"/>
      <c r="BH656" s="1"/>
      <c r="BI656" s="1"/>
      <c r="BJ656" s="1"/>
      <c r="BK656" s="1"/>
      <c r="BL656" s="1"/>
      <c r="BM656" s="1"/>
      <c r="BN656" s="2"/>
      <c r="BO656" s="1"/>
      <c r="BP656" s="1"/>
      <c r="BQ656" s="1"/>
      <c r="BR656" s="1"/>
      <c r="BS656" s="1" t="s">
        <v>5580</v>
      </c>
      <c r="BT656" s="5">
        <f>HYPERLINK("https%3A%2F%2Fwww.webofscience.com%2Fwos%2Fwoscc%2Ffull-record%2FWOS:001021648500001","View Full Record in Web of Science")</f>
      </c>
    </row>
    <row x14ac:dyDescent="0.25" r="657" customHeight="1" ht="12.75">
      <c r="A657" s="1" t="s">
        <v>72</v>
      </c>
      <c r="B657" s="1" t="s">
        <v>5581</v>
      </c>
      <c r="C657" s="1"/>
      <c r="D657" s="1"/>
      <c r="E657" s="1"/>
      <c r="F657" s="1" t="s">
        <v>5582</v>
      </c>
      <c r="G657" s="1"/>
      <c r="H657" s="1"/>
      <c r="I657" s="1" t="s">
        <v>5583</v>
      </c>
      <c r="J657" s="1" t="s">
        <v>1200</v>
      </c>
      <c r="K657" s="1"/>
      <c r="L657" s="1"/>
      <c r="M657" s="1"/>
      <c r="N657" s="1"/>
      <c r="O657" s="1"/>
      <c r="P657" s="2"/>
      <c r="Q657" s="1"/>
      <c r="R657" s="1"/>
      <c r="S657" s="1"/>
      <c r="T657" s="1"/>
      <c r="U657" s="1"/>
      <c r="V657" s="1" t="s">
        <v>5584</v>
      </c>
      <c r="W657" s="1"/>
      <c r="X657" s="1"/>
      <c r="Y657" s="1"/>
      <c r="Z657" s="1"/>
      <c r="AA657" s="1" t="s">
        <v>5585</v>
      </c>
      <c r="AB657" s="1"/>
      <c r="AC657" s="1"/>
      <c r="AD657" s="1"/>
      <c r="AE657" s="1"/>
      <c r="AF657" s="1"/>
      <c r="AG657" s="1"/>
      <c r="AH657" s="1"/>
      <c r="AI657" s="1"/>
      <c r="AJ657" s="1"/>
      <c r="AK657" s="1"/>
      <c r="AL657" s="1"/>
      <c r="AM657" s="1"/>
      <c r="AN657" s="1"/>
      <c r="AO657" s="1" t="s">
        <v>1202</v>
      </c>
      <c r="AP657" s="1" t="s">
        <v>1203</v>
      </c>
      <c r="AQ657" s="1"/>
      <c r="AR657" s="1"/>
      <c r="AS657" s="1"/>
      <c r="AT657" s="1"/>
      <c r="AU657" s="3">
        <v>2022</v>
      </c>
      <c r="AV657" s="3">
        <v>32</v>
      </c>
      <c r="AW657" s="3">
        <v>2</v>
      </c>
      <c r="AX657" s="2"/>
      <c r="AY657" s="2"/>
      <c r="AZ657" s="1"/>
      <c r="BA657" s="2"/>
      <c r="BB657" s="3">
        <v>344</v>
      </c>
      <c r="BC657" s="3">
        <v>364</v>
      </c>
      <c r="BD657" s="2"/>
      <c r="BE657" s="1" t="s">
        <v>5586</v>
      </c>
      <c r="BF657" s="4">
        <f>HYPERLINK("http://dx.doi.org/10.15443/RL3220","http://dx.doi.org/10.15443/RL3220")</f>
      </c>
      <c r="BG657" s="1"/>
      <c r="BH657" s="1"/>
      <c r="BI657" s="1"/>
      <c r="BJ657" s="1"/>
      <c r="BK657" s="1"/>
      <c r="BL657" s="1"/>
      <c r="BM657" s="1"/>
      <c r="BN657" s="2"/>
      <c r="BO657" s="1"/>
      <c r="BP657" s="1"/>
      <c r="BQ657" s="1"/>
      <c r="BR657" s="1"/>
      <c r="BS657" s="1" t="s">
        <v>5587</v>
      </c>
      <c r="BT657" s="5">
        <f>HYPERLINK("https%3A%2F%2Fwww.webofscience.com%2Fwos%2Fwoscc%2Ffull-record%2FWOS:000960921600008","View Full Record in Web of Science")</f>
      </c>
    </row>
    <row x14ac:dyDescent="0.25" r="658" customHeight="1" ht="12.75">
      <c r="A658" s="1" t="s">
        <v>72</v>
      </c>
      <c r="B658" s="1" t="s">
        <v>1307</v>
      </c>
      <c r="C658" s="1"/>
      <c r="D658" s="1"/>
      <c r="E658" s="1"/>
      <c r="F658" s="1" t="s">
        <v>1308</v>
      </c>
      <c r="G658" s="1"/>
      <c r="H658" s="1"/>
      <c r="I658" s="1" t="s">
        <v>5588</v>
      </c>
      <c r="J658" s="1" t="s">
        <v>4815</v>
      </c>
      <c r="K658" s="1"/>
      <c r="L658" s="1"/>
      <c r="M658" s="1"/>
      <c r="N658" s="1"/>
      <c r="O658" s="1"/>
      <c r="P658" s="2"/>
      <c r="Q658" s="1"/>
      <c r="R658" s="1"/>
      <c r="S658" s="1"/>
      <c r="T658" s="1"/>
      <c r="U658" s="1"/>
      <c r="V658" s="1" t="s">
        <v>5589</v>
      </c>
      <c r="W658" s="1"/>
      <c r="X658" s="1"/>
      <c r="Y658" s="1"/>
      <c r="Z658" s="1"/>
      <c r="AA658" s="1"/>
      <c r="AB658" s="1"/>
      <c r="AC658" s="1"/>
      <c r="AD658" s="1"/>
      <c r="AE658" s="1"/>
      <c r="AF658" s="1"/>
      <c r="AG658" s="1"/>
      <c r="AH658" s="1"/>
      <c r="AI658" s="1"/>
      <c r="AJ658" s="1"/>
      <c r="AK658" s="1"/>
      <c r="AL658" s="1"/>
      <c r="AM658" s="1"/>
      <c r="AN658" s="1"/>
      <c r="AO658" s="1" t="s">
        <v>4817</v>
      </c>
      <c r="AP658" s="1" t="s">
        <v>4818</v>
      </c>
      <c r="AQ658" s="1"/>
      <c r="AR658" s="1"/>
      <c r="AS658" s="1"/>
      <c r="AT658" s="1" t="s">
        <v>204</v>
      </c>
      <c r="AU658" s="3">
        <v>2021</v>
      </c>
      <c r="AV658" s="3">
        <v>36</v>
      </c>
      <c r="AW658" s="3">
        <v>2</v>
      </c>
      <c r="AX658" s="2"/>
      <c r="AY658" s="2"/>
      <c r="AZ658" s="1"/>
      <c r="BA658" s="2"/>
      <c r="BB658" s="3">
        <v>661</v>
      </c>
      <c r="BC658" s="3">
        <v>681</v>
      </c>
      <c r="BD658" s="2"/>
      <c r="BE658" s="1" t="s">
        <v>5590</v>
      </c>
      <c r="BF658" s="4">
        <f>HYPERLINK("http://dx.doi.org/10.4067/S0718-23762021000200661","http://dx.doi.org/10.4067/S0718-23762021000200661")</f>
      </c>
      <c r="BG658" s="1"/>
      <c r="BH658" s="1"/>
      <c r="BI658" s="1"/>
      <c r="BJ658" s="1"/>
      <c r="BK658" s="1"/>
      <c r="BL658" s="1"/>
      <c r="BM658" s="1"/>
      <c r="BN658" s="2"/>
      <c r="BO658" s="1"/>
      <c r="BP658" s="1"/>
      <c r="BQ658" s="1"/>
      <c r="BR658" s="1"/>
      <c r="BS658" s="1" t="s">
        <v>5591</v>
      </c>
      <c r="BT658" s="5">
        <f>HYPERLINK("https%3A%2F%2Fwww.webofscience.com%2Fwos%2Fwoscc%2Ffull-record%2FWOS:000753302600011","View Full Record in Web of Science")</f>
      </c>
    </row>
    <row x14ac:dyDescent="0.25" r="659" customHeight="1" ht="12.75">
      <c r="A659" s="1" t="s">
        <v>72</v>
      </c>
      <c r="B659" s="1" t="s">
        <v>5592</v>
      </c>
      <c r="C659" s="1"/>
      <c r="D659" s="1"/>
      <c r="E659" s="1"/>
      <c r="F659" s="1" t="s">
        <v>5593</v>
      </c>
      <c r="G659" s="1"/>
      <c r="H659" s="1"/>
      <c r="I659" s="1" t="s">
        <v>5594</v>
      </c>
      <c r="J659" s="1" t="s">
        <v>5595</v>
      </c>
      <c r="K659" s="1"/>
      <c r="L659" s="1"/>
      <c r="M659" s="1"/>
      <c r="N659" s="1"/>
      <c r="O659" s="1"/>
      <c r="P659" s="2"/>
      <c r="Q659" s="1"/>
      <c r="R659" s="1"/>
      <c r="S659" s="1"/>
      <c r="T659" s="1"/>
      <c r="U659" s="1"/>
      <c r="V659" s="1" t="s">
        <v>5596</v>
      </c>
      <c r="W659" s="1"/>
      <c r="X659" s="1"/>
      <c r="Y659" s="1"/>
      <c r="Z659" s="1"/>
      <c r="AA659" s="1" t="s">
        <v>3555</v>
      </c>
      <c r="AB659" s="1" t="s">
        <v>3556</v>
      </c>
      <c r="AC659" s="1"/>
      <c r="AD659" s="1"/>
      <c r="AE659" s="1"/>
      <c r="AF659" s="1"/>
      <c r="AG659" s="1"/>
      <c r="AH659" s="1"/>
      <c r="AI659" s="1"/>
      <c r="AJ659" s="1"/>
      <c r="AK659" s="1"/>
      <c r="AL659" s="1"/>
      <c r="AM659" s="1"/>
      <c r="AN659" s="1"/>
      <c r="AO659" s="1"/>
      <c r="AP659" s="1" t="s">
        <v>5597</v>
      </c>
      <c r="AQ659" s="1"/>
      <c r="AR659" s="1"/>
      <c r="AS659" s="1"/>
      <c r="AT659" s="1" t="s">
        <v>169</v>
      </c>
      <c r="AU659" s="3">
        <v>2021</v>
      </c>
      <c r="AV659" s="3">
        <v>14</v>
      </c>
      <c r="AW659" s="3">
        <v>21</v>
      </c>
      <c r="AX659" s="2"/>
      <c r="AY659" s="2"/>
      <c r="AZ659" s="1"/>
      <c r="BA659" s="2"/>
      <c r="BB659" s="2"/>
      <c r="BC659" s="2"/>
      <c r="BD659" s="3">
        <v>6559</v>
      </c>
      <c r="BE659" s="1" t="s">
        <v>5598</v>
      </c>
      <c r="BF659" s="4">
        <f>HYPERLINK("http://dx.doi.org/10.3390/ma14216559","http://dx.doi.org/10.3390/ma14216559")</f>
      </c>
      <c r="BG659" s="1"/>
      <c r="BH659" s="1"/>
      <c r="BI659" s="1"/>
      <c r="BJ659" s="1"/>
      <c r="BK659" s="1"/>
      <c r="BL659" s="1"/>
      <c r="BM659" s="1"/>
      <c r="BN659" s="3">
        <v>34772081</v>
      </c>
      <c r="BO659" s="1"/>
      <c r="BP659" s="1"/>
      <c r="BQ659" s="1"/>
      <c r="BR659" s="1"/>
      <c r="BS659" s="1" t="s">
        <v>5599</v>
      </c>
      <c r="BT659" s="5">
        <f>HYPERLINK("https%3A%2F%2Fwww.webofscience.com%2Fwos%2Fwoscc%2Ffull-record%2FWOS:000722351800001","View Full Record in Web of Science")</f>
      </c>
    </row>
    <row x14ac:dyDescent="0.25" r="660" customHeight="1" ht="12.75">
      <c r="A660" s="1" t="s">
        <v>72</v>
      </c>
      <c r="B660" s="1" t="s">
        <v>562</v>
      </c>
      <c r="C660" s="1"/>
      <c r="D660" s="1"/>
      <c r="E660" s="1"/>
      <c r="F660" s="1" t="s">
        <v>563</v>
      </c>
      <c r="G660" s="1"/>
      <c r="H660" s="1"/>
      <c r="I660" s="1" t="s">
        <v>5600</v>
      </c>
      <c r="J660" s="1" t="s">
        <v>5018</v>
      </c>
      <c r="K660" s="1"/>
      <c r="L660" s="1"/>
      <c r="M660" s="1"/>
      <c r="N660" s="1"/>
      <c r="O660" s="1"/>
      <c r="P660" s="2"/>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t="s">
        <v>5019</v>
      </c>
      <c r="AP660" s="1"/>
      <c r="AQ660" s="1"/>
      <c r="AR660" s="1"/>
      <c r="AS660" s="1"/>
      <c r="AT660" s="1" t="s">
        <v>265</v>
      </c>
      <c r="AU660" s="3">
        <v>2021</v>
      </c>
      <c r="AV660" s="3">
        <v>49</v>
      </c>
      <c r="AW660" s="3">
        <v>149</v>
      </c>
      <c r="AX660" s="2"/>
      <c r="AY660" s="2"/>
      <c r="AZ660" s="1"/>
      <c r="BA660" s="2"/>
      <c r="BB660" s="3">
        <v>3</v>
      </c>
      <c r="BC660" s="3">
        <v>10</v>
      </c>
      <c r="BD660" s="2"/>
      <c r="BE660" s="1"/>
      <c r="BF660" s="1"/>
      <c r="BG660" s="1"/>
      <c r="BH660" s="1"/>
      <c r="BI660" s="1"/>
      <c r="BJ660" s="1"/>
      <c r="BK660" s="1"/>
      <c r="BL660" s="1"/>
      <c r="BM660" s="1"/>
      <c r="BN660" s="2"/>
      <c r="BO660" s="1"/>
      <c r="BP660" s="1"/>
      <c r="BQ660" s="1"/>
      <c r="BR660" s="1"/>
      <c r="BS660" s="1" t="s">
        <v>5601</v>
      </c>
      <c r="BT660" s="5">
        <f>HYPERLINK("https%3A%2F%2Fwww.webofscience.com%2Fwos%2Fwoscc%2Ffull-record%2FWOS:001184625700001","View Full Record in Web of Science")</f>
      </c>
    </row>
    <row x14ac:dyDescent="0.25" r="661" customHeight="1" ht="12.75">
      <c r="A661" s="1" t="s">
        <v>72</v>
      </c>
      <c r="B661" s="1" t="s">
        <v>3508</v>
      </c>
      <c r="C661" s="1"/>
      <c r="D661" s="1"/>
      <c r="E661" s="1"/>
      <c r="F661" s="1" t="s">
        <v>5602</v>
      </c>
      <c r="G661" s="1"/>
      <c r="H661" s="1"/>
      <c r="I661" s="1" t="s">
        <v>5603</v>
      </c>
      <c r="J661" s="1" t="s">
        <v>990</v>
      </c>
      <c r="K661" s="1"/>
      <c r="L661" s="1"/>
      <c r="M661" s="1"/>
      <c r="N661" s="1"/>
      <c r="O661" s="1"/>
      <c r="P661" s="2"/>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t="s">
        <v>994</v>
      </c>
      <c r="AP661" s="1" t="s">
        <v>995</v>
      </c>
      <c r="AQ661" s="1"/>
      <c r="AR661" s="1"/>
      <c r="AS661" s="1"/>
      <c r="AT661" s="1" t="s">
        <v>158</v>
      </c>
      <c r="AU661" s="3">
        <v>2021</v>
      </c>
      <c r="AV661" s="3">
        <v>18</v>
      </c>
      <c r="AW661" s="3">
        <v>35</v>
      </c>
      <c r="AX661" s="2"/>
      <c r="AY661" s="2"/>
      <c r="AZ661" s="1"/>
      <c r="BA661" s="2"/>
      <c r="BB661" s="3">
        <v>381</v>
      </c>
      <c r="BC661" s="3">
        <v>384</v>
      </c>
      <c r="BD661" s="2"/>
      <c r="BE661" s="1" t="s">
        <v>5604</v>
      </c>
      <c r="BF661" s="4">
        <f>HYPERLINK("http://dx.doi.org/10.17230/co-herencia.18.35.14","http://dx.doi.org/10.17230/co-herencia.18.35.14")</f>
      </c>
      <c r="BG661" s="1"/>
      <c r="BH661" s="1"/>
      <c r="BI661" s="1"/>
      <c r="BJ661" s="1"/>
      <c r="BK661" s="1"/>
      <c r="BL661" s="1"/>
      <c r="BM661" s="1"/>
      <c r="BN661" s="2"/>
      <c r="BO661" s="1"/>
      <c r="BP661" s="1"/>
      <c r="BQ661" s="1"/>
      <c r="BR661" s="1"/>
      <c r="BS661" s="1" t="s">
        <v>5605</v>
      </c>
      <c r="BT661" s="5">
        <f>HYPERLINK("https%3A%2F%2Fwww.webofscience.com%2Fwos%2Fwoscc%2Ffull-record%2FWOS:000755751200015","View Full Record in Web of Science")</f>
      </c>
    </row>
    <row x14ac:dyDescent="0.25" r="662" customHeight="1" ht="12.75">
      <c r="A662" s="1" t="s">
        <v>72</v>
      </c>
      <c r="B662" s="1" t="s">
        <v>5606</v>
      </c>
      <c r="C662" s="1"/>
      <c r="D662" s="1"/>
      <c r="E662" s="1"/>
      <c r="F662" s="1" t="s">
        <v>5607</v>
      </c>
      <c r="G662" s="1"/>
      <c r="H662" s="1"/>
      <c r="I662" s="1" t="s">
        <v>5608</v>
      </c>
      <c r="J662" s="1" t="s">
        <v>5609</v>
      </c>
      <c r="K662" s="1"/>
      <c r="L662" s="1"/>
      <c r="M662" s="1"/>
      <c r="N662" s="1"/>
      <c r="O662" s="1"/>
      <c r="P662" s="2"/>
      <c r="Q662" s="1"/>
      <c r="R662" s="1"/>
      <c r="S662" s="1"/>
      <c r="T662" s="1"/>
      <c r="U662" s="1"/>
      <c r="V662" s="1" t="s">
        <v>5610</v>
      </c>
      <c r="W662" s="1"/>
      <c r="X662" s="1"/>
      <c r="Y662" s="1"/>
      <c r="Z662" s="1"/>
      <c r="AA662" s="1" t="s">
        <v>5611</v>
      </c>
      <c r="AB662" s="1"/>
      <c r="AC662" s="1"/>
      <c r="AD662" s="1"/>
      <c r="AE662" s="1"/>
      <c r="AF662" s="1"/>
      <c r="AG662" s="1"/>
      <c r="AH662" s="1"/>
      <c r="AI662" s="1"/>
      <c r="AJ662" s="1"/>
      <c r="AK662" s="1"/>
      <c r="AL662" s="1"/>
      <c r="AM662" s="1"/>
      <c r="AN662" s="1"/>
      <c r="AO662" s="1" t="s">
        <v>5612</v>
      </c>
      <c r="AP662" s="1"/>
      <c r="AQ662" s="1"/>
      <c r="AR662" s="1"/>
      <c r="AS662" s="1"/>
      <c r="AT662" s="1" t="s">
        <v>5613</v>
      </c>
      <c r="AU662" s="3">
        <v>2021</v>
      </c>
      <c r="AV662" s="2"/>
      <c r="AW662" s="3">
        <v>2</v>
      </c>
      <c r="AX662" s="2"/>
      <c r="AY662" s="2"/>
      <c r="AZ662" s="1"/>
      <c r="BA662" s="2"/>
      <c r="BB662" s="2"/>
      <c r="BC662" s="2"/>
      <c r="BD662" s="3">
        <v>198</v>
      </c>
      <c r="BE662" s="1" t="s">
        <v>5614</v>
      </c>
      <c r="BF662" s="4">
        <f>HYPERLINK("http://dx.doi.org/10.1007/JHEP02(2021)198","http://dx.doi.org/10.1007/JHEP02(2021)198")</f>
      </c>
      <c r="BG662" s="1"/>
      <c r="BH662" s="1"/>
      <c r="BI662" s="1"/>
      <c r="BJ662" s="1"/>
      <c r="BK662" s="1"/>
      <c r="BL662" s="1"/>
      <c r="BM662" s="1"/>
      <c r="BN662" s="2"/>
      <c r="BO662" s="1"/>
      <c r="BP662" s="1"/>
      <c r="BQ662" s="1"/>
      <c r="BR662" s="1"/>
      <c r="BS662" s="1" t="s">
        <v>5615</v>
      </c>
      <c r="BT662" s="5">
        <f>HYPERLINK("https%3A%2F%2Fwww.webofscience.com%2Fwos%2Fwoscc%2Ffull-record%2FWOS:000668689500001","View Full Record in Web of Science")</f>
      </c>
    </row>
    <row x14ac:dyDescent="0.25" r="663" customHeight="1" ht="12.75">
      <c r="A663" s="1" t="s">
        <v>72</v>
      </c>
      <c r="B663" s="1" t="s">
        <v>5616</v>
      </c>
      <c r="C663" s="1"/>
      <c r="D663" s="1"/>
      <c r="E663" s="1"/>
      <c r="F663" s="1" t="s">
        <v>5617</v>
      </c>
      <c r="G663" s="1"/>
      <c r="H663" s="1"/>
      <c r="I663" s="1" t="s">
        <v>5618</v>
      </c>
      <c r="J663" s="1" t="s">
        <v>5595</v>
      </c>
      <c r="K663" s="1"/>
      <c r="L663" s="1"/>
      <c r="M663" s="1"/>
      <c r="N663" s="1"/>
      <c r="O663" s="1"/>
      <c r="P663" s="2"/>
      <c r="Q663" s="1"/>
      <c r="R663" s="1"/>
      <c r="S663" s="1"/>
      <c r="T663" s="1"/>
      <c r="U663" s="1"/>
      <c r="V663" s="1" t="s">
        <v>5619</v>
      </c>
      <c r="W663" s="1"/>
      <c r="X663" s="1"/>
      <c r="Y663" s="1"/>
      <c r="Z663" s="1"/>
      <c r="AA663" s="1" t="s">
        <v>5620</v>
      </c>
      <c r="AB663" s="1" t="s">
        <v>5621</v>
      </c>
      <c r="AC663" s="1"/>
      <c r="AD663" s="1"/>
      <c r="AE663" s="1"/>
      <c r="AF663" s="1"/>
      <c r="AG663" s="1"/>
      <c r="AH663" s="1"/>
      <c r="AI663" s="1"/>
      <c r="AJ663" s="1"/>
      <c r="AK663" s="1"/>
      <c r="AL663" s="1"/>
      <c r="AM663" s="1"/>
      <c r="AN663" s="1"/>
      <c r="AO663" s="1"/>
      <c r="AP663" s="1" t="s">
        <v>5597</v>
      </c>
      <c r="AQ663" s="1"/>
      <c r="AR663" s="1"/>
      <c r="AS663" s="1"/>
      <c r="AT663" s="1" t="s">
        <v>137</v>
      </c>
      <c r="AU663" s="3">
        <v>2021</v>
      </c>
      <c r="AV663" s="3">
        <v>14</v>
      </c>
      <c r="AW663" s="3">
        <v>3</v>
      </c>
      <c r="AX663" s="2"/>
      <c r="AY663" s="2"/>
      <c r="AZ663" s="1"/>
      <c r="BA663" s="2"/>
      <c r="BB663" s="2"/>
      <c r="BC663" s="2"/>
      <c r="BD663" s="3">
        <v>565</v>
      </c>
      <c r="BE663" s="1" t="s">
        <v>5622</v>
      </c>
      <c r="BF663" s="4">
        <f>HYPERLINK("http://dx.doi.org/10.3390/ma14030565","http://dx.doi.org/10.3390/ma14030565")</f>
      </c>
      <c r="BG663" s="1"/>
      <c r="BH663" s="1"/>
      <c r="BI663" s="1"/>
      <c r="BJ663" s="1"/>
      <c r="BK663" s="1"/>
      <c r="BL663" s="1"/>
      <c r="BM663" s="1"/>
      <c r="BN663" s="3">
        <v>33504074</v>
      </c>
      <c r="BO663" s="1"/>
      <c r="BP663" s="1"/>
      <c r="BQ663" s="1"/>
      <c r="BR663" s="1"/>
      <c r="BS663" s="1" t="s">
        <v>5623</v>
      </c>
      <c r="BT663" s="5">
        <f>HYPERLINK("https%3A%2F%2Fwww.webofscience.com%2Fwos%2Fwoscc%2Ffull-record%2FWOS:000615382100001","View Full Record in Web of Science")</f>
      </c>
    </row>
    <row x14ac:dyDescent="0.25" r="664" customHeight="1" ht="12.75">
      <c r="A664" s="1" t="s">
        <v>72</v>
      </c>
      <c r="B664" s="1" t="s">
        <v>1010</v>
      </c>
      <c r="C664" s="1"/>
      <c r="D664" s="1"/>
      <c r="E664" s="1"/>
      <c r="F664" s="1" t="s">
        <v>1011</v>
      </c>
      <c r="G664" s="1"/>
      <c r="H664" s="1"/>
      <c r="I664" s="1" t="s">
        <v>5624</v>
      </c>
      <c r="J664" s="1" t="s">
        <v>4880</v>
      </c>
      <c r="K664" s="1"/>
      <c r="L664" s="1"/>
      <c r="M664" s="1"/>
      <c r="N664" s="1"/>
      <c r="O664" s="1"/>
      <c r="P664" s="2"/>
      <c r="Q664" s="1"/>
      <c r="R664" s="1"/>
      <c r="S664" s="1"/>
      <c r="T664" s="1"/>
      <c r="U664" s="1"/>
      <c r="V664" s="1" t="s">
        <v>5625</v>
      </c>
      <c r="W664" s="1"/>
      <c r="X664" s="1"/>
      <c r="Y664" s="1"/>
      <c r="Z664" s="1"/>
      <c r="AA664" s="1" t="s">
        <v>1014</v>
      </c>
      <c r="AB664" s="1" t="s">
        <v>1015</v>
      </c>
      <c r="AC664" s="1"/>
      <c r="AD664" s="1"/>
      <c r="AE664" s="1"/>
      <c r="AF664" s="1"/>
      <c r="AG664" s="1"/>
      <c r="AH664" s="1"/>
      <c r="AI664" s="1"/>
      <c r="AJ664" s="1"/>
      <c r="AK664" s="1"/>
      <c r="AL664" s="1"/>
      <c r="AM664" s="1"/>
      <c r="AN664" s="1"/>
      <c r="AO664" s="1" t="s">
        <v>4882</v>
      </c>
      <c r="AP664" s="1" t="s">
        <v>4883</v>
      </c>
      <c r="AQ664" s="1"/>
      <c r="AR664" s="1"/>
      <c r="AS664" s="1"/>
      <c r="AT664" s="1" t="s">
        <v>4221</v>
      </c>
      <c r="AU664" s="3">
        <v>2021</v>
      </c>
      <c r="AV664" s="3">
        <v>44</v>
      </c>
      <c r="AW664" s="3">
        <v>1</v>
      </c>
      <c r="AX664" s="2"/>
      <c r="AY664" s="2"/>
      <c r="AZ664" s="1" t="s">
        <v>170</v>
      </c>
      <c r="BA664" s="2"/>
      <c r="BB664" s="3">
        <v>50</v>
      </c>
      <c r="BC664" s="3">
        <v>61</v>
      </c>
      <c r="BD664" s="2"/>
      <c r="BE664" s="1" t="s">
        <v>5626</v>
      </c>
      <c r="BF664" s="4">
        <f>HYPERLINK("http://dx.doi.org/10.1080/01900692.2020.1785497","http://dx.doi.org/10.1080/01900692.2020.1785497")</f>
      </c>
      <c r="BG664" s="1"/>
      <c r="BH664" s="1"/>
      <c r="BI664" s="1"/>
      <c r="BJ664" s="1"/>
      <c r="BK664" s="1"/>
      <c r="BL664" s="1"/>
      <c r="BM664" s="1"/>
      <c r="BN664" s="2"/>
      <c r="BO664" s="1"/>
      <c r="BP664" s="1"/>
      <c r="BQ664" s="1"/>
      <c r="BR664" s="1"/>
      <c r="BS664" s="1" t="s">
        <v>5627</v>
      </c>
      <c r="BT664" s="5">
        <f>HYPERLINK("https%3A%2F%2Fwww.webofscience.com%2Fwos%2Fwoscc%2Ffull-record%2FWOS:000596179500006","View Full Record in Web of Science")</f>
      </c>
    </row>
    <row x14ac:dyDescent="0.25" r="665" customHeight="1" ht="12.75">
      <c r="A665" s="1" t="s">
        <v>303</v>
      </c>
      <c r="B665" s="1" t="s">
        <v>5628</v>
      </c>
      <c r="C665" s="1"/>
      <c r="D665" s="1" t="s">
        <v>5629</v>
      </c>
      <c r="E665" s="1"/>
      <c r="F665" s="1" t="s">
        <v>5630</v>
      </c>
      <c r="G665" s="1"/>
      <c r="H665" s="1"/>
      <c r="I665" s="1" t="s">
        <v>5631</v>
      </c>
      <c r="J665" s="1" t="s">
        <v>5632</v>
      </c>
      <c r="K665" s="1"/>
      <c r="L665" s="1"/>
      <c r="M665" s="1"/>
      <c r="N665" s="1"/>
      <c r="O665" s="1" t="s">
        <v>5633</v>
      </c>
      <c r="P665" s="2" t="s">
        <v>5634</v>
      </c>
      <c r="Q665" s="1" t="s">
        <v>1218</v>
      </c>
      <c r="R665" s="1" t="s">
        <v>5635</v>
      </c>
      <c r="S665" s="1"/>
      <c r="T665" s="1"/>
      <c r="U665" s="1"/>
      <c r="V665" s="1" t="s">
        <v>5636</v>
      </c>
      <c r="W665" s="1"/>
      <c r="X665" s="1"/>
      <c r="Y665" s="1"/>
      <c r="Z665" s="1"/>
      <c r="AA665" s="1"/>
      <c r="AB665" s="1" t="s">
        <v>5637</v>
      </c>
      <c r="AC665" s="1"/>
      <c r="AD665" s="1"/>
      <c r="AE665" s="1"/>
      <c r="AF665" s="1"/>
      <c r="AG665" s="1"/>
      <c r="AH665" s="1"/>
      <c r="AI665" s="1"/>
      <c r="AJ665" s="1"/>
      <c r="AK665" s="1"/>
      <c r="AL665" s="1"/>
      <c r="AM665" s="1"/>
      <c r="AN665" s="1"/>
      <c r="AO665" s="1"/>
      <c r="AP665" s="1"/>
      <c r="AQ665" s="1" t="s">
        <v>5638</v>
      </c>
      <c r="AR665" s="1"/>
      <c r="AS665" s="1"/>
      <c r="AT665" s="1"/>
      <c r="AU665" s="3">
        <v>2021</v>
      </c>
      <c r="AV665" s="2"/>
      <c r="AW665" s="2"/>
      <c r="AX665" s="2"/>
      <c r="AY665" s="2"/>
      <c r="AZ665" s="1"/>
      <c r="BA665" s="2"/>
      <c r="BB665" s="3">
        <v>208</v>
      </c>
      <c r="BC665" s="3">
        <v>213</v>
      </c>
      <c r="BD665" s="2"/>
      <c r="BE665" s="1" t="s">
        <v>5639</v>
      </c>
      <c r="BF665" s="4">
        <f>HYPERLINK("http://dx.doi.org/10.5220/0010871600003117","http://dx.doi.org/10.5220/0010871600003117")</f>
      </c>
      <c r="BG665" s="1"/>
      <c r="BH665" s="1"/>
      <c r="BI665" s="1"/>
      <c r="BJ665" s="1"/>
      <c r="BK665" s="1"/>
      <c r="BL665" s="1"/>
      <c r="BM665" s="1"/>
      <c r="BN665" s="2"/>
      <c r="BO665" s="1"/>
      <c r="BP665" s="1"/>
      <c r="BQ665" s="1"/>
      <c r="BR665" s="1"/>
      <c r="BS665" s="1" t="s">
        <v>5640</v>
      </c>
      <c r="BT665" s="5">
        <f>HYPERLINK("https%3A%2F%2Fwww.webofscience.com%2Fwos%2Fwoscc%2Ffull-record%2FWOS:000818727100023","View Full Record in Web of Science")</f>
      </c>
    </row>
    <row x14ac:dyDescent="0.25" r="666" customHeight="1" ht="12.75">
      <c r="A666" s="1" t="s">
        <v>267</v>
      </c>
      <c r="B666" s="1" t="s">
        <v>268</v>
      </c>
      <c r="C666" s="1" t="s">
        <v>268</v>
      </c>
      <c r="D666" s="1"/>
      <c r="E666" s="1"/>
      <c r="F666" s="1" t="s">
        <v>269</v>
      </c>
      <c r="G666" s="1" t="s">
        <v>268</v>
      </c>
      <c r="H666" s="1"/>
      <c r="I666" s="1" t="s">
        <v>5641</v>
      </c>
      <c r="J666" s="1" t="s">
        <v>271</v>
      </c>
      <c r="K666" s="1" t="s">
        <v>272</v>
      </c>
      <c r="L666" s="1"/>
      <c r="M666" s="1"/>
      <c r="N666" s="1"/>
      <c r="O666" s="1"/>
      <c r="P666" s="2"/>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t="s">
        <v>273</v>
      </c>
      <c r="AR666" s="1"/>
      <c r="AS666" s="1"/>
      <c r="AT666" s="1"/>
      <c r="AU666" s="3">
        <v>2021</v>
      </c>
      <c r="AV666" s="2"/>
      <c r="AW666" s="2"/>
      <c r="AX666" s="2"/>
      <c r="AY666" s="2"/>
      <c r="AZ666" s="1"/>
      <c r="BA666" s="2"/>
      <c r="BB666" s="3">
        <v>176</v>
      </c>
      <c r="BC666" s="3">
        <v>221</v>
      </c>
      <c r="BD666" s="2"/>
      <c r="BE666" s="1"/>
      <c r="BF666" s="1"/>
      <c r="BG666" s="1" t="s">
        <v>274</v>
      </c>
      <c r="BH666" s="1"/>
      <c r="BI666" s="1"/>
      <c r="BJ666" s="1"/>
      <c r="BK666" s="1"/>
      <c r="BL666" s="1"/>
      <c r="BM666" s="1"/>
      <c r="BN666" s="2"/>
      <c r="BO666" s="1"/>
      <c r="BP666" s="1"/>
      <c r="BQ666" s="1"/>
      <c r="BR666" s="1"/>
      <c r="BS666" s="1" t="s">
        <v>5642</v>
      </c>
      <c r="BT666" s="5">
        <f>HYPERLINK("https%3A%2F%2Fwww.webofscience.com%2Fwos%2Fwoscc%2Ffull-record%2FWOS:000807304300006","View Full Record in Web of Science")</f>
      </c>
    </row>
    <row x14ac:dyDescent="0.25" r="667" customHeight="1" ht="12.75">
      <c r="A667" s="1" t="s">
        <v>72</v>
      </c>
      <c r="B667" s="1" t="s">
        <v>5643</v>
      </c>
      <c r="C667" s="1"/>
      <c r="D667" s="1"/>
      <c r="E667" s="1"/>
      <c r="F667" s="1" t="s">
        <v>5644</v>
      </c>
      <c r="G667" s="1"/>
      <c r="H667" s="1"/>
      <c r="I667" s="1" t="s">
        <v>5645</v>
      </c>
      <c r="J667" s="1" t="s">
        <v>5646</v>
      </c>
      <c r="K667" s="1"/>
      <c r="L667" s="1"/>
      <c r="M667" s="1"/>
      <c r="N667" s="1"/>
      <c r="O667" s="1"/>
      <c r="P667" s="2"/>
      <c r="Q667" s="1"/>
      <c r="R667" s="1"/>
      <c r="S667" s="1"/>
      <c r="T667" s="1"/>
      <c r="U667" s="1"/>
      <c r="V667" s="1" t="s">
        <v>5647</v>
      </c>
      <c r="W667" s="1"/>
      <c r="X667" s="1"/>
      <c r="Y667" s="1"/>
      <c r="Z667" s="1"/>
      <c r="AA667" s="1" t="s">
        <v>5648</v>
      </c>
      <c r="AB667" s="1" t="s">
        <v>5649</v>
      </c>
      <c r="AC667" s="1"/>
      <c r="AD667" s="1"/>
      <c r="AE667" s="1"/>
      <c r="AF667" s="1"/>
      <c r="AG667" s="1"/>
      <c r="AH667" s="1"/>
      <c r="AI667" s="1"/>
      <c r="AJ667" s="1"/>
      <c r="AK667" s="1"/>
      <c r="AL667" s="1"/>
      <c r="AM667" s="1"/>
      <c r="AN667" s="1"/>
      <c r="AO667" s="1" t="s">
        <v>5650</v>
      </c>
      <c r="AP667" s="1" t="s">
        <v>5651</v>
      </c>
      <c r="AQ667" s="1"/>
      <c r="AR667" s="1"/>
      <c r="AS667" s="1"/>
      <c r="AT667" s="1" t="s">
        <v>103</v>
      </c>
      <c r="AU667" s="3">
        <v>2021</v>
      </c>
      <c r="AV667" s="3">
        <v>93</v>
      </c>
      <c r="AW667" s="2"/>
      <c r="AX667" s="2"/>
      <c r="AY667" s="2"/>
      <c r="AZ667" s="1"/>
      <c r="BA667" s="2"/>
      <c r="BB667" s="2"/>
      <c r="BC667" s="2"/>
      <c r="BD667" s="3">
        <v>106937</v>
      </c>
      <c r="BE667" s="1" t="s">
        <v>5652</v>
      </c>
      <c r="BF667" s="4">
        <f>HYPERLINK("http://dx.doi.org/10.1016/j.polymertesting.2020.106937","http://dx.doi.org/10.1016/j.polymertesting.2020.106937")</f>
      </c>
      <c r="BG667" s="1"/>
      <c r="BH667" s="1"/>
      <c r="BI667" s="1"/>
      <c r="BJ667" s="1"/>
      <c r="BK667" s="1"/>
      <c r="BL667" s="1"/>
      <c r="BM667" s="1"/>
      <c r="BN667" s="2"/>
      <c r="BO667" s="1"/>
      <c r="BP667" s="1"/>
      <c r="BQ667" s="1"/>
      <c r="BR667" s="1"/>
      <c r="BS667" s="1" t="s">
        <v>5653</v>
      </c>
      <c r="BT667" s="5">
        <f>HYPERLINK("https%3A%2F%2Fwww.webofscience.com%2Fwos%2Fwoscc%2Ffull-record%2FWOS:000600290200058","View Full Record in Web of Science")</f>
      </c>
    </row>
    <row x14ac:dyDescent="0.25" r="668" customHeight="1" ht="12.75">
      <c r="A668" s="1" t="s">
        <v>72</v>
      </c>
      <c r="B668" s="1" t="s">
        <v>2687</v>
      </c>
      <c r="C668" s="1"/>
      <c r="D668" s="1"/>
      <c r="E668" s="1"/>
      <c r="F668" s="1" t="s">
        <v>2688</v>
      </c>
      <c r="G668" s="1"/>
      <c r="H668" s="1"/>
      <c r="I668" s="1" t="s">
        <v>5654</v>
      </c>
      <c r="J668" s="1" t="s">
        <v>5655</v>
      </c>
      <c r="K668" s="1"/>
      <c r="L668" s="1"/>
      <c r="M668" s="1"/>
      <c r="N668" s="1"/>
      <c r="O668" s="1"/>
      <c r="P668" s="2"/>
      <c r="Q668" s="1"/>
      <c r="R668" s="1"/>
      <c r="S668" s="1"/>
      <c r="T668" s="1"/>
      <c r="U668" s="1"/>
      <c r="V668" s="1" t="s">
        <v>5656</v>
      </c>
      <c r="W668" s="1"/>
      <c r="X668" s="1"/>
      <c r="Y668" s="1"/>
      <c r="Z668" s="1"/>
      <c r="AA668" s="1" t="s">
        <v>5657</v>
      </c>
      <c r="AB668" s="1" t="s">
        <v>5658</v>
      </c>
      <c r="AC668" s="1"/>
      <c r="AD668" s="1"/>
      <c r="AE668" s="1"/>
      <c r="AF668" s="1"/>
      <c r="AG668" s="1"/>
      <c r="AH668" s="1"/>
      <c r="AI668" s="1"/>
      <c r="AJ668" s="1"/>
      <c r="AK668" s="1"/>
      <c r="AL668" s="1"/>
      <c r="AM668" s="1"/>
      <c r="AN668" s="1"/>
      <c r="AO668" s="1" t="s">
        <v>5659</v>
      </c>
      <c r="AP668" s="1" t="s">
        <v>5660</v>
      </c>
      <c r="AQ668" s="1"/>
      <c r="AR668" s="1"/>
      <c r="AS668" s="1"/>
      <c r="AT668" s="1" t="s">
        <v>181</v>
      </c>
      <c r="AU668" s="3">
        <v>2021</v>
      </c>
      <c r="AV668" s="3">
        <v>23</v>
      </c>
      <c r="AW668" s="3">
        <v>1</v>
      </c>
      <c r="AX668" s="2"/>
      <c r="AY668" s="2"/>
      <c r="AZ668" s="1"/>
      <c r="BA668" s="2"/>
      <c r="BB668" s="3">
        <v>13</v>
      </c>
      <c r="BC668" s="3">
        <v>26</v>
      </c>
      <c r="BD668" s="2"/>
      <c r="BE668" s="1" t="s">
        <v>5661</v>
      </c>
      <c r="BF668" s="4">
        <f>HYPERLINK("http://dx.doi.org/10.15446/profile.v23n1.83955","http://dx.doi.org/10.15446/profile.v23n1.83955")</f>
      </c>
      <c r="BG668" s="1"/>
      <c r="BH668" s="1"/>
      <c r="BI668" s="1"/>
      <c r="BJ668" s="1"/>
      <c r="BK668" s="1"/>
      <c r="BL668" s="1"/>
      <c r="BM668" s="1"/>
      <c r="BN668" s="2"/>
      <c r="BO668" s="1"/>
      <c r="BP668" s="1"/>
      <c r="BQ668" s="1"/>
      <c r="BR668" s="1"/>
      <c r="BS668" s="1" t="s">
        <v>5662</v>
      </c>
      <c r="BT668" s="5">
        <f>HYPERLINK("https%3A%2F%2Fwww.webofscience.com%2Fwos%2Fwoscc%2Ffull-record%2FWOS:000614266400002","View Full Record in Web of Science")</f>
      </c>
    </row>
    <row x14ac:dyDescent="0.25" r="669" customHeight="1" ht="12.75">
      <c r="A669" s="1" t="s">
        <v>72</v>
      </c>
      <c r="B669" s="1" t="s">
        <v>5663</v>
      </c>
      <c r="C669" s="1"/>
      <c r="D669" s="1"/>
      <c r="E669" s="1"/>
      <c r="F669" s="1" t="s">
        <v>5664</v>
      </c>
      <c r="G669" s="1"/>
      <c r="H669" s="1"/>
      <c r="I669" s="1" t="s">
        <v>5665</v>
      </c>
      <c r="J669" s="1" t="s">
        <v>1200</v>
      </c>
      <c r="K669" s="1"/>
      <c r="L669" s="1"/>
      <c r="M669" s="1"/>
      <c r="N669" s="1"/>
      <c r="O669" s="1"/>
      <c r="P669" s="2"/>
      <c r="Q669" s="1"/>
      <c r="R669" s="1"/>
      <c r="S669" s="1"/>
      <c r="T669" s="1"/>
      <c r="U669" s="1"/>
      <c r="V669" s="1" t="s">
        <v>5666</v>
      </c>
      <c r="W669" s="1"/>
      <c r="X669" s="1"/>
      <c r="Y669" s="1"/>
      <c r="Z669" s="1"/>
      <c r="AA669" s="1" t="s">
        <v>5667</v>
      </c>
      <c r="AB669" s="1" t="s">
        <v>5668</v>
      </c>
      <c r="AC669" s="1"/>
      <c r="AD669" s="1"/>
      <c r="AE669" s="1"/>
      <c r="AF669" s="1"/>
      <c r="AG669" s="1"/>
      <c r="AH669" s="1"/>
      <c r="AI669" s="1"/>
      <c r="AJ669" s="1"/>
      <c r="AK669" s="1"/>
      <c r="AL669" s="1"/>
      <c r="AM669" s="1"/>
      <c r="AN669" s="1"/>
      <c r="AO669" s="1" t="s">
        <v>1202</v>
      </c>
      <c r="AP669" s="1" t="s">
        <v>1203</v>
      </c>
      <c r="AQ669" s="1"/>
      <c r="AR669" s="1"/>
      <c r="AS669" s="1"/>
      <c r="AT669" s="1"/>
      <c r="AU669" s="3">
        <v>2021</v>
      </c>
      <c r="AV669" s="3">
        <v>31</v>
      </c>
      <c r="AW669" s="3">
        <v>1</v>
      </c>
      <c r="AX669" s="2"/>
      <c r="AY669" s="2"/>
      <c r="AZ669" s="1"/>
      <c r="BA669" s="2"/>
      <c r="BB669" s="3">
        <v>183</v>
      </c>
      <c r="BC669" s="3">
        <v>201</v>
      </c>
      <c r="BD669" s="2"/>
      <c r="BE669" s="1" t="s">
        <v>5669</v>
      </c>
      <c r="BF669" s="4">
        <f>HYPERLINK("http://dx.doi.org/10.15443/RL3111","http://dx.doi.org/10.15443/RL3111")</f>
      </c>
      <c r="BG669" s="1"/>
      <c r="BH669" s="1"/>
      <c r="BI669" s="1"/>
      <c r="BJ669" s="1"/>
      <c r="BK669" s="1"/>
      <c r="BL669" s="1"/>
      <c r="BM669" s="1"/>
      <c r="BN669" s="2"/>
      <c r="BO669" s="1"/>
      <c r="BP669" s="1"/>
      <c r="BQ669" s="1"/>
      <c r="BR669" s="1"/>
      <c r="BS669" s="1" t="s">
        <v>5670</v>
      </c>
      <c r="BT669" s="5">
        <f>HYPERLINK("https%3A%2F%2Fwww.webofscience.com%2Fwos%2Fwoscc%2Ffull-record%2FWOS:000681368000011","View Full Record in Web of Science")</f>
      </c>
    </row>
    <row x14ac:dyDescent="0.25" r="670" customHeight="1" ht="12.75">
      <c r="A670" s="1" t="s">
        <v>303</v>
      </c>
      <c r="B670" s="1" t="s">
        <v>5671</v>
      </c>
      <c r="C670" s="1"/>
      <c r="D670" s="1"/>
      <c r="E670" s="1" t="s">
        <v>305</v>
      </c>
      <c r="F670" s="1" t="s">
        <v>5672</v>
      </c>
      <c r="G670" s="1"/>
      <c r="H670" s="1"/>
      <c r="I670" s="1" t="s">
        <v>5673</v>
      </c>
      <c r="J670" s="1" t="s">
        <v>2747</v>
      </c>
      <c r="K670" s="1"/>
      <c r="L670" s="1"/>
      <c r="M670" s="1"/>
      <c r="N670" s="1"/>
      <c r="O670" s="1" t="s">
        <v>2748</v>
      </c>
      <c r="P670" s="2" t="s">
        <v>2749</v>
      </c>
      <c r="Q670" s="1" t="s">
        <v>1218</v>
      </c>
      <c r="R670" s="1" t="s">
        <v>2750</v>
      </c>
      <c r="S670" s="1"/>
      <c r="T670" s="1"/>
      <c r="U670" s="1"/>
      <c r="V670" s="1" t="s">
        <v>5674</v>
      </c>
      <c r="W670" s="1"/>
      <c r="X670" s="1"/>
      <c r="Y670" s="1"/>
      <c r="Z670" s="1"/>
      <c r="AA670" s="1" t="s">
        <v>5675</v>
      </c>
      <c r="AB670" s="1" t="s">
        <v>5676</v>
      </c>
      <c r="AC670" s="1"/>
      <c r="AD670" s="1"/>
      <c r="AE670" s="1"/>
      <c r="AF670" s="1"/>
      <c r="AG670" s="1"/>
      <c r="AH670" s="1"/>
      <c r="AI670" s="1"/>
      <c r="AJ670" s="1"/>
      <c r="AK670" s="1"/>
      <c r="AL670" s="1"/>
      <c r="AM670" s="1"/>
      <c r="AN670" s="1"/>
      <c r="AO670" s="1"/>
      <c r="AP670" s="1"/>
      <c r="AQ670" s="1" t="s">
        <v>2753</v>
      </c>
      <c r="AR670" s="1"/>
      <c r="AS670" s="1"/>
      <c r="AT670" s="1"/>
      <c r="AU670" s="3">
        <v>2021</v>
      </c>
      <c r="AV670" s="2"/>
      <c r="AW670" s="2"/>
      <c r="AX670" s="2"/>
      <c r="AY670" s="2"/>
      <c r="AZ670" s="1"/>
      <c r="BA670" s="2"/>
      <c r="BB670" s="2"/>
      <c r="BC670" s="2"/>
      <c r="BD670" s="2"/>
      <c r="BE670" s="1" t="s">
        <v>5677</v>
      </c>
      <c r="BF670" s="4">
        <f>HYPERLINK("http://dx.doi.org/10.1109/ICAACCA51523.2021.9465337","http://dx.doi.org/10.1109/ICAACCA51523.2021.9465337")</f>
      </c>
      <c r="BG670" s="1"/>
      <c r="BH670" s="1"/>
      <c r="BI670" s="1"/>
      <c r="BJ670" s="1"/>
      <c r="BK670" s="1"/>
      <c r="BL670" s="1"/>
      <c r="BM670" s="1"/>
      <c r="BN670" s="2"/>
      <c r="BO670" s="1"/>
      <c r="BP670" s="1"/>
      <c r="BQ670" s="1"/>
      <c r="BR670" s="1"/>
      <c r="BS670" s="1" t="s">
        <v>5678</v>
      </c>
      <c r="BT670" s="5">
        <f>HYPERLINK("https%3A%2F%2Fwww.webofscience.com%2Fwos%2Fwoscc%2Ffull-record%2FWOS:000855764500105","View Full Record in Web of Science")</f>
      </c>
    </row>
    <row x14ac:dyDescent="0.25" r="671" customHeight="1" ht="12.75">
      <c r="A671" s="1" t="s">
        <v>72</v>
      </c>
      <c r="B671" s="1" t="s">
        <v>5679</v>
      </c>
      <c r="C671" s="1"/>
      <c r="D671" s="1"/>
      <c r="E671" s="1"/>
      <c r="F671" s="1" t="s">
        <v>5680</v>
      </c>
      <c r="G671" s="1"/>
      <c r="H671" s="1"/>
      <c r="I671" s="1" t="s">
        <v>5681</v>
      </c>
      <c r="J671" s="1" t="s">
        <v>972</v>
      </c>
      <c r="K671" s="1"/>
      <c r="L671" s="1"/>
      <c r="M671" s="1"/>
      <c r="N671" s="1"/>
      <c r="O671" s="1"/>
      <c r="P671" s="2"/>
      <c r="Q671" s="1"/>
      <c r="R671" s="1"/>
      <c r="S671" s="1"/>
      <c r="T671" s="1"/>
      <c r="U671" s="1"/>
      <c r="V671" s="1" t="s">
        <v>5682</v>
      </c>
      <c r="W671" s="1"/>
      <c r="X671" s="1"/>
      <c r="Y671" s="1"/>
      <c r="Z671" s="1"/>
      <c r="AA671" s="1" t="s">
        <v>5683</v>
      </c>
      <c r="AB671" s="1" t="s">
        <v>5684</v>
      </c>
      <c r="AC671" s="1"/>
      <c r="AD671" s="1"/>
      <c r="AE671" s="1"/>
      <c r="AF671" s="1"/>
      <c r="AG671" s="1"/>
      <c r="AH671" s="1"/>
      <c r="AI671" s="1"/>
      <c r="AJ671" s="1"/>
      <c r="AK671" s="1"/>
      <c r="AL671" s="1"/>
      <c r="AM671" s="1"/>
      <c r="AN671" s="1"/>
      <c r="AO671" s="1" t="s">
        <v>974</v>
      </c>
      <c r="AP671" s="1"/>
      <c r="AQ671" s="1"/>
      <c r="AR671" s="1"/>
      <c r="AS671" s="1"/>
      <c r="AT671" s="1"/>
      <c r="AU671" s="3">
        <v>2021</v>
      </c>
      <c r="AV671" s="2"/>
      <c r="AW671" s="3">
        <v>17</v>
      </c>
      <c r="AX671" s="2"/>
      <c r="AY671" s="2"/>
      <c r="AZ671" s="1" t="s">
        <v>170</v>
      </c>
      <c r="BA671" s="2"/>
      <c r="BB671" s="3">
        <v>69</v>
      </c>
      <c r="BC671" s="3">
        <v>92</v>
      </c>
      <c r="BD671" s="2"/>
      <c r="BE671" s="1" t="s">
        <v>5685</v>
      </c>
      <c r="BF671" s="4">
        <f>HYPERLINK("http://dx.doi.org/10.7203/KAM.17.17648","http://dx.doi.org/10.7203/KAM.17.17648")</f>
      </c>
      <c r="BG671" s="1"/>
      <c r="BH671" s="1"/>
      <c r="BI671" s="1"/>
      <c r="BJ671" s="1"/>
      <c r="BK671" s="1"/>
      <c r="BL671" s="1"/>
      <c r="BM671" s="1"/>
      <c r="BN671" s="2"/>
      <c r="BO671" s="1"/>
      <c r="BP671" s="1"/>
      <c r="BQ671" s="1"/>
      <c r="BR671" s="1"/>
      <c r="BS671" s="1" t="s">
        <v>5686</v>
      </c>
      <c r="BT671" s="5">
        <f>HYPERLINK("https%3A%2F%2Fwww.webofscience.com%2Fwos%2Fwoscc%2Ffull-record%2FWOS:000680725300004","View Full Record in Web of Science")</f>
      </c>
    </row>
    <row x14ac:dyDescent="0.25" r="672" customHeight="1" ht="12.75">
      <c r="A672" s="1" t="s">
        <v>72</v>
      </c>
      <c r="B672" s="1" t="s">
        <v>5687</v>
      </c>
      <c r="C672" s="1"/>
      <c r="D672" s="1"/>
      <c r="E672" s="1"/>
      <c r="F672" s="1" t="s">
        <v>5688</v>
      </c>
      <c r="G672" s="1"/>
      <c r="H672" s="1"/>
      <c r="I672" s="1" t="s">
        <v>5689</v>
      </c>
      <c r="J672" s="1" t="s">
        <v>5181</v>
      </c>
      <c r="K672" s="1"/>
      <c r="L672" s="1"/>
      <c r="M672" s="1"/>
      <c r="N672" s="1"/>
      <c r="O672" s="1"/>
      <c r="P672" s="2"/>
      <c r="Q672" s="1"/>
      <c r="R672" s="1"/>
      <c r="S672" s="1"/>
      <c r="T672" s="1"/>
      <c r="U672" s="1"/>
      <c r="V672" s="1" t="s">
        <v>5690</v>
      </c>
      <c r="W672" s="1"/>
      <c r="X672" s="1"/>
      <c r="Y672" s="1"/>
      <c r="Z672" s="1"/>
      <c r="AA672" s="1"/>
      <c r="AB672" s="1"/>
      <c r="AC672" s="1"/>
      <c r="AD672" s="1"/>
      <c r="AE672" s="1"/>
      <c r="AF672" s="1"/>
      <c r="AG672" s="1"/>
      <c r="AH672" s="1"/>
      <c r="AI672" s="1"/>
      <c r="AJ672" s="1"/>
      <c r="AK672" s="1"/>
      <c r="AL672" s="1"/>
      <c r="AM672" s="1"/>
      <c r="AN672" s="1"/>
      <c r="AO672" s="1" t="s">
        <v>5185</v>
      </c>
      <c r="AP672" s="1" t="s">
        <v>5691</v>
      </c>
      <c r="AQ672" s="1"/>
      <c r="AR672" s="1"/>
      <c r="AS672" s="1"/>
      <c r="AT672" s="1" t="s">
        <v>5692</v>
      </c>
      <c r="AU672" s="3">
        <v>2020</v>
      </c>
      <c r="AV672" s="3">
        <v>99</v>
      </c>
      <c r="AW672" s="3">
        <v>10</v>
      </c>
      <c r="AX672" s="2"/>
      <c r="AY672" s="2"/>
      <c r="AZ672" s="1"/>
      <c r="BA672" s="2"/>
      <c r="BB672" s="3">
        <v>1780</v>
      </c>
      <c r="BC672" s="3">
        <v>1794</v>
      </c>
      <c r="BD672" s="2"/>
      <c r="BE672" s="1" t="s">
        <v>5693</v>
      </c>
      <c r="BF672" s="4">
        <f>HYPERLINK("http://dx.doi.org/10.1080/00036811.2018.1546001","http://dx.doi.org/10.1080/00036811.2018.1546001")</f>
      </c>
      <c r="BG672" s="1"/>
      <c r="BH672" s="1"/>
      <c r="BI672" s="1"/>
      <c r="BJ672" s="1"/>
      <c r="BK672" s="1"/>
      <c r="BL672" s="1"/>
      <c r="BM672" s="1"/>
      <c r="BN672" s="2"/>
      <c r="BO672" s="1"/>
      <c r="BP672" s="1"/>
      <c r="BQ672" s="1"/>
      <c r="BR672" s="1"/>
      <c r="BS672" s="1" t="s">
        <v>5694</v>
      </c>
      <c r="BT672" s="5">
        <f>HYPERLINK("https%3A%2F%2Fwww.webofscience.com%2Fwos%2Fwoscc%2Ffull-record%2FWOS:000547590800007","View Full Record in Web of Science")</f>
      </c>
    </row>
    <row x14ac:dyDescent="0.25" r="673" customHeight="1" ht="12.75">
      <c r="A673" s="1" t="s">
        <v>72</v>
      </c>
      <c r="B673" s="1" t="s">
        <v>2151</v>
      </c>
      <c r="C673" s="1"/>
      <c r="D673" s="1"/>
      <c r="E673" s="1"/>
      <c r="F673" s="1" t="s">
        <v>5695</v>
      </c>
      <c r="G673" s="1"/>
      <c r="H673" s="1"/>
      <c r="I673" s="1" t="s">
        <v>5696</v>
      </c>
      <c r="J673" s="1" t="s">
        <v>2132</v>
      </c>
      <c r="K673" s="1"/>
      <c r="L673" s="1"/>
      <c r="M673" s="1"/>
      <c r="N673" s="1"/>
      <c r="O673" s="1"/>
      <c r="P673" s="2"/>
      <c r="Q673" s="1"/>
      <c r="R673" s="1"/>
      <c r="S673" s="1"/>
      <c r="T673" s="1"/>
      <c r="U673" s="1"/>
      <c r="V673" s="1"/>
      <c r="W673" s="1"/>
      <c r="X673" s="1"/>
      <c r="Y673" s="1"/>
      <c r="Z673" s="1"/>
      <c r="AA673" s="1" t="s">
        <v>2154</v>
      </c>
      <c r="AB673" s="1" t="s">
        <v>2155</v>
      </c>
      <c r="AC673" s="1"/>
      <c r="AD673" s="1"/>
      <c r="AE673" s="1"/>
      <c r="AF673" s="1"/>
      <c r="AG673" s="1"/>
      <c r="AH673" s="1"/>
      <c r="AI673" s="1"/>
      <c r="AJ673" s="1"/>
      <c r="AK673" s="1"/>
      <c r="AL673" s="1"/>
      <c r="AM673" s="1"/>
      <c r="AN673" s="1"/>
      <c r="AO673" s="1" t="s">
        <v>2136</v>
      </c>
      <c r="AP673" s="1" t="s">
        <v>2137</v>
      </c>
      <c r="AQ673" s="1"/>
      <c r="AR673" s="1"/>
      <c r="AS673" s="1"/>
      <c r="AT673" s="1" t="s">
        <v>292</v>
      </c>
      <c r="AU673" s="3">
        <v>2020</v>
      </c>
      <c r="AV673" s="3">
        <v>24</v>
      </c>
      <c r="AW673" s="3">
        <v>9</v>
      </c>
      <c r="AX673" s="2"/>
      <c r="AY673" s="2"/>
      <c r="AZ673" s="1" t="s">
        <v>170</v>
      </c>
      <c r="BA673" s="2"/>
      <c r="BB673" s="3">
        <v>2155</v>
      </c>
      <c r="BC673" s="3">
        <v>2155</v>
      </c>
      <c r="BD673" s="2"/>
      <c r="BE673" s="1" t="s">
        <v>5697</v>
      </c>
      <c r="BF673" s="4">
        <f>HYPERLINK("http://dx.doi.org/10.1007/s10008-020-04710-2","http://dx.doi.org/10.1007/s10008-020-04710-2")</f>
      </c>
      <c r="BG673" s="1"/>
      <c r="BH673" s="1" t="s">
        <v>5698</v>
      </c>
      <c r="BI673" s="1"/>
      <c r="BJ673" s="1"/>
      <c r="BK673" s="1"/>
      <c r="BL673" s="1"/>
      <c r="BM673" s="1"/>
      <c r="BN673" s="2"/>
      <c r="BO673" s="1"/>
      <c r="BP673" s="1"/>
      <c r="BQ673" s="1"/>
      <c r="BR673" s="1"/>
      <c r="BS673" s="1" t="s">
        <v>5699</v>
      </c>
      <c r="BT673" s="5">
        <f>HYPERLINK("https%3A%2F%2Fwww.webofscience.com%2Fwos%2Fwoscc%2Ffull-record%2FWOS:000541021300003","View Full Record in Web of Science")</f>
      </c>
    </row>
    <row x14ac:dyDescent="0.25" r="674" customHeight="1" ht="12.75">
      <c r="A674" s="1" t="s">
        <v>72</v>
      </c>
      <c r="B674" s="1" t="s">
        <v>5700</v>
      </c>
      <c r="C674" s="1"/>
      <c r="D674" s="1"/>
      <c r="E674" s="1"/>
      <c r="F674" s="1" t="s">
        <v>5701</v>
      </c>
      <c r="G674" s="1"/>
      <c r="H674" s="1"/>
      <c r="I674" s="1" t="s">
        <v>5702</v>
      </c>
      <c r="J674" s="1" t="s">
        <v>1926</v>
      </c>
      <c r="K674" s="1"/>
      <c r="L674" s="1"/>
      <c r="M674" s="1"/>
      <c r="N674" s="1"/>
      <c r="O674" s="1"/>
      <c r="P674" s="2"/>
      <c r="Q674" s="1"/>
      <c r="R674" s="1"/>
      <c r="S674" s="1"/>
      <c r="T674" s="1"/>
      <c r="U674" s="1"/>
      <c r="V674" s="1" t="s">
        <v>5703</v>
      </c>
      <c r="W674" s="1"/>
      <c r="X674" s="1"/>
      <c r="Y674" s="1"/>
      <c r="Z674" s="1"/>
      <c r="AA674" s="1"/>
      <c r="AB674" s="1"/>
      <c r="AC674" s="1"/>
      <c r="AD674" s="1"/>
      <c r="AE674" s="1"/>
      <c r="AF674" s="1"/>
      <c r="AG674" s="1"/>
      <c r="AH674" s="1"/>
      <c r="AI674" s="1"/>
      <c r="AJ674" s="1"/>
      <c r="AK674" s="1"/>
      <c r="AL674" s="1"/>
      <c r="AM674" s="1"/>
      <c r="AN674" s="1"/>
      <c r="AO674" s="1" t="s">
        <v>1928</v>
      </c>
      <c r="AP674" s="1"/>
      <c r="AQ674" s="1"/>
      <c r="AR674" s="1"/>
      <c r="AS674" s="1"/>
      <c r="AT674" s="1" t="s">
        <v>103</v>
      </c>
      <c r="AU674" s="3">
        <v>2020</v>
      </c>
      <c r="AV674" s="3">
        <v>49</v>
      </c>
      <c r="AW674" s="2"/>
      <c r="AX674" s="2"/>
      <c r="AY674" s="2"/>
      <c r="AZ674" s="1"/>
      <c r="BA674" s="2"/>
      <c r="BB674" s="3">
        <v>141</v>
      </c>
      <c r="BC674" s="3">
        <v>158</v>
      </c>
      <c r="BD674" s="2"/>
      <c r="BE674" s="1"/>
      <c r="BF674" s="1"/>
      <c r="BG674" s="1"/>
      <c r="BH674" s="1"/>
      <c r="BI674" s="1"/>
      <c r="BJ674" s="1"/>
      <c r="BK674" s="1"/>
      <c r="BL674" s="1"/>
      <c r="BM674" s="1"/>
      <c r="BN674" s="2"/>
      <c r="BO674" s="1"/>
      <c r="BP674" s="1"/>
      <c r="BQ674" s="1"/>
      <c r="BR674" s="1"/>
      <c r="BS674" s="1" t="s">
        <v>5704</v>
      </c>
      <c r="BT674" s="5">
        <f>HYPERLINK("https%3A%2F%2Fwww.webofscience.com%2Fwos%2Fwoscc%2Ffull-record%2FWOS:000451966900009","View Full Record in Web of Science")</f>
      </c>
    </row>
    <row x14ac:dyDescent="0.25" r="675" customHeight="1" ht="12.75">
      <c r="A675" s="1" t="s">
        <v>72</v>
      </c>
      <c r="B675" s="1" t="s">
        <v>348</v>
      </c>
      <c r="C675" s="1"/>
      <c r="D675" s="1"/>
      <c r="E675" s="1"/>
      <c r="F675" s="1" t="s">
        <v>349</v>
      </c>
      <c r="G675" s="1"/>
      <c r="H675" s="1"/>
      <c r="I675" s="1" t="s">
        <v>5705</v>
      </c>
      <c r="J675" s="1" t="s">
        <v>5706</v>
      </c>
      <c r="K675" s="1"/>
      <c r="L675" s="1"/>
      <c r="M675" s="1"/>
      <c r="N675" s="1"/>
      <c r="O675" s="1"/>
      <c r="P675" s="2"/>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t="s">
        <v>5707</v>
      </c>
      <c r="AP675" s="1" t="s">
        <v>5708</v>
      </c>
      <c r="AQ675" s="1"/>
      <c r="AR675" s="1"/>
      <c r="AS675" s="1"/>
      <c r="AT675" s="1" t="s">
        <v>5709</v>
      </c>
      <c r="AU675" s="3">
        <v>2019</v>
      </c>
      <c r="AV675" s="3">
        <v>41</v>
      </c>
      <c r="AW675" s="3">
        <v>4</v>
      </c>
      <c r="AX675" s="2"/>
      <c r="AY675" s="2" t="s">
        <v>778</v>
      </c>
      <c r="AZ675" s="1"/>
      <c r="BA675" s="2"/>
      <c r="BB675" s="3">
        <v>181</v>
      </c>
      <c r="BC675" s="3">
        <v>194</v>
      </c>
      <c r="BD675" s="2"/>
      <c r="BE675" s="1"/>
      <c r="BF675" s="1"/>
      <c r="BG675" s="1"/>
      <c r="BH675" s="1"/>
      <c r="BI675" s="1"/>
      <c r="BJ675" s="1"/>
      <c r="BK675" s="1"/>
      <c r="BL675" s="1"/>
      <c r="BM675" s="1"/>
      <c r="BN675" s="2"/>
      <c r="BO675" s="1"/>
      <c r="BP675" s="1"/>
      <c r="BQ675" s="1"/>
      <c r="BR675" s="1"/>
      <c r="BS675" s="1" t="s">
        <v>5710</v>
      </c>
      <c r="BT675" s="5">
        <f>HYPERLINK("https%3A%2F%2Fwww.webofscience.com%2Fwos%2Fwoscc%2Ffull-record%2FWOS:000591853100005","View Full Record in Web of Science")</f>
      </c>
    </row>
    <row x14ac:dyDescent="0.25" r="676" customHeight="1" ht="12.75">
      <c r="A676" s="1" t="s">
        <v>72</v>
      </c>
      <c r="B676" s="1" t="s">
        <v>5711</v>
      </c>
      <c r="C676" s="1"/>
      <c r="D676" s="1"/>
      <c r="E676" s="1"/>
      <c r="F676" s="1" t="s">
        <v>5712</v>
      </c>
      <c r="G676" s="1"/>
      <c r="H676" s="1"/>
      <c r="I676" s="1" t="s">
        <v>5713</v>
      </c>
      <c r="J676" s="1" t="s">
        <v>5714</v>
      </c>
      <c r="K676" s="1"/>
      <c r="L676" s="1"/>
      <c r="M676" s="1"/>
      <c r="N676" s="1"/>
      <c r="O676" s="1" t="s">
        <v>5715</v>
      </c>
      <c r="P676" s="2" t="s">
        <v>5716</v>
      </c>
      <c r="Q676" s="1" t="s">
        <v>5717</v>
      </c>
      <c r="R676" s="1" t="s">
        <v>5718</v>
      </c>
      <c r="S676" s="1"/>
      <c r="T676" s="1"/>
      <c r="U676" s="1"/>
      <c r="V676" s="1"/>
      <c r="W676" s="1"/>
      <c r="X676" s="1"/>
      <c r="Y676" s="1"/>
      <c r="Z676" s="1"/>
      <c r="AA676" s="1" t="s">
        <v>2278</v>
      </c>
      <c r="AB676" s="1" t="s">
        <v>2279</v>
      </c>
      <c r="AC676" s="1"/>
      <c r="AD676" s="1"/>
      <c r="AE676" s="1"/>
      <c r="AF676" s="1"/>
      <c r="AG676" s="1"/>
      <c r="AH676" s="1"/>
      <c r="AI676" s="1"/>
      <c r="AJ676" s="1"/>
      <c r="AK676" s="1"/>
      <c r="AL676" s="1"/>
      <c r="AM676" s="1"/>
      <c r="AN676" s="1"/>
      <c r="AO676" s="1" t="s">
        <v>5719</v>
      </c>
      <c r="AP676" s="1" t="s">
        <v>5720</v>
      </c>
      <c r="AQ676" s="1"/>
      <c r="AR676" s="1"/>
      <c r="AS676" s="1"/>
      <c r="AT676" s="1" t="s">
        <v>431</v>
      </c>
      <c r="AU676" s="3">
        <v>2019</v>
      </c>
      <c r="AV676" s="3">
        <v>49</v>
      </c>
      <c r="AW676" s="2"/>
      <c r="AX676" s="2"/>
      <c r="AY676" s="3">
        <v>3</v>
      </c>
      <c r="AZ676" s="1" t="s">
        <v>170</v>
      </c>
      <c r="BA676" s="2" t="s">
        <v>5721</v>
      </c>
      <c r="BB676" s="3">
        <v>1631</v>
      </c>
      <c r="BC676" s="3">
        <v>1631</v>
      </c>
      <c r="BD676" s="2"/>
      <c r="BE676" s="1"/>
      <c r="BF676" s="1"/>
      <c r="BG676" s="1"/>
      <c r="BH676" s="1"/>
      <c r="BI676" s="1"/>
      <c r="BJ676" s="1"/>
      <c r="BK676" s="1"/>
      <c r="BL676" s="1"/>
      <c r="BM676" s="1"/>
      <c r="BN676" s="2"/>
      <c r="BO676" s="1"/>
      <c r="BP676" s="1"/>
      <c r="BQ676" s="1"/>
      <c r="BR676" s="1"/>
      <c r="BS676" s="1" t="s">
        <v>5722</v>
      </c>
      <c r="BT676" s="5">
        <f>HYPERLINK("https%3A%2F%2Fwww.webofscience.com%2Fwos%2Fwoscc%2Ffull-record%2FWOS:000490026905238","View Full Record in Web of Science")</f>
      </c>
    </row>
    <row x14ac:dyDescent="0.25" r="677" customHeight="1" ht="12.75">
      <c r="A677" s="1" t="s">
        <v>72</v>
      </c>
      <c r="B677" s="1" t="s">
        <v>5723</v>
      </c>
      <c r="C677" s="1"/>
      <c r="D677" s="1"/>
      <c r="E677" s="1"/>
      <c r="F677" s="1" t="s">
        <v>5724</v>
      </c>
      <c r="G677" s="1"/>
      <c r="H677" s="1"/>
      <c r="I677" s="1" t="s">
        <v>5725</v>
      </c>
      <c r="J677" s="1" t="s">
        <v>230</v>
      </c>
      <c r="K677" s="1"/>
      <c r="L677" s="1"/>
      <c r="M677" s="1"/>
      <c r="N677" s="1"/>
      <c r="O677" s="1"/>
      <c r="P677" s="2"/>
      <c r="Q677" s="1"/>
      <c r="R677" s="1"/>
      <c r="S677" s="1"/>
      <c r="T677" s="1"/>
      <c r="U677" s="1"/>
      <c r="V677" s="1" t="s">
        <v>5726</v>
      </c>
      <c r="W677" s="1"/>
      <c r="X677" s="1"/>
      <c r="Y677" s="1"/>
      <c r="Z677" s="1"/>
      <c r="AA677" s="1"/>
      <c r="AB677" s="1" t="s">
        <v>5727</v>
      </c>
      <c r="AC677" s="1"/>
      <c r="AD677" s="1"/>
      <c r="AE677" s="1"/>
      <c r="AF677" s="1"/>
      <c r="AG677" s="1"/>
      <c r="AH677" s="1"/>
      <c r="AI677" s="1"/>
      <c r="AJ677" s="1"/>
      <c r="AK677" s="1"/>
      <c r="AL677" s="1"/>
      <c r="AM677" s="1"/>
      <c r="AN677" s="1"/>
      <c r="AO677" s="1"/>
      <c r="AP677" s="1" t="s">
        <v>233</v>
      </c>
      <c r="AQ677" s="1"/>
      <c r="AR677" s="1"/>
      <c r="AS677" s="1"/>
      <c r="AT677" s="1" t="s">
        <v>265</v>
      </c>
      <c r="AU677" s="3">
        <v>2019</v>
      </c>
      <c r="AV677" s="3">
        <v>24</v>
      </c>
      <c r="AW677" s="3">
        <v>15</v>
      </c>
      <c r="AX677" s="2"/>
      <c r="AY677" s="2"/>
      <c r="AZ677" s="1"/>
      <c r="BA677" s="2"/>
      <c r="BB677" s="2"/>
      <c r="BC677" s="2"/>
      <c r="BD677" s="3">
        <v>2700</v>
      </c>
      <c r="BE677" s="1" t="s">
        <v>5728</v>
      </c>
      <c r="BF677" s="4">
        <f>HYPERLINK("http://dx.doi.org/10.3390/molecules24152700","http://dx.doi.org/10.3390/molecules24152700")</f>
      </c>
      <c r="BG677" s="1"/>
      <c r="BH677" s="1"/>
      <c r="BI677" s="1"/>
      <c r="BJ677" s="1"/>
      <c r="BK677" s="1"/>
      <c r="BL677" s="1"/>
      <c r="BM677" s="1"/>
      <c r="BN677" s="3">
        <v>31349544</v>
      </c>
      <c r="BO677" s="1"/>
      <c r="BP677" s="1"/>
      <c r="BQ677" s="1"/>
      <c r="BR677" s="1"/>
      <c r="BS677" s="1" t="s">
        <v>5729</v>
      </c>
      <c r="BT677" s="5">
        <f>HYPERLINK("https%3A%2F%2Fwww.webofscience.com%2Fwos%2Fwoscc%2Ffull-record%2FWOS:000482441100023","View Full Record in Web of Science")</f>
      </c>
    </row>
    <row x14ac:dyDescent="0.25" r="678" customHeight="1" ht="12.75">
      <c r="A678" s="1" t="s">
        <v>72</v>
      </c>
      <c r="B678" s="1" t="s">
        <v>5679</v>
      </c>
      <c r="C678" s="1"/>
      <c r="D678" s="1"/>
      <c r="E678" s="1"/>
      <c r="F678" s="1" t="s">
        <v>5680</v>
      </c>
      <c r="G678" s="1"/>
      <c r="H678" s="1"/>
      <c r="I678" s="1" t="s">
        <v>5730</v>
      </c>
      <c r="J678" s="1" t="s">
        <v>1069</v>
      </c>
      <c r="K678" s="1"/>
      <c r="L678" s="1"/>
      <c r="M678" s="1"/>
      <c r="N678" s="1"/>
      <c r="O678" s="1"/>
      <c r="P678" s="2"/>
      <c r="Q678" s="1"/>
      <c r="R678" s="1"/>
      <c r="S678" s="1"/>
      <c r="T678" s="1"/>
      <c r="U678" s="1"/>
      <c r="V678" s="1"/>
      <c r="W678" s="1"/>
      <c r="X678" s="1"/>
      <c r="Y678" s="1"/>
      <c r="Z678" s="1"/>
      <c r="AA678" s="1" t="s">
        <v>5683</v>
      </c>
      <c r="AB678" s="1" t="s">
        <v>5684</v>
      </c>
      <c r="AC678" s="1"/>
      <c r="AD678" s="1"/>
      <c r="AE678" s="1"/>
      <c r="AF678" s="1"/>
      <c r="AG678" s="1"/>
      <c r="AH678" s="1"/>
      <c r="AI678" s="1"/>
      <c r="AJ678" s="1"/>
      <c r="AK678" s="1"/>
      <c r="AL678" s="1"/>
      <c r="AM678" s="1"/>
      <c r="AN678" s="1"/>
      <c r="AO678" s="1" t="s">
        <v>1070</v>
      </c>
      <c r="AP678" s="1" t="s">
        <v>1071</v>
      </c>
      <c r="AQ678" s="1"/>
      <c r="AR678" s="1"/>
      <c r="AS678" s="1"/>
      <c r="AT678" s="1" t="s">
        <v>1592</v>
      </c>
      <c r="AU678" s="3">
        <v>2019</v>
      </c>
      <c r="AV678" s="3">
        <v>85</v>
      </c>
      <c r="AW678" s="3">
        <v>268</v>
      </c>
      <c r="AX678" s="2"/>
      <c r="AY678" s="2"/>
      <c r="AZ678" s="1"/>
      <c r="BA678" s="2"/>
      <c r="BB678" s="3">
        <v>1091</v>
      </c>
      <c r="BC678" s="3">
        <v>1094</v>
      </c>
      <c r="BD678" s="2"/>
      <c r="BE678" s="1" t="s">
        <v>5731</v>
      </c>
      <c r="BF678" s="4">
        <f>HYPERLINK("http://dx.doi.org/10.5195/reviberoamer.2019.7831","http://dx.doi.org/10.5195/reviberoamer.2019.7831")</f>
      </c>
      <c r="BG678" s="1"/>
      <c r="BH678" s="1"/>
      <c r="BI678" s="1"/>
      <c r="BJ678" s="1"/>
      <c r="BK678" s="1"/>
      <c r="BL678" s="1"/>
      <c r="BM678" s="1"/>
      <c r="BN678" s="2"/>
      <c r="BO678" s="1"/>
      <c r="BP678" s="1"/>
      <c r="BQ678" s="1"/>
      <c r="BR678" s="1"/>
      <c r="BS678" s="1" t="s">
        <v>5732</v>
      </c>
      <c r="BT678" s="5">
        <f>HYPERLINK("https%3A%2F%2Fwww.webofscience.com%2Fwos%2Fwoscc%2Ffull-record%2FWOS:000487198500027","View Full Record in Web of Science")</f>
      </c>
    </row>
    <row x14ac:dyDescent="0.25" r="679" customHeight="1" ht="12.75">
      <c r="A679" s="1" t="s">
        <v>72</v>
      </c>
      <c r="B679" s="1" t="s">
        <v>5733</v>
      </c>
      <c r="C679" s="1"/>
      <c r="D679" s="1"/>
      <c r="E679" s="1"/>
      <c r="F679" s="1" t="s">
        <v>5734</v>
      </c>
      <c r="G679" s="1"/>
      <c r="H679" s="1"/>
      <c r="I679" s="1" t="s">
        <v>5735</v>
      </c>
      <c r="J679" s="1" t="s">
        <v>2870</v>
      </c>
      <c r="K679" s="1"/>
      <c r="L679" s="1"/>
      <c r="M679" s="1"/>
      <c r="N679" s="1"/>
      <c r="O679" s="1"/>
      <c r="P679" s="2"/>
      <c r="Q679" s="1"/>
      <c r="R679" s="1"/>
      <c r="S679" s="1"/>
      <c r="T679" s="1"/>
      <c r="U679" s="1"/>
      <c r="V679" s="1" t="s">
        <v>5736</v>
      </c>
      <c r="W679" s="1"/>
      <c r="X679" s="1"/>
      <c r="Y679" s="1"/>
      <c r="Z679" s="1"/>
      <c r="AA679" s="1" t="s">
        <v>5737</v>
      </c>
      <c r="AB679" s="1" t="s">
        <v>5738</v>
      </c>
      <c r="AC679" s="1"/>
      <c r="AD679" s="1"/>
      <c r="AE679" s="1"/>
      <c r="AF679" s="1"/>
      <c r="AG679" s="1"/>
      <c r="AH679" s="1"/>
      <c r="AI679" s="1"/>
      <c r="AJ679" s="1"/>
      <c r="AK679" s="1"/>
      <c r="AL679" s="1"/>
      <c r="AM679" s="1"/>
      <c r="AN679" s="1"/>
      <c r="AO679" s="1" t="s">
        <v>2872</v>
      </c>
      <c r="AP679" s="1"/>
      <c r="AQ679" s="1"/>
      <c r="AR679" s="1"/>
      <c r="AS679" s="1"/>
      <c r="AT679" s="1" t="s">
        <v>757</v>
      </c>
      <c r="AU679" s="3">
        <v>2019</v>
      </c>
      <c r="AV679" s="2"/>
      <c r="AW679" s="3">
        <v>62</v>
      </c>
      <c r="AX679" s="2"/>
      <c r="AY679" s="2"/>
      <c r="AZ679" s="1"/>
      <c r="BA679" s="2"/>
      <c r="BB679" s="3">
        <v>247</v>
      </c>
      <c r="BC679" s="3">
        <v>275</v>
      </c>
      <c r="BD679" s="2"/>
      <c r="BE679" s="1" t="s">
        <v>5739</v>
      </c>
      <c r="BF679" s="4">
        <f>HYPERLINK("http://dx.doi.org/10.22199/issn.0718-1043-2019-0009","http://dx.doi.org/10.22199/issn.0718-1043-2019-0009")</f>
      </c>
      <c r="BG679" s="1"/>
      <c r="BH679" s="1"/>
      <c r="BI679" s="1"/>
      <c r="BJ679" s="1"/>
      <c r="BK679" s="1"/>
      <c r="BL679" s="1"/>
      <c r="BM679" s="1"/>
      <c r="BN679" s="2"/>
      <c r="BO679" s="1"/>
      <c r="BP679" s="1"/>
      <c r="BQ679" s="1"/>
      <c r="BR679" s="1"/>
      <c r="BS679" s="1" t="s">
        <v>5740</v>
      </c>
      <c r="BT679" s="5">
        <f>HYPERLINK("https%3A%2F%2Fwww.webofscience.com%2Fwos%2Fwoscc%2Ffull-record%2FWOS:000483464400014","View Full Record in Web of Science")</f>
      </c>
    </row>
    <row x14ac:dyDescent="0.25" r="680" customHeight="1" ht="12.75">
      <c r="A680" s="1" t="s">
        <v>303</v>
      </c>
      <c r="B680" s="1" t="s">
        <v>5741</v>
      </c>
      <c r="C680" s="1"/>
      <c r="D680" s="1"/>
      <c r="E680" s="1" t="s">
        <v>305</v>
      </c>
      <c r="F680" s="1" t="s">
        <v>5742</v>
      </c>
      <c r="G680" s="1"/>
      <c r="H680" s="1"/>
      <c r="I680" s="1" t="s">
        <v>5743</v>
      </c>
      <c r="J680" s="1" t="s">
        <v>4175</v>
      </c>
      <c r="K680" s="1" t="s">
        <v>2020</v>
      </c>
      <c r="L680" s="1"/>
      <c r="M680" s="1"/>
      <c r="N680" s="1"/>
      <c r="O680" s="1" t="s">
        <v>4176</v>
      </c>
      <c r="P680" s="2" t="s">
        <v>4177</v>
      </c>
      <c r="Q680" s="1" t="s">
        <v>4178</v>
      </c>
      <c r="R680" s="1" t="s">
        <v>4179</v>
      </c>
      <c r="S680" s="1" t="s">
        <v>4180</v>
      </c>
      <c r="T680" s="1"/>
      <c r="U680" s="1"/>
      <c r="V680" s="1" t="s">
        <v>5744</v>
      </c>
      <c r="W680" s="1"/>
      <c r="X680" s="1"/>
      <c r="Y680" s="1"/>
      <c r="Z680" s="1"/>
      <c r="AA680" s="1" t="s">
        <v>2126</v>
      </c>
      <c r="AB680" s="1" t="s">
        <v>5745</v>
      </c>
      <c r="AC680" s="1"/>
      <c r="AD680" s="1"/>
      <c r="AE680" s="1"/>
      <c r="AF680" s="1"/>
      <c r="AG680" s="1"/>
      <c r="AH680" s="1"/>
      <c r="AI680" s="1"/>
      <c r="AJ680" s="1"/>
      <c r="AK680" s="1"/>
      <c r="AL680" s="1"/>
      <c r="AM680" s="1"/>
      <c r="AN680" s="1"/>
      <c r="AO680" s="1" t="s">
        <v>2028</v>
      </c>
      <c r="AP680" s="1"/>
      <c r="AQ680" s="1" t="s">
        <v>4183</v>
      </c>
      <c r="AR680" s="1"/>
      <c r="AS680" s="1"/>
      <c r="AT680" s="1"/>
      <c r="AU680" s="3">
        <v>2019</v>
      </c>
      <c r="AV680" s="2"/>
      <c r="AW680" s="2"/>
      <c r="AX680" s="2"/>
      <c r="AY680" s="2"/>
      <c r="AZ680" s="1"/>
      <c r="BA680" s="2"/>
      <c r="BB680" s="2"/>
      <c r="BC680" s="2"/>
      <c r="BD680" s="2"/>
      <c r="BE680" s="1" t="s">
        <v>5746</v>
      </c>
      <c r="BF680" s="4">
        <f>HYPERLINK("http://dx.doi.org/10.1109/sccc49216.2019.8966433","http://dx.doi.org/10.1109/sccc49216.2019.8966433")</f>
      </c>
      <c r="BG680" s="1"/>
      <c r="BH680" s="1"/>
      <c r="BI680" s="1"/>
      <c r="BJ680" s="1"/>
      <c r="BK680" s="1"/>
      <c r="BL680" s="1"/>
      <c r="BM680" s="1"/>
      <c r="BN680" s="2"/>
      <c r="BO680" s="1"/>
      <c r="BP680" s="1"/>
      <c r="BQ680" s="1"/>
      <c r="BR680" s="1"/>
      <c r="BS680" s="1" t="s">
        <v>5747</v>
      </c>
      <c r="BT680" s="5">
        <f>HYPERLINK("https%3A%2F%2Fwww.webofscience.com%2Fwos%2Fwoscc%2Ffull-record%2FWOS:000540055800042","View Full Record in Web of Science")</f>
      </c>
    </row>
    <row x14ac:dyDescent="0.25" r="681" customHeight="1" ht="12.75">
      <c r="A681" s="1" t="s">
        <v>72</v>
      </c>
      <c r="B681" s="1" t="s">
        <v>5748</v>
      </c>
      <c r="C681" s="1"/>
      <c r="D681" s="1"/>
      <c r="E681" s="1"/>
      <c r="F681" s="1" t="s">
        <v>5749</v>
      </c>
      <c r="G681" s="1"/>
      <c r="H681" s="1"/>
      <c r="I681" s="1" t="s">
        <v>5750</v>
      </c>
      <c r="J681" s="1" t="s">
        <v>5095</v>
      </c>
      <c r="K681" s="1"/>
      <c r="L681" s="1"/>
      <c r="M681" s="1"/>
      <c r="N681" s="1"/>
      <c r="O681" s="1"/>
      <c r="P681" s="2"/>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t="s">
        <v>5096</v>
      </c>
      <c r="AP681" s="1" t="s">
        <v>5097</v>
      </c>
      <c r="AQ681" s="1"/>
      <c r="AR681" s="1"/>
      <c r="AS681" s="1"/>
      <c r="AT681" s="1" t="s">
        <v>204</v>
      </c>
      <c r="AU681" s="3">
        <v>2018</v>
      </c>
      <c r="AV681" s="3">
        <v>14</v>
      </c>
      <c r="AW681" s="2"/>
      <c r="AX681" s="2"/>
      <c r="AY681" s="3">
        <v>1</v>
      </c>
      <c r="AZ681" s="1"/>
      <c r="BA681" s="3">
        <v>4</v>
      </c>
      <c r="BB681" s="2" t="s">
        <v>5751</v>
      </c>
      <c r="BC681" s="2" t="s">
        <v>5751</v>
      </c>
      <c r="BD681" s="2"/>
      <c r="BE681" s="1"/>
      <c r="BF681" s="1"/>
      <c r="BG681" s="1"/>
      <c r="BH681" s="1"/>
      <c r="BI681" s="1"/>
      <c r="BJ681" s="1"/>
      <c r="BK681" s="1"/>
      <c r="BL681" s="1"/>
      <c r="BM681" s="1"/>
      <c r="BN681" s="2"/>
      <c r="BO681" s="1"/>
      <c r="BP681" s="1"/>
      <c r="BQ681" s="1"/>
      <c r="BR681" s="1"/>
      <c r="BS681" s="1" t="s">
        <v>5752</v>
      </c>
      <c r="BT681" s="5">
        <f>HYPERLINK("https%3A%2F%2Fwww.webofscience.com%2Fwos%2Fwoscc%2Ffull-record%2FWOS:000456281300138","View Full Record in Web of Science")</f>
      </c>
    </row>
    <row x14ac:dyDescent="0.25" r="682" customHeight="1" ht="12.75">
      <c r="A682" s="1" t="s">
        <v>72</v>
      </c>
      <c r="B682" s="1" t="s">
        <v>5753</v>
      </c>
      <c r="C682" s="1"/>
      <c r="D682" s="1"/>
      <c r="E682" s="1"/>
      <c r="F682" s="1" t="s">
        <v>5754</v>
      </c>
      <c r="G682" s="1"/>
      <c r="H682" s="1"/>
      <c r="I682" s="1" t="s">
        <v>5755</v>
      </c>
      <c r="J682" s="1" t="s">
        <v>5756</v>
      </c>
      <c r="K682" s="1"/>
      <c r="L682" s="1"/>
      <c r="M682" s="1"/>
      <c r="N682" s="1"/>
      <c r="O682" s="1"/>
      <c r="P682" s="2"/>
      <c r="Q682" s="1"/>
      <c r="R682" s="1"/>
      <c r="S682" s="1"/>
      <c r="T682" s="1"/>
      <c r="U682" s="1"/>
      <c r="V682" s="1" t="s">
        <v>5757</v>
      </c>
      <c r="W682" s="1"/>
      <c r="X682" s="1"/>
      <c r="Y682" s="1"/>
      <c r="Z682" s="1"/>
      <c r="AA682" s="1" t="s">
        <v>5758</v>
      </c>
      <c r="AB682" s="1" t="s">
        <v>3116</v>
      </c>
      <c r="AC682" s="1"/>
      <c r="AD682" s="1"/>
      <c r="AE682" s="1"/>
      <c r="AF682" s="1"/>
      <c r="AG682" s="1"/>
      <c r="AH682" s="1"/>
      <c r="AI682" s="1"/>
      <c r="AJ682" s="1"/>
      <c r="AK682" s="1"/>
      <c r="AL682" s="1"/>
      <c r="AM682" s="1"/>
      <c r="AN682" s="1"/>
      <c r="AO682" s="1" t="s">
        <v>5759</v>
      </c>
      <c r="AP682" s="1" t="s">
        <v>5760</v>
      </c>
      <c r="AQ682" s="1"/>
      <c r="AR682" s="1"/>
      <c r="AS682" s="1"/>
      <c r="AT682" s="1" t="s">
        <v>265</v>
      </c>
      <c r="AU682" s="3">
        <v>2018</v>
      </c>
      <c r="AV682" s="3">
        <v>11</v>
      </c>
      <c r="AW682" s="3">
        <v>8</v>
      </c>
      <c r="AX682" s="2"/>
      <c r="AY682" s="2"/>
      <c r="AZ682" s="1"/>
      <c r="BA682" s="2"/>
      <c r="BB682" s="3">
        <v>1575</v>
      </c>
      <c r="BC682" s="3">
        <v>1585</v>
      </c>
      <c r="BD682" s="2"/>
      <c r="BE682" s="1" t="s">
        <v>5761</v>
      </c>
      <c r="BF682" s="4">
        <f>HYPERLINK("http://dx.doi.org/10.1007/s11947-018-2126-1","http://dx.doi.org/10.1007/s11947-018-2126-1")</f>
      </c>
      <c r="BG682" s="1"/>
      <c r="BH682" s="1"/>
      <c r="BI682" s="1"/>
      <c r="BJ682" s="1"/>
      <c r="BK682" s="1"/>
      <c r="BL682" s="1"/>
      <c r="BM682" s="1"/>
      <c r="BN682" s="2"/>
      <c r="BO682" s="1"/>
      <c r="BP682" s="1"/>
      <c r="BQ682" s="1"/>
      <c r="BR682" s="1"/>
      <c r="BS682" s="1" t="s">
        <v>5762</v>
      </c>
      <c r="BT682" s="5">
        <f>HYPERLINK("https%3A%2F%2Fwww.webofscience.com%2Fwos%2Fwoscc%2Ffull-record%2FWOS:000436292700012","View Full Record in Web of Science")</f>
      </c>
    </row>
    <row x14ac:dyDescent="0.25" r="683" customHeight="1" ht="12.75">
      <c r="A683" s="1" t="s">
        <v>72</v>
      </c>
      <c r="B683" s="1" t="s">
        <v>5763</v>
      </c>
      <c r="C683" s="1"/>
      <c r="D683" s="1"/>
      <c r="E683" s="1"/>
      <c r="F683" s="1" t="s">
        <v>5764</v>
      </c>
      <c r="G683" s="1"/>
      <c r="H683" s="1"/>
      <c r="I683" s="1" t="s">
        <v>5765</v>
      </c>
      <c r="J683" s="1" t="s">
        <v>2601</v>
      </c>
      <c r="K683" s="1"/>
      <c r="L683" s="1"/>
      <c r="M683" s="1"/>
      <c r="N683" s="1"/>
      <c r="O683" s="1"/>
      <c r="P683" s="2"/>
      <c r="Q683" s="1"/>
      <c r="R683" s="1"/>
      <c r="S683" s="1"/>
      <c r="T683" s="1"/>
      <c r="U683" s="1"/>
      <c r="V683" s="1" t="s">
        <v>5766</v>
      </c>
      <c r="W683" s="1"/>
      <c r="X683" s="1"/>
      <c r="Y683" s="1"/>
      <c r="Z683" s="1"/>
      <c r="AA683" s="1"/>
      <c r="AB683" s="1"/>
      <c r="AC683" s="1"/>
      <c r="AD683" s="1"/>
      <c r="AE683" s="1"/>
      <c r="AF683" s="1"/>
      <c r="AG683" s="1"/>
      <c r="AH683" s="1"/>
      <c r="AI683" s="1"/>
      <c r="AJ683" s="1"/>
      <c r="AK683" s="1"/>
      <c r="AL683" s="1"/>
      <c r="AM683" s="1"/>
      <c r="AN683" s="1"/>
      <c r="AO683" s="1" t="s">
        <v>2604</v>
      </c>
      <c r="AP683" s="1"/>
      <c r="AQ683" s="1"/>
      <c r="AR683" s="1"/>
      <c r="AS683" s="1"/>
      <c r="AT683" s="1" t="s">
        <v>464</v>
      </c>
      <c r="AU683" s="3">
        <v>2018</v>
      </c>
      <c r="AV683" s="3">
        <v>41</v>
      </c>
      <c r="AW683" s="3">
        <v>2</v>
      </c>
      <c r="AX683" s="2"/>
      <c r="AY683" s="2"/>
      <c r="AZ683" s="1"/>
      <c r="BA683" s="2"/>
      <c r="BB683" s="3">
        <v>55</v>
      </c>
      <c r="BC683" s="3">
        <v>72</v>
      </c>
      <c r="BD683" s="2"/>
      <c r="BE683" s="1" t="s">
        <v>5767</v>
      </c>
      <c r="BF683" s="4">
        <f>HYPERLINK("http://dx.doi.org/10.1590/0101-3173.2018.v41n2.04.p55","http://dx.doi.org/10.1590/0101-3173.2018.v41n2.04.p55")</f>
      </c>
      <c r="BG683" s="1"/>
      <c r="BH683" s="1"/>
      <c r="BI683" s="1"/>
      <c r="BJ683" s="1"/>
      <c r="BK683" s="1"/>
      <c r="BL683" s="1"/>
      <c r="BM683" s="1"/>
      <c r="BN683" s="2"/>
      <c r="BO683" s="1"/>
      <c r="BP683" s="1"/>
      <c r="BQ683" s="1"/>
      <c r="BR683" s="1"/>
      <c r="BS683" s="1" t="s">
        <v>5768</v>
      </c>
      <c r="BT683" s="5">
        <f>HYPERLINK("https%3A%2F%2Fwww.webofscience.com%2Fwos%2Fwoscc%2Ffull-record%2FWOS:000438907500003","View Full Record in Web of Science")</f>
      </c>
    </row>
    <row x14ac:dyDescent="0.25" r="684" customHeight="1" ht="12.75">
      <c r="A684" s="1" t="s">
        <v>72</v>
      </c>
      <c r="B684" s="1" t="s">
        <v>5769</v>
      </c>
      <c r="C684" s="1"/>
      <c r="D684" s="1"/>
      <c r="E684" s="1"/>
      <c r="F684" s="1" t="s">
        <v>5770</v>
      </c>
      <c r="G684" s="1"/>
      <c r="H684" s="1"/>
      <c r="I684" s="1" t="s">
        <v>5771</v>
      </c>
      <c r="J684" s="1" t="s">
        <v>2377</v>
      </c>
      <c r="K684" s="1"/>
      <c r="L684" s="1"/>
      <c r="M684" s="1"/>
      <c r="N684" s="1"/>
      <c r="O684" s="1"/>
      <c r="P684" s="2"/>
      <c r="Q684" s="1"/>
      <c r="R684" s="1"/>
      <c r="S684" s="1"/>
      <c r="T684" s="1"/>
      <c r="U684" s="1"/>
      <c r="V684" s="1" t="s">
        <v>5772</v>
      </c>
      <c r="W684" s="1"/>
      <c r="X684" s="1"/>
      <c r="Y684" s="1"/>
      <c r="Z684" s="1"/>
      <c r="AA684" s="1" t="s">
        <v>5773</v>
      </c>
      <c r="AB684" s="1" t="s">
        <v>5774</v>
      </c>
      <c r="AC684" s="1"/>
      <c r="AD684" s="1"/>
      <c r="AE684" s="1"/>
      <c r="AF684" s="1"/>
      <c r="AG684" s="1"/>
      <c r="AH684" s="1"/>
      <c r="AI684" s="1"/>
      <c r="AJ684" s="1"/>
      <c r="AK684" s="1"/>
      <c r="AL684" s="1"/>
      <c r="AM684" s="1"/>
      <c r="AN684" s="1"/>
      <c r="AO684" s="1" t="s">
        <v>2381</v>
      </c>
      <c r="AP684" s="1" t="s">
        <v>2382</v>
      </c>
      <c r="AQ684" s="1"/>
      <c r="AR684" s="1"/>
      <c r="AS684" s="1"/>
      <c r="AT684" s="1" t="s">
        <v>3829</v>
      </c>
      <c r="AU684" s="3">
        <v>2017</v>
      </c>
      <c r="AV684" s="3">
        <v>537</v>
      </c>
      <c r="AW684" s="2"/>
      <c r="AX684" s="2"/>
      <c r="AY684" s="2"/>
      <c r="AZ684" s="1"/>
      <c r="BA684" s="2"/>
      <c r="BB684" s="3">
        <v>337</v>
      </c>
      <c r="BC684" s="3">
        <v>343</v>
      </c>
      <c r="BD684" s="2"/>
      <c r="BE684" s="1" t="s">
        <v>5775</v>
      </c>
      <c r="BF684" s="4">
        <f>HYPERLINK("http://dx.doi.org/10.1016/j.memsci.2017.05.045","http://dx.doi.org/10.1016/j.memsci.2017.05.045")</f>
      </c>
      <c r="BG684" s="1"/>
      <c r="BH684" s="1"/>
      <c r="BI684" s="1"/>
      <c r="BJ684" s="1"/>
      <c r="BK684" s="1"/>
      <c r="BL684" s="1"/>
      <c r="BM684" s="1"/>
      <c r="BN684" s="2"/>
      <c r="BO684" s="1"/>
      <c r="BP684" s="1"/>
      <c r="BQ684" s="1"/>
      <c r="BR684" s="1"/>
      <c r="BS684" s="1" t="s">
        <v>5776</v>
      </c>
      <c r="BT684" s="5">
        <f>HYPERLINK("https%3A%2F%2Fwww.webofscience.com%2Fwos%2Fwoscc%2Ffull-record%2FWOS:000402508600033","View Full Record in Web of Science")</f>
      </c>
    </row>
    <row x14ac:dyDescent="0.25" r="685" customHeight="1" ht="12.75">
      <c r="A685" s="1" t="s">
        <v>72</v>
      </c>
      <c r="B685" s="1" t="s">
        <v>5777</v>
      </c>
      <c r="C685" s="1"/>
      <c r="D685" s="1"/>
      <c r="E685" s="1"/>
      <c r="F685" s="1" t="s">
        <v>5778</v>
      </c>
      <c r="G685" s="1"/>
      <c r="H685" s="1"/>
      <c r="I685" s="1" t="s">
        <v>5779</v>
      </c>
      <c r="J685" s="1" t="s">
        <v>5780</v>
      </c>
      <c r="K685" s="1"/>
      <c r="L685" s="1"/>
      <c r="M685" s="1"/>
      <c r="N685" s="1"/>
      <c r="O685" s="1"/>
      <c r="P685" s="2"/>
      <c r="Q685" s="1"/>
      <c r="R685" s="1"/>
      <c r="S685" s="1"/>
      <c r="T685" s="1"/>
      <c r="U685" s="1"/>
      <c r="V685" s="1" t="s">
        <v>5781</v>
      </c>
      <c r="W685" s="1"/>
      <c r="X685" s="1"/>
      <c r="Y685" s="1"/>
      <c r="Z685" s="1"/>
      <c r="AA685" s="1" t="s">
        <v>5782</v>
      </c>
      <c r="AB685" s="1" t="s">
        <v>5783</v>
      </c>
      <c r="AC685" s="1"/>
      <c r="AD685" s="1"/>
      <c r="AE685" s="1"/>
      <c r="AF685" s="1"/>
      <c r="AG685" s="1"/>
      <c r="AH685" s="1"/>
      <c r="AI685" s="1"/>
      <c r="AJ685" s="1"/>
      <c r="AK685" s="1"/>
      <c r="AL685" s="1"/>
      <c r="AM685" s="1"/>
      <c r="AN685" s="1"/>
      <c r="AO685" s="1" t="s">
        <v>5784</v>
      </c>
      <c r="AP685" s="1" t="s">
        <v>5785</v>
      </c>
      <c r="AQ685" s="1"/>
      <c r="AR685" s="1"/>
      <c r="AS685" s="1"/>
      <c r="AT685" s="1" t="s">
        <v>4564</v>
      </c>
      <c r="AU685" s="3">
        <v>2017</v>
      </c>
      <c r="AV685" s="3">
        <v>119</v>
      </c>
      <c r="AW685" s="3">
        <v>6</v>
      </c>
      <c r="AX685" s="2"/>
      <c r="AY685" s="2"/>
      <c r="AZ685" s="1"/>
      <c r="BA685" s="2"/>
      <c r="BB685" s="2"/>
      <c r="BC685" s="2"/>
      <c r="BD685" s="3">
        <v>68003</v>
      </c>
      <c r="BE685" s="1" t="s">
        <v>5786</v>
      </c>
      <c r="BF685" s="4">
        <f>HYPERLINK("http://dx.doi.org/10.1103/PhysRevLett.119.068003","http://dx.doi.org/10.1103/PhysRevLett.119.068003")</f>
      </c>
      <c r="BG685" s="1"/>
      <c r="BH685" s="1"/>
      <c r="BI685" s="1"/>
      <c r="BJ685" s="1"/>
      <c r="BK685" s="1"/>
      <c r="BL685" s="1"/>
      <c r="BM685" s="1"/>
      <c r="BN685" s="3">
        <v>28949602</v>
      </c>
      <c r="BO685" s="1"/>
      <c r="BP685" s="1"/>
      <c r="BQ685" s="1"/>
      <c r="BR685" s="1"/>
      <c r="BS685" s="1" t="s">
        <v>5787</v>
      </c>
      <c r="BT685" s="5">
        <f>HYPERLINK("https%3A%2F%2Fwww.webofscience.com%2Fwos%2Fwoscc%2Ffull-record%2FWOS:000407326800015","View Full Record in Web of Science")</f>
      </c>
    </row>
    <row x14ac:dyDescent="0.25" r="686" customHeight="1" ht="12.75">
      <c r="A686" s="1" t="s">
        <v>72</v>
      </c>
      <c r="B686" s="1" t="s">
        <v>5788</v>
      </c>
      <c r="C686" s="1"/>
      <c r="D686" s="1"/>
      <c r="E686" s="1"/>
      <c r="F686" s="1" t="s">
        <v>5789</v>
      </c>
      <c r="G686" s="1"/>
      <c r="H686" s="1"/>
      <c r="I686" s="1" t="s">
        <v>5790</v>
      </c>
      <c r="J686" s="1" t="s">
        <v>5791</v>
      </c>
      <c r="K686" s="1"/>
      <c r="L686" s="1"/>
      <c r="M686" s="1"/>
      <c r="N686" s="1"/>
      <c r="O686" s="1"/>
      <c r="P686" s="2"/>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t="s">
        <v>5792</v>
      </c>
      <c r="AP686" s="1" t="s">
        <v>5793</v>
      </c>
      <c r="AQ686" s="1"/>
      <c r="AR686" s="1"/>
      <c r="AS686" s="1"/>
      <c r="AT686" s="1" t="s">
        <v>265</v>
      </c>
      <c r="AU686" s="3">
        <v>2017</v>
      </c>
      <c r="AV686" s="3">
        <v>121</v>
      </c>
      <c r="AW686" s="2"/>
      <c r="AX686" s="2"/>
      <c r="AY686" s="3">
        <v>2</v>
      </c>
      <c r="AZ686" s="1" t="s">
        <v>170</v>
      </c>
      <c r="BA686" s="2" t="s">
        <v>5794</v>
      </c>
      <c r="BB686" s="3">
        <v>56</v>
      </c>
      <c r="BC686" s="3">
        <v>56</v>
      </c>
      <c r="BD686" s="2"/>
      <c r="BE686" s="1"/>
      <c r="BF686" s="1"/>
      <c r="BG686" s="1"/>
      <c r="BH686" s="1"/>
      <c r="BI686" s="1"/>
      <c r="BJ686" s="1"/>
      <c r="BK686" s="1"/>
      <c r="BL686" s="1"/>
      <c r="BM686" s="1"/>
      <c r="BN686" s="2"/>
      <c r="BO686" s="1"/>
      <c r="BP686" s="1"/>
      <c r="BQ686" s="1"/>
      <c r="BR686" s="1"/>
      <c r="BS686" s="1" t="s">
        <v>5795</v>
      </c>
      <c r="BT686" s="5">
        <f>HYPERLINK("https%3A%2F%2Fwww.webofscience.com%2Fwos%2Fwoscc%2Ffull-record%2FWOS:000407573400134","View Full Record in Web of Science")</f>
      </c>
    </row>
    <row x14ac:dyDescent="0.25" r="687" customHeight="1" ht="12.75">
      <c r="A687" s="1" t="s">
        <v>72</v>
      </c>
      <c r="B687" s="1" t="s">
        <v>5796</v>
      </c>
      <c r="C687" s="1"/>
      <c r="D687" s="1"/>
      <c r="E687" s="1"/>
      <c r="F687" s="1" t="s">
        <v>5797</v>
      </c>
      <c r="G687" s="1"/>
      <c r="H687" s="1"/>
      <c r="I687" s="1" t="s">
        <v>5798</v>
      </c>
      <c r="J687" s="1" t="s">
        <v>5799</v>
      </c>
      <c r="K687" s="1"/>
      <c r="L687" s="1"/>
      <c r="M687" s="1"/>
      <c r="N687" s="1"/>
      <c r="O687" s="1"/>
      <c r="P687" s="2"/>
      <c r="Q687" s="1"/>
      <c r="R687" s="1"/>
      <c r="S687" s="1"/>
      <c r="T687" s="1"/>
      <c r="U687" s="1"/>
      <c r="V687" s="1" t="s">
        <v>5800</v>
      </c>
      <c r="W687" s="1"/>
      <c r="X687" s="1"/>
      <c r="Y687" s="1"/>
      <c r="Z687" s="1"/>
      <c r="AA687" s="1" t="s">
        <v>5801</v>
      </c>
      <c r="AB687" s="1" t="s">
        <v>5802</v>
      </c>
      <c r="AC687" s="1"/>
      <c r="AD687" s="1"/>
      <c r="AE687" s="1"/>
      <c r="AF687" s="1"/>
      <c r="AG687" s="1"/>
      <c r="AH687" s="1"/>
      <c r="AI687" s="1"/>
      <c r="AJ687" s="1"/>
      <c r="AK687" s="1"/>
      <c r="AL687" s="1"/>
      <c r="AM687" s="1"/>
      <c r="AN687" s="1"/>
      <c r="AO687" s="1" t="s">
        <v>5803</v>
      </c>
      <c r="AP687" s="1"/>
      <c r="AQ687" s="1"/>
      <c r="AR687" s="1"/>
      <c r="AS687" s="1"/>
      <c r="AT687" s="1" t="s">
        <v>5804</v>
      </c>
      <c r="AU687" s="3">
        <v>2017</v>
      </c>
      <c r="AV687" s="3">
        <v>8</v>
      </c>
      <c r="AW687" s="2"/>
      <c r="AX687" s="2"/>
      <c r="AY687" s="2"/>
      <c r="AZ687" s="1"/>
      <c r="BA687" s="2"/>
      <c r="BB687" s="2"/>
      <c r="BC687" s="2"/>
      <c r="BD687" s="3">
        <v>921</v>
      </c>
      <c r="BE687" s="1" t="s">
        <v>5805</v>
      </c>
      <c r="BF687" s="4">
        <f>HYPERLINK("http://dx.doi.org/10.3389/fpls.2017.00921","http://dx.doi.org/10.3389/fpls.2017.00921")</f>
      </c>
      <c r="BG687" s="1"/>
      <c r="BH687" s="1"/>
      <c r="BI687" s="1"/>
      <c r="BJ687" s="1"/>
      <c r="BK687" s="1"/>
      <c r="BL687" s="1"/>
      <c r="BM687" s="1"/>
      <c r="BN687" s="3">
        <v>28620407</v>
      </c>
      <c r="BO687" s="1"/>
      <c r="BP687" s="1"/>
      <c r="BQ687" s="1"/>
      <c r="BR687" s="1"/>
      <c r="BS687" s="1" t="s">
        <v>5806</v>
      </c>
      <c r="BT687" s="5">
        <f>HYPERLINK("https%3A%2F%2Fwww.webofscience.com%2Fwos%2Fwoscc%2Ffull-record%2FWOS:000402386800001","View Full Record in Web of Science")</f>
      </c>
    </row>
    <row x14ac:dyDescent="0.25" r="688" customHeight="1" ht="12.75">
      <c r="A688" s="1" t="s">
        <v>72</v>
      </c>
      <c r="B688" s="1" t="s">
        <v>5807</v>
      </c>
      <c r="C688" s="1"/>
      <c r="D688" s="1"/>
      <c r="E688" s="1"/>
      <c r="F688" s="1" t="s">
        <v>5808</v>
      </c>
      <c r="G688" s="1"/>
      <c r="H688" s="1"/>
      <c r="I688" s="1" t="s">
        <v>5809</v>
      </c>
      <c r="J688" s="1" t="s">
        <v>2286</v>
      </c>
      <c r="K688" s="1"/>
      <c r="L688" s="1"/>
      <c r="M688" s="1"/>
      <c r="N688" s="1"/>
      <c r="O688" s="1"/>
      <c r="P688" s="2"/>
      <c r="Q688" s="1"/>
      <c r="R688" s="1"/>
      <c r="S688" s="1"/>
      <c r="T688" s="1"/>
      <c r="U688" s="1"/>
      <c r="V688" s="1" t="s">
        <v>5810</v>
      </c>
      <c r="W688" s="1"/>
      <c r="X688" s="1"/>
      <c r="Y688" s="1"/>
      <c r="Z688" s="1"/>
      <c r="AA688" s="1" t="s">
        <v>5811</v>
      </c>
      <c r="AB688" s="1" t="s">
        <v>5249</v>
      </c>
      <c r="AC688" s="1"/>
      <c r="AD688" s="1"/>
      <c r="AE688" s="1"/>
      <c r="AF688" s="1"/>
      <c r="AG688" s="1"/>
      <c r="AH688" s="1"/>
      <c r="AI688" s="1"/>
      <c r="AJ688" s="1"/>
      <c r="AK688" s="1"/>
      <c r="AL688" s="1"/>
      <c r="AM688" s="1"/>
      <c r="AN688" s="1"/>
      <c r="AO688" s="1" t="s">
        <v>5812</v>
      </c>
      <c r="AP688" s="1"/>
      <c r="AQ688" s="1"/>
      <c r="AR688" s="1"/>
      <c r="AS688" s="1"/>
      <c r="AT688" s="1"/>
      <c r="AU688" s="3">
        <v>2017</v>
      </c>
      <c r="AV688" s="3">
        <v>35</v>
      </c>
      <c r="AW688" s="3">
        <v>2</v>
      </c>
      <c r="AX688" s="2"/>
      <c r="AY688" s="2"/>
      <c r="AZ688" s="1"/>
      <c r="BA688" s="2"/>
      <c r="BB688" s="3">
        <v>185</v>
      </c>
      <c r="BC688" s="3">
        <v>193</v>
      </c>
      <c r="BD688" s="2"/>
      <c r="BE688" s="1"/>
      <c r="BF688" s="1"/>
      <c r="BG688" s="1"/>
      <c r="BH688" s="1"/>
      <c r="BI688" s="1"/>
      <c r="BJ688" s="1"/>
      <c r="BK688" s="1"/>
      <c r="BL688" s="1"/>
      <c r="BM688" s="1"/>
      <c r="BN688" s="2"/>
      <c r="BO688" s="1"/>
      <c r="BP688" s="1"/>
      <c r="BQ688" s="1"/>
      <c r="BR688" s="1"/>
      <c r="BS688" s="1" t="s">
        <v>5813</v>
      </c>
      <c r="BT688" s="5">
        <f>HYPERLINK("https%3A%2F%2Fwww.webofscience.com%2Fwos%2Fwoscc%2Ffull-record%2FWOS:000408714500006","View Full Record in Web of Science")</f>
      </c>
    </row>
    <row x14ac:dyDescent="0.25" r="689" customHeight="1" ht="12.75">
      <c r="A689" s="1" t="s">
        <v>303</v>
      </c>
      <c r="B689" s="1" t="s">
        <v>5814</v>
      </c>
      <c r="C689" s="1"/>
      <c r="D689" s="1" t="s">
        <v>1279</v>
      </c>
      <c r="E689" s="1"/>
      <c r="F689" s="1" t="s">
        <v>5815</v>
      </c>
      <c r="G689" s="1"/>
      <c r="H689" s="1"/>
      <c r="I689" s="1" t="s">
        <v>5816</v>
      </c>
      <c r="J689" s="1" t="s">
        <v>5817</v>
      </c>
      <c r="K689" s="1" t="s">
        <v>1283</v>
      </c>
      <c r="L689" s="1"/>
      <c r="M689" s="1"/>
      <c r="N689" s="1"/>
      <c r="O689" s="1" t="s">
        <v>5818</v>
      </c>
      <c r="P689" s="2" t="s">
        <v>5819</v>
      </c>
      <c r="Q689" s="1" t="s">
        <v>1286</v>
      </c>
      <c r="R689" s="1"/>
      <c r="S689" s="1"/>
      <c r="T689" s="1"/>
      <c r="U689" s="1"/>
      <c r="V689" s="1" t="s">
        <v>5820</v>
      </c>
      <c r="W689" s="1"/>
      <c r="X689" s="1"/>
      <c r="Y689" s="1"/>
      <c r="Z689" s="1"/>
      <c r="AA689" s="1" t="s">
        <v>2205</v>
      </c>
      <c r="AB689" s="1"/>
      <c r="AC689" s="1"/>
      <c r="AD689" s="1"/>
      <c r="AE689" s="1"/>
      <c r="AF689" s="1"/>
      <c r="AG689" s="1"/>
      <c r="AH689" s="1"/>
      <c r="AI689" s="1"/>
      <c r="AJ689" s="1"/>
      <c r="AK689" s="1"/>
      <c r="AL689" s="1"/>
      <c r="AM689" s="1"/>
      <c r="AN689" s="1"/>
      <c r="AO689" s="1" t="s">
        <v>1289</v>
      </c>
      <c r="AP689" s="1"/>
      <c r="AQ689" s="1" t="s">
        <v>5821</v>
      </c>
      <c r="AR689" s="1"/>
      <c r="AS689" s="1"/>
      <c r="AT689" s="1"/>
      <c r="AU689" s="3">
        <v>2017</v>
      </c>
      <c r="AV689" s="2"/>
      <c r="AW689" s="2"/>
      <c r="AX689" s="2"/>
      <c r="AY689" s="2"/>
      <c r="AZ689" s="1"/>
      <c r="BA689" s="2"/>
      <c r="BB689" s="3">
        <v>6547</v>
      </c>
      <c r="BC689" s="3">
        <v>6554</v>
      </c>
      <c r="BD689" s="2"/>
      <c r="BE689" s="1"/>
      <c r="BF689" s="1"/>
      <c r="BG689" s="1"/>
      <c r="BH689" s="1"/>
      <c r="BI689" s="1"/>
      <c r="BJ689" s="1"/>
      <c r="BK689" s="1"/>
      <c r="BL689" s="1"/>
      <c r="BM689" s="1"/>
      <c r="BN689" s="2"/>
      <c r="BO689" s="1"/>
      <c r="BP689" s="1"/>
      <c r="BQ689" s="1"/>
      <c r="BR689" s="1"/>
      <c r="BS689" s="1" t="s">
        <v>5822</v>
      </c>
      <c r="BT689" s="5">
        <f>HYPERLINK("https%3A%2F%2Fwww.webofscience.com%2Fwos%2Fwoscc%2Ffull-record%2FWOS:000429975306094","View Full Record in Web of Science")</f>
      </c>
    </row>
    <row x14ac:dyDescent="0.25" r="690" customHeight="1" ht="12.75">
      <c r="A690" s="1" t="s">
        <v>72</v>
      </c>
      <c r="B690" s="1" t="s">
        <v>5823</v>
      </c>
      <c r="C690" s="1"/>
      <c r="D690" s="1"/>
      <c r="E690" s="1"/>
      <c r="F690" s="1" t="s">
        <v>5824</v>
      </c>
      <c r="G690" s="1"/>
      <c r="H690" s="1"/>
      <c r="I690" s="1" t="s">
        <v>5825</v>
      </c>
      <c r="J690" s="1" t="s">
        <v>5826</v>
      </c>
      <c r="K690" s="1"/>
      <c r="L690" s="1"/>
      <c r="M690" s="1"/>
      <c r="N690" s="1"/>
      <c r="O690" s="1"/>
      <c r="P690" s="2"/>
      <c r="Q690" s="1"/>
      <c r="R690" s="1"/>
      <c r="S690" s="1"/>
      <c r="T690" s="1"/>
      <c r="U690" s="1"/>
      <c r="V690" s="1" t="s">
        <v>5827</v>
      </c>
      <c r="W690" s="1"/>
      <c r="X690" s="1"/>
      <c r="Y690" s="1"/>
      <c r="Z690" s="1"/>
      <c r="AA690" s="1" t="s">
        <v>5811</v>
      </c>
      <c r="AB690" s="1" t="s">
        <v>5249</v>
      </c>
      <c r="AC690" s="1"/>
      <c r="AD690" s="1"/>
      <c r="AE690" s="1"/>
      <c r="AF690" s="1"/>
      <c r="AG690" s="1"/>
      <c r="AH690" s="1"/>
      <c r="AI690" s="1"/>
      <c r="AJ690" s="1"/>
      <c r="AK690" s="1"/>
      <c r="AL690" s="1"/>
      <c r="AM690" s="1"/>
      <c r="AN690" s="1"/>
      <c r="AO690" s="1" t="s">
        <v>5828</v>
      </c>
      <c r="AP690" s="1" t="s">
        <v>5829</v>
      </c>
      <c r="AQ690" s="1"/>
      <c r="AR690" s="1"/>
      <c r="AS690" s="1"/>
      <c r="AT690" s="1"/>
      <c r="AU690" s="3">
        <v>2016</v>
      </c>
      <c r="AV690" s="3">
        <v>42</v>
      </c>
      <c r="AW690" s="3">
        <v>4</v>
      </c>
      <c r="AX690" s="2"/>
      <c r="AY690" s="2"/>
      <c r="AZ690" s="1"/>
      <c r="BA690" s="2"/>
      <c r="BB690" s="3">
        <v>338</v>
      </c>
      <c r="BC690" s="3">
        <v>352</v>
      </c>
      <c r="BD690" s="2"/>
      <c r="BE690" s="1" t="s">
        <v>5830</v>
      </c>
      <c r="BF690" s="4">
        <f>HYPERLINK("http://dx.doi.org/10.1080/0092623X.2015.1053018","http://dx.doi.org/10.1080/0092623X.2015.1053018")</f>
      </c>
      <c r="BG690" s="1"/>
      <c r="BH690" s="1"/>
      <c r="BI690" s="1"/>
      <c r="BJ690" s="1"/>
      <c r="BK690" s="1"/>
      <c r="BL690" s="1"/>
      <c r="BM690" s="1"/>
      <c r="BN690" s="3">
        <v>26020732</v>
      </c>
      <c r="BO690" s="1"/>
      <c r="BP690" s="1"/>
      <c r="BQ690" s="1"/>
      <c r="BR690" s="1"/>
      <c r="BS690" s="1" t="s">
        <v>5831</v>
      </c>
      <c r="BT690" s="5">
        <f>HYPERLINK("https%3A%2F%2Fwww.webofscience.com%2Fwos%2Fwoscc%2Ffull-record%2FWOS:000378138900006","View Full Record in Web of Science")</f>
      </c>
    </row>
    <row x14ac:dyDescent="0.25" r="691" customHeight="1" ht="12.75">
      <c r="A691" s="1" t="s">
        <v>72</v>
      </c>
      <c r="B691" s="1" t="s">
        <v>5832</v>
      </c>
      <c r="C691" s="1"/>
      <c r="D691" s="1"/>
      <c r="E691" s="1"/>
      <c r="F691" s="1" t="s">
        <v>5833</v>
      </c>
      <c r="G691" s="1"/>
      <c r="H691" s="1"/>
      <c r="I691" s="1" t="s">
        <v>5834</v>
      </c>
      <c r="J691" s="1" t="s">
        <v>5835</v>
      </c>
      <c r="K691" s="1"/>
      <c r="L691" s="1"/>
      <c r="M691" s="1"/>
      <c r="N691" s="1"/>
      <c r="O691" s="1"/>
      <c r="P691" s="2"/>
      <c r="Q691" s="1"/>
      <c r="R691" s="1"/>
      <c r="S691" s="1"/>
      <c r="T691" s="1"/>
      <c r="U691" s="1"/>
      <c r="V691" s="1" t="s">
        <v>5836</v>
      </c>
      <c r="W691" s="1"/>
      <c r="X691" s="1"/>
      <c r="Y691" s="1"/>
      <c r="Z691" s="1"/>
      <c r="AA691" s="1" t="s">
        <v>5837</v>
      </c>
      <c r="AB691" s="1"/>
      <c r="AC691" s="1"/>
      <c r="AD691" s="1"/>
      <c r="AE691" s="1"/>
      <c r="AF691" s="1"/>
      <c r="AG691" s="1"/>
      <c r="AH691" s="1"/>
      <c r="AI691" s="1"/>
      <c r="AJ691" s="1"/>
      <c r="AK691" s="1"/>
      <c r="AL691" s="1"/>
      <c r="AM691" s="1"/>
      <c r="AN691" s="1"/>
      <c r="AO691" s="1" t="s">
        <v>5838</v>
      </c>
      <c r="AP691" s="1"/>
      <c r="AQ691" s="1"/>
      <c r="AR691" s="1"/>
      <c r="AS691" s="1"/>
      <c r="AT691" s="1"/>
      <c r="AU691" s="3">
        <v>2016</v>
      </c>
      <c r="AV691" s="3">
        <v>36</v>
      </c>
      <c r="AW691" s="3">
        <v>2</v>
      </c>
      <c r="AX691" s="2"/>
      <c r="AY691" s="2"/>
      <c r="AZ691" s="1"/>
      <c r="BA691" s="2"/>
      <c r="BB691" s="3">
        <v>541</v>
      </c>
      <c r="BC691" s="3">
        <v>561</v>
      </c>
      <c r="BD691" s="2"/>
      <c r="BE691" s="1"/>
      <c r="BF691" s="1"/>
      <c r="BG691" s="1"/>
      <c r="BH691" s="1"/>
      <c r="BI691" s="1"/>
      <c r="BJ691" s="1"/>
      <c r="BK691" s="1"/>
      <c r="BL691" s="1"/>
      <c r="BM691" s="1"/>
      <c r="BN691" s="2"/>
      <c r="BO691" s="1"/>
      <c r="BP691" s="1"/>
      <c r="BQ691" s="1"/>
      <c r="BR691" s="1"/>
      <c r="BS691" s="1" t="s">
        <v>5839</v>
      </c>
      <c r="BT691" s="5">
        <f>HYPERLINK("https%3A%2F%2Fwww.webofscience.com%2Fwos%2Fwoscc%2Ffull-record%2FWOS:000384779900007","View Full Record in Web of Science")</f>
      </c>
    </row>
    <row x14ac:dyDescent="0.25" r="692" customHeight="1" ht="12.75">
      <c r="A692" s="1" t="s">
        <v>303</v>
      </c>
      <c r="B692" s="1" t="s">
        <v>5840</v>
      </c>
      <c r="C692" s="1"/>
      <c r="D692" s="1"/>
      <c r="E692" s="1" t="s">
        <v>305</v>
      </c>
      <c r="F692" s="1" t="s">
        <v>5841</v>
      </c>
      <c r="G692" s="1"/>
      <c r="H692" s="1"/>
      <c r="I692" s="1" t="s">
        <v>5842</v>
      </c>
      <c r="J692" s="1" t="s">
        <v>5036</v>
      </c>
      <c r="K692" s="1"/>
      <c r="L692" s="1"/>
      <c r="M692" s="1"/>
      <c r="N692" s="1"/>
      <c r="O692" s="1" t="s">
        <v>5037</v>
      </c>
      <c r="P692" s="2" t="s">
        <v>5038</v>
      </c>
      <c r="Q692" s="1" t="s">
        <v>5039</v>
      </c>
      <c r="R692" s="1" t="s">
        <v>305</v>
      </c>
      <c r="S692" s="1" t="s">
        <v>5040</v>
      </c>
      <c r="T692" s="1"/>
      <c r="U692" s="1"/>
      <c r="V692" s="1" t="s">
        <v>5843</v>
      </c>
      <c r="W692" s="1"/>
      <c r="X692" s="1"/>
      <c r="Y692" s="1"/>
      <c r="Z692" s="1"/>
      <c r="AA692" s="1"/>
      <c r="AB692" s="1"/>
      <c r="AC692" s="1"/>
      <c r="AD692" s="1"/>
      <c r="AE692" s="1"/>
      <c r="AF692" s="1"/>
      <c r="AG692" s="1"/>
      <c r="AH692" s="1"/>
      <c r="AI692" s="1"/>
      <c r="AJ692" s="1"/>
      <c r="AK692" s="1"/>
      <c r="AL692" s="1"/>
      <c r="AM692" s="1"/>
      <c r="AN692" s="1"/>
      <c r="AO692" s="1"/>
      <c r="AP692" s="1"/>
      <c r="AQ692" s="1" t="s">
        <v>5042</v>
      </c>
      <c r="AR692" s="1"/>
      <c r="AS692" s="1"/>
      <c r="AT692" s="1"/>
      <c r="AU692" s="3">
        <v>2016</v>
      </c>
      <c r="AV692" s="2"/>
      <c r="AW692" s="2"/>
      <c r="AX692" s="2"/>
      <c r="AY692" s="2"/>
      <c r="AZ692" s="1"/>
      <c r="BA692" s="2"/>
      <c r="BB692" s="2"/>
      <c r="BC692" s="2"/>
      <c r="BD692" s="2"/>
      <c r="BE692" s="1"/>
      <c r="BF692" s="1"/>
      <c r="BG692" s="1"/>
      <c r="BH692" s="1"/>
      <c r="BI692" s="1"/>
      <c r="BJ692" s="1"/>
      <c r="BK692" s="1"/>
      <c r="BL692" s="1"/>
      <c r="BM692" s="1"/>
      <c r="BN692" s="2"/>
      <c r="BO692" s="1"/>
      <c r="BP692" s="1"/>
      <c r="BQ692" s="1"/>
      <c r="BR692" s="1"/>
      <c r="BS692" s="1" t="s">
        <v>5844</v>
      </c>
      <c r="BT692" s="5">
        <f>HYPERLINK("https%3A%2F%2Fwww.webofscience.com%2Fwos%2Fwoscc%2Ffull-record%2FWOS:000390556300089","View Full Record in Web of Science")</f>
      </c>
    </row>
    <row x14ac:dyDescent="0.25" r="693" customHeight="1" ht="12.75">
      <c r="A693" s="1" t="s">
        <v>303</v>
      </c>
      <c r="B693" s="1" t="s">
        <v>5845</v>
      </c>
      <c r="C693" s="1"/>
      <c r="D693" s="1" t="s">
        <v>5846</v>
      </c>
      <c r="E693" s="1"/>
      <c r="F693" s="1" t="s">
        <v>5847</v>
      </c>
      <c r="G693" s="1"/>
      <c r="H693" s="1"/>
      <c r="I693" s="1" t="s">
        <v>5848</v>
      </c>
      <c r="J693" s="1" t="s">
        <v>5849</v>
      </c>
      <c r="K693" s="1"/>
      <c r="L693" s="1"/>
      <c r="M693" s="1"/>
      <c r="N693" s="1"/>
      <c r="O693" s="1" t="s">
        <v>5850</v>
      </c>
      <c r="P693" s="2" t="s">
        <v>5851</v>
      </c>
      <c r="Q693" s="1" t="s">
        <v>5852</v>
      </c>
      <c r="R693" s="1" t="s">
        <v>5853</v>
      </c>
      <c r="S693" s="1"/>
      <c r="T693" s="1"/>
      <c r="U693" s="1"/>
      <c r="V693" s="1" t="s">
        <v>5854</v>
      </c>
      <c r="W693" s="1"/>
      <c r="X693" s="1"/>
      <c r="Y693" s="1"/>
      <c r="Z693" s="1"/>
      <c r="AA693" s="1" t="s">
        <v>5855</v>
      </c>
      <c r="AB693" s="1" t="s">
        <v>5856</v>
      </c>
      <c r="AC693" s="1"/>
      <c r="AD693" s="1"/>
      <c r="AE693" s="1"/>
      <c r="AF693" s="1"/>
      <c r="AG693" s="1"/>
      <c r="AH693" s="1"/>
      <c r="AI693" s="1"/>
      <c r="AJ693" s="1"/>
      <c r="AK693" s="1"/>
      <c r="AL693" s="1"/>
      <c r="AM693" s="1"/>
      <c r="AN693" s="1"/>
      <c r="AO693" s="1"/>
      <c r="AP693" s="1"/>
      <c r="AQ693" s="1" t="s">
        <v>5857</v>
      </c>
      <c r="AR693" s="1"/>
      <c r="AS693" s="1"/>
      <c r="AT693" s="1"/>
      <c r="AU693" s="3">
        <v>2016</v>
      </c>
      <c r="AV693" s="2"/>
      <c r="AW693" s="2"/>
      <c r="AX693" s="2"/>
      <c r="AY693" s="2"/>
      <c r="AZ693" s="1"/>
      <c r="BA693" s="2"/>
      <c r="BB693" s="3">
        <v>165</v>
      </c>
      <c r="BC693" s="3">
        <v>172</v>
      </c>
      <c r="BD693" s="2"/>
      <c r="BE693" s="1"/>
      <c r="BF693" s="1"/>
      <c r="BG693" s="1"/>
      <c r="BH693" s="1"/>
      <c r="BI693" s="1"/>
      <c r="BJ693" s="1"/>
      <c r="BK693" s="1"/>
      <c r="BL693" s="1"/>
      <c r="BM693" s="1"/>
      <c r="BN693" s="2"/>
      <c r="BO693" s="1"/>
      <c r="BP693" s="1"/>
      <c r="BQ693" s="1"/>
      <c r="BR693" s="1"/>
      <c r="BS693" s="1" t="s">
        <v>5858</v>
      </c>
      <c r="BT693" s="5">
        <f>HYPERLINK("https%3A%2F%2Fwww.webofscience.com%2Fwos%2Fwoscc%2Ffull-record%2FWOS:000391251000026","View Full Record in Web of Science")</f>
      </c>
    </row>
    <row x14ac:dyDescent="0.25" r="694" customHeight="1" ht="12.75">
      <c r="A694" s="1" t="s">
        <v>303</v>
      </c>
      <c r="B694" s="1" t="s">
        <v>5859</v>
      </c>
      <c r="C694" s="1"/>
      <c r="D694" s="1" t="s">
        <v>5860</v>
      </c>
      <c r="E694" s="1"/>
      <c r="F694" s="1" t="s">
        <v>5861</v>
      </c>
      <c r="G694" s="1"/>
      <c r="H694" s="1"/>
      <c r="I694" s="1" t="s">
        <v>5862</v>
      </c>
      <c r="J694" s="1" t="s">
        <v>5863</v>
      </c>
      <c r="K694" s="1" t="s">
        <v>5864</v>
      </c>
      <c r="L694" s="1"/>
      <c r="M694" s="1"/>
      <c r="N694" s="1"/>
      <c r="O694" s="1" t="s">
        <v>5865</v>
      </c>
      <c r="P694" s="2" t="s">
        <v>5866</v>
      </c>
      <c r="Q694" s="1" t="s">
        <v>5867</v>
      </c>
      <c r="R694" s="1" t="s">
        <v>5868</v>
      </c>
      <c r="S694" s="1"/>
      <c r="T694" s="1"/>
      <c r="U694" s="1"/>
      <c r="V694" s="1" t="s">
        <v>5869</v>
      </c>
      <c r="W694" s="1"/>
      <c r="X694" s="1"/>
      <c r="Y694" s="1"/>
      <c r="Z694" s="1"/>
      <c r="AA694" s="1" t="s">
        <v>5870</v>
      </c>
      <c r="AB694" s="1" t="s">
        <v>5871</v>
      </c>
      <c r="AC694" s="1"/>
      <c r="AD694" s="1"/>
      <c r="AE694" s="1"/>
      <c r="AF694" s="1"/>
      <c r="AG694" s="1"/>
      <c r="AH694" s="1"/>
      <c r="AI694" s="1"/>
      <c r="AJ694" s="1"/>
      <c r="AK694" s="1"/>
      <c r="AL694" s="1"/>
      <c r="AM694" s="1"/>
      <c r="AN694" s="1"/>
      <c r="AO694" s="1" t="s">
        <v>5872</v>
      </c>
      <c r="AP694" s="1"/>
      <c r="AQ694" s="1"/>
      <c r="AR694" s="1"/>
      <c r="AS694" s="1"/>
      <c r="AT694" s="1"/>
      <c r="AU694" s="3">
        <v>2015</v>
      </c>
      <c r="AV694" s="3">
        <v>55</v>
      </c>
      <c r="AW694" s="2"/>
      <c r="AX694" s="2"/>
      <c r="AY694" s="2"/>
      <c r="AZ694" s="1"/>
      <c r="BA694" s="2"/>
      <c r="BB694" s="3">
        <v>1240</v>
      </c>
      <c r="BC694" s="3">
        <v>1249</v>
      </c>
      <c r="BD694" s="2"/>
      <c r="BE694" s="1" t="s">
        <v>5873</v>
      </c>
      <c r="BF694" s="4">
        <f>HYPERLINK("http://dx.doi.org/10.1016/j.procs.2015.07.132","http://dx.doi.org/10.1016/j.procs.2015.07.132")</f>
      </c>
      <c r="BG694" s="1"/>
      <c r="BH694" s="1"/>
      <c r="BI694" s="1"/>
      <c r="BJ694" s="1"/>
      <c r="BK694" s="1"/>
      <c r="BL694" s="1"/>
      <c r="BM694" s="1"/>
      <c r="BN694" s="2"/>
      <c r="BO694" s="1"/>
      <c r="BP694" s="1"/>
      <c r="BQ694" s="1"/>
      <c r="BR694" s="1"/>
      <c r="BS694" s="1" t="s">
        <v>5874</v>
      </c>
      <c r="BT694" s="5">
        <f>HYPERLINK("https%3A%2F%2Fwww.webofscience.com%2Fwos%2Fwoscc%2Ffull-record%2FWOS:000360101400139","View Full Record in Web of Science")</f>
      </c>
    </row>
    <row x14ac:dyDescent="0.25" r="695" customHeight="1" ht="12.75">
      <c r="A695" s="1" t="s">
        <v>72</v>
      </c>
      <c r="B695" s="1" t="s">
        <v>5875</v>
      </c>
      <c r="C695" s="1"/>
      <c r="D695" s="1"/>
      <c r="E695" s="1"/>
      <c r="F695" s="1" t="s">
        <v>5876</v>
      </c>
      <c r="G695" s="1"/>
      <c r="H695" s="1"/>
      <c r="I695" s="1" t="s">
        <v>5877</v>
      </c>
      <c r="J695" s="1" t="s">
        <v>5878</v>
      </c>
      <c r="K695" s="1"/>
      <c r="L695" s="1"/>
      <c r="M695" s="1"/>
      <c r="N695" s="1"/>
      <c r="O695" s="1"/>
      <c r="P695" s="2"/>
      <c r="Q695" s="1"/>
      <c r="R695" s="1"/>
      <c r="S695" s="1"/>
      <c r="T695" s="1"/>
      <c r="U695" s="1"/>
      <c r="V695" s="1" t="s">
        <v>5879</v>
      </c>
      <c r="W695" s="1"/>
      <c r="X695" s="1"/>
      <c r="Y695" s="1"/>
      <c r="Z695" s="1"/>
      <c r="AA695" s="1"/>
      <c r="AB695" s="1" t="s">
        <v>5880</v>
      </c>
      <c r="AC695" s="1"/>
      <c r="AD695" s="1"/>
      <c r="AE695" s="1"/>
      <c r="AF695" s="1"/>
      <c r="AG695" s="1"/>
      <c r="AH695" s="1"/>
      <c r="AI695" s="1"/>
      <c r="AJ695" s="1"/>
      <c r="AK695" s="1"/>
      <c r="AL695" s="1"/>
      <c r="AM695" s="1"/>
      <c r="AN695" s="1"/>
      <c r="AO695" s="1" t="s">
        <v>4303</v>
      </c>
      <c r="AP695" s="1"/>
      <c r="AQ695" s="1"/>
      <c r="AR695" s="1"/>
      <c r="AS695" s="1"/>
      <c r="AT695" s="1" t="s">
        <v>204</v>
      </c>
      <c r="AU695" s="3">
        <v>2014</v>
      </c>
      <c r="AV695" s="2"/>
      <c r="AW695" s="3">
        <v>39</v>
      </c>
      <c r="AX695" s="2"/>
      <c r="AY695" s="2"/>
      <c r="AZ695" s="1"/>
      <c r="BA695" s="2"/>
      <c r="BB695" s="3">
        <v>177</v>
      </c>
      <c r="BC695" s="3">
        <v>187</v>
      </c>
      <c r="BD695" s="2"/>
      <c r="BE695" s="1" t="s">
        <v>5881</v>
      </c>
      <c r="BF695" s="4">
        <f>HYPERLINK("http://dx.doi.org/10.4067/S0718-22012014000200012","http://dx.doi.org/10.4067/S0718-22012014000200012")</f>
      </c>
      <c r="BG695" s="1"/>
      <c r="BH695" s="1"/>
      <c r="BI695" s="1"/>
      <c r="BJ695" s="1"/>
      <c r="BK695" s="1"/>
      <c r="BL695" s="1"/>
      <c r="BM695" s="1"/>
      <c r="BN695" s="2"/>
      <c r="BO695" s="1"/>
      <c r="BP695" s="1"/>
      <c r="BQ695" s="1"/>
      <c r="BR695" s="1"/>
      <c r="BS695" s="1" t="s">
        <v>5882</v>
      </c>
      <c r="BT695" s="5">
        <f>HYPERLINK("https%3A%2F%2Fwww.webofscience.com%2Fwos%2Fwoscc%2Ffull-record%2FWOS:000348909300012","View Full Record in Web of Science")</f>
      </c>
    </row>
    <row x14ac:dyDescent="0.25" r="696" customHeight="1" ht="12.75">
      <c r="A696" s="1" t="s">
        <v>72</v>
      </c>
      <c r="B696" s="1" t="s">
        <v>5883</v>
      </c>
      <c r="C696" s="1"/>
      <c r="D696" s="1"/>
      <c r="E696" s="1"/>
      <c r="F696" s="1" t="s">
        <v>5884</v>
      </c>
      <c r="G696" s="1"/>
      <c r="H696" s="1"/>
      <c r="I696" s="1" t="s">
        <v>5885</v>
      </c>
      <c r="J696" s="1" t="s">
        <v>5886</v>
      </c>
      <c r="K696" s="1"/>
      <c r="L696" s="1"/>
      <c r="M696" s="1"/>
      <c r="N696" s="1"/>
      <c r="O696" s="1"/>
      <c r="P696" s="2"/>
      <c r="Q696" s="1"/>
      <c r="R696" s="1"/>
      <c r="S696" s="1"/>
      <c r="T696" s="1"/>
      <c r="U696" s="1"/>
      <c r="V696" s="1" t="s">
        <v>5887</v>
      </c>
      <c r="W696" s="1"/>
      <c r="X696" s="1"/>
      <c r="Y696" s="1"/>
      <c r="Z696" s="1"/>
      <c r="AA696" s="1" t="s">
        <v>472</v>
      </c>
      <c r="AB696" s="1" t="s">
        <v>473</v>
      </c>
      <c r="AC696" s="1"/>
      <c r="AD696" s="1"/>
      <c r="AE696" s="1"/>
      <c r="AF696" s="1"/>
      <c r="AG696" s="1"/>
      <c r="AH696" s="1"/>
      <c r="AI696" s="1"/>
      <c r="AJ696" s="1"/>
      <c r="AK696" s="1"/>
      <c r="AL696" s="1"/>
      <c r="AM696" s="1"/>
      <c r="AN696" s="1"/>
      <c r="AO696" s="1" t="s">
        <v>5888</v>
      </c>
      <c r="AP696" s="1" t="s">
        <v>5889</v>
      </c>
      <c r="AQ696" s="1"/>
      <c r="AR696" s="1"/>
      <c r="AS696" s="1"/>
      <c r="AT696" s="1" t="s">
        <v>204</v>
      </c>
      <c r="AU696" s="3">
        <v>2014</v>
      </c>
      <c r="AV696" s="3">
        <v>174</v>
      </c>
      <c r="AW696" s="2"/>
      <c r="AX696" s="2"/>
      <c r="AY696" s="2"/>
      <c r="AZ696" s="1"/>
      <c r="BA696" s="2"/>
      <c r="BB696" s="3">
        <v>33</v>
      </c>
      <c r="BC696" s="3">
        <v>41</v>
      </c>
      <c r="BD696" s="2"/>
      <c r="BE696" s="1" t="s">
        <v>5890</v>
      </c>
      <c r="BF696" s="4">
        <f>HYPERLINK("http://dx.doi.org/10.1016/j.biortech.2014.09.136","http://dx.doi.org/10.1016/j.biortech.2014.09.136")</f>
      </c>
      <c r="BG696" s="1"/>
      <c r="BH696" s="1"/>
      <c r="BI696" s="1"/>
      <c r="BJ696" s="1"/>
      <c r="BK696" s="1"/>
      <c r="BL696" s="1"/>
      <c r="BM696" s="1"/>
      <c r="BN696" s="3">
        <v>25463779</v>
      </c>
      <c r="BO696" s="1"/>
      <c r="BP696" s="1"/>
      <c r="BQ696" s="1"/>
      <c r="BR696" s="1"/>
      <c r="BS696" s="1" t="s">
        <v>5891</v>
      </c>
      <c r="BT696" s="5">
        <f>HYPERLINK("https%3A%2F%2Fwww.webofscience.com%2Fwos%2Fwoscc%2Ffull-record%2FWOS:000345014900005","View Full Record in Web of Science")</f>
      </c>
    </row>
    <row x14ac:dyDescent="0.25" r="697" customHeight="1" ht="12.75">
      <c r="A697" s="1" t="s">
        <v>72</v>
      </c>
      <c r="B697" s="1" t="s">
        <v>5892</v>
      </c>
      <c r="C697" s="1"/>
      <c r="D697" s="1"/>
      <c r="E697" s="1"/>
      <c r="F697" s="1" t="s">
        <v>5893</v>
      </c>
      <c r="G697" s="1"/>
      <c r="H697" s="1"/>
      <c r="I697" s="1" t="s">
        <v>5894</v>
      </c>
      <c r="J697" s="1" t="s">
        <v>1507</v>
      </c>
      <c r="K697" s="1"/>
      <c r="L697" s="1"/>
      <c r="M697" s="1"/>
      <c r="N697" s="1"/>
      <c r="O697" s="1"/>
      <c r="P697" s="2"/>
      <c r="Q697" s="1"/>
      <c r="R697" s="1"/>
      <c r="S697" s="1"/>
      <c r="T697" s="1"/>
      <c r="U697" s="1"/>
      <c r="V697" s="1" t="s">
        <v>5895</v>
      </c>
      <c r="W697" s="1"/>
      <c r="X697" s="1"/>
      <c r="Y697" s="1"/>
      <c r="Z697" s="1"/>
      <c r="AA697" s="1" t="s">
        <v>5896</v>
      </c>
      <c r="AB697" s="1" t="s">
        <v>5897</v>
      </c>
      <c r="AC697" s="1"/>
      <c r="AD697" s="1"/>
      <c r="AE697" s="1"/>
      <c r="AF697" s="1"/>
      <c r="AG697" s="1"/>
      <c r="AH697" s="1"/>
      <c r="AI697" s="1"/>
      <c r="AJ697" s="1"/>
      <c r="AK697" s="1"/>
      <c r="AL697" s="1"/>
      <c r="AM697" s="1"/>
      <c r="AN697" s="1"/>
      <c r="AO697" s="1" t="s">
        <v>2886</v>
      </c>
      <c r="AP697" s="1"/>
      <c r="AQ697" s="1"/>
      <c r="AR697" s="1"/>
      <c r="AS697" s="1"/>
      <c r="AT697" s="1" t="s">
        <v>126</v>
      </c>
      <c r="AU697" s="3">
        <v>2014</v>
      </c>
      <c r="AV697" s="3">
        <v>59</v>
      </c>
      <c r="AW697" s="3">
        <v>2</v>
      </c>
      <c r="AX697" s="2"/>
      <c r="AY697" s="2"/>
      <c r="AZ697" s="1"/>
      <c r="BA697" s="2"/>
      <c r="BB697" s="3">
        <v>2529</v>
      </c>
      <c r="BC697" s="3">
        <v>2530</v>
      </c>
      <c r="BD697" s="2"/>
      <c r="BE697" s="1" t="s">
        <v>5898</v>
      </c>
      <c r="BF697" s="4">
        <f>HYPERLINK("http://dx.doi.org/10.4067/S0717-97072014000200030","http://dx.doi.org/10.4067/S0717-97072014000200030")</f>
      </c>
      <c r="BG697" s="1"/>
      <c r="BH697" s="1"/>
      <c r="BI697" s="1"/>
      <c r="BJ697" s="1"/>
      <c r="BK697" s="1"/>
      <c r="BL697" s="1"/>
      <c r="BM697" s="1"/>
      <c r="BN697" s="2"/>
      <c r="BO697" s="1"/>
      <c r="BP697" s="1"/>
      <c r="BQ697" s="1"/>
      <c r="BR697" s="1"/>
      <c r="BS697" s="1" t="s">
        <v>5899</v>
      </c>
      <c r="BT697" s="5">
        <f>HYPERLINK("https%3A%2F%2Fwww.webofscience.com%2Fwos%2Fwoscc%2Ffull-record%2FWOS:000342613100030","View Full Record in Web of Science")</f>
      </c>
    </row>
    <row x14ac:dyDescent="0.25" r="698" customHeight="1" ht="12.75">
      <c r="A698" s="1" t="s">
        <v>72</v>
      </c>
      <c r="B698" s="1" t="s">
        <v>5900</v>
      </c>
      <c r="C698" s="1"/>
      <c r="D698" s="1"/>
      <c r="E698" s="1"/>
      <c r="F698" s="1" t="s">
        <v>5901</v>
      </c>
      <c r="G698" s="1"/>
      <c r="H698" s="1"/>
      <c r="I698" s="1" t="s">
        <v>5902</v>
      </c>
      <c r="J698" s="1" t="s">
        <v>2255</v>
      </c>
      <c r="K698" s="1"/>
      <c r="L698" s="1"/>
      <c r="M698" s="1"/>
      <c r="N698" s="1"/>
      <c r="O698" s="1" t="s">
        <v>5903</v>
      </c>
      <c r="P698" s="2" t="s">
        <v>5904</v>
      </c>
      <c r="Q698" s="1" t="s">
        <v>5905</v>
      </c>
      <c r="R698" s="1"/>
      <c r="S698" s="1"/>
      <c r="T698" s="1"/>
      <c r="U698" s="1"/>
      <c r="V698" s="1" t="s">
        <v>5906</v>
      </c>
      <c r="W698" s="1"/>
      <c r="X698" s="1"/>
      <c r="Y698" s="1"/>
      <c r="Z698" s="1"/>
      <c r="AA698" s="1" t="s">
        <v>5907</v>
      </c>
      <c r="AB698" s="1" t="s">
        <v>5908</v>
      </c>
      <c r="AC698" s="1"/>
      <c r="AD698" s="1"/>
      <c r="AE698" s="1"/>
      <c r="AF698" s="1"/>
      <c r="AG698" s="1"/>
      <c r="AH698" s="1"/>
      <c r="AI698" s="1"/>
      <c r="AJ698" s="1"/>
      <c r="AK698" s="1"/>
      <c r="AL698" s="1"/>
      <c r="AM698" s="1"/>
      <c r="AN698" s="1"/>
      <c r="AO698" s="1" t="s">
        <v>2259</v>
      </c>
      <c r="AP698" s="1" t="s">
        <v>2260</v>
      </c>
      <c r="AQ698" s="1"/>
      <c r="AR698" s="1"/>
      <c r="AS698" s="1"/>
      <c r="AT698" s="1" t="s">
        <v>1868</v>
      </c>
      <c r="AU698" s="3">
        <v>2014</v>
      </c>
      <c r="AV698" s="3">
        <v>126</v>
      </c>
      <c r="AW698" s="2"/>
      <c r="AX698" s="2"/>
      <c r="AY698" s="2"/>
      <c r="AZ698" s="1" t="s">
        <v>170</v>
      </c>
      <c r="BA698" s="2"/>
      <c r="BB698" s="3">
        <v>37</v>
      </c>
      <c r="BC698" s="3">
        <v>41</v>
      </c>
      <c r="BD698" s="2"/>
      <c r="BE698" s="1" t="s">
        <v>5909</v>
      </c>
      <c r="BF698" s="4">
        <f>HYPERLINK("http://dx.doi.org/10.1016/j.electacta.2013.07.230","http://dx.doi.org/10.1016/j.electacta.2013.07.230")</f>
      </c>
      <c r="BG698" s="1"/>
      <c r="BH698" s="1"/>
      <c r="BI698" s="1"/>
      <c r="BJ698" s="1"/>
      <c r="BK698" s="1"/>
      <c r="BL698" s="1"/>
      <c r="BM698" s="1"/>
      <c r="BN698" s="2"/>
      <c r="BO698" s="1"/>
      <c r="BP698" s="1"/>
      <c r="BQ698" s="1"/>
      <c r="BR698" s="1"/>
      <c r="BS698" s="1" t="s">
        <v>5910</v>
      </c>
      <c r="BT698" s="5">
        <f>HYPERLINK("https%3A%2F%2Fwww.webofscience.com%2Fwos%2Fwoscc%2Ffull-record%2FWOS:000336340900006","View Full Record in Web of Science")</f>
      </c>
    </row>
    <row x14ac:dyDescent="0.25" r="699" customHeight="1" ht="12.75">
      <c r="A699" s="1" t="s">
        <v>72</v>
      </c>
      <c r="B699" s="1" t="s">
        <v>1168</v>
      </c>
      <c r="C699" s="1"/>
      <c r="D699" s="1"/>
      <c r="E699" s="1"/>
      <c r="F699" s="1" t="s">
        <v>5911</v>
      </c>
      <c r="G699" s="1"/>
      <c r="H699" s="1"/>
      <c r="I699" s="1" t="s">
        <v>5912</v>
      </c>
      <c r="J699" s="1" t="s">
        <v>534</v>
      </c>
      <c r="K699" s="1"/>
      <c r="L699" s="1"/>
      <c r="M699" s="1"/>
      <c r="N699" s="1"/>
      <c r="O699" s="1"/>
      <c r="P699" s="2"/>
      <c r="Q699" s="1"/>
      <c r="R699" s="1"/>
      <c r="S699" s="1"/>
      <c r="T699" s="1"/>
      <c r="U699" s="1"/>
      <c r="V699" s="1" t="s">
        <v>5913</v>
      </c>
      <c r="W699" s="1"/>
      <c r="X699" s="1"/>
      <c r="Y699" s="1"/>
      <c r="Z699" s="1"/>
      <c r="AA699" s="1"/>
      <c r="AB699" s="1"/>
      <c r="AC699" s="1"/>
      <c r="AD699" s="1"/>
      <c r="AE699" s="1"/>
      <c r="AF699" s="1"/>
      <c r="AG699" s="1"/>
      <c r="AH699" s="1"/>
      <c r="AI699" s="1"/>
      <c r="AJ699" s="1"/>
      <c r="AK699" s="1"/>
      <c r="AL699" s="1"/>
      <c r="AM699" s="1"/>
      <c r="AN699" s="1"/>
      <c r="AO699" s="1" t="s">
        <v>536</v>
      </c>
      <c r="AP699" s="1" t="s">
        <v>537</v>
      </c>
      <c r="AQ699" s="1"/>
      <c r="AR699" s="1"/>
      <c r="AS699" s="1"/>
      <c r="AT699" s="1" t="s">
        <v>181</v>
      </c>
      <c r="AU699" s="3">
        <v>2014</v>
      </c>
      <c r="AV699" s="3">
        <v>40</v>
      </c>
      <c r="AW699" s="3">
        <v>1</v>
      </c>
      <c r="AX699" s="2"/>
      <c r="AY699" s="2"/>
      <c r="AZ699" s="1"/>
      <c r="BA699" s="2"/>
      <c r="BB699" s="3">
        <v>169</v>
      </c>
      <c r="BC699" s="3">
        <v>189</v>
      </c>
      <c r="BD699" s="2"/>
      <c r="BE699" s="1"/>
      <c r="BF699" s="1"/>
      <c r="BG699" s="1"/>
      <c r="BH699" s="1"/>
      <c r="BI699" s="1"/>
      <c r="BJ699" s="1"/>
      <c r="BK699" s="1"/>
      <c r="BL699" s="1"/>
      <c r="BM699" s="1"/>
      <c r="BN699" s="2"/>
      <c r="BO699" s="1"/>
      <c r="BP699" s="1"/>
      <c r="BQ699" s="1"/>
      <c r="BR699" s="1"/>
      <c r="BS699" s="1" t="s">
        <v>5914</v>
      </c>
      <c r="BT699" s="5">
        <f>HYPERLINK("https%3A%2F%2Fwww.webofscience.com%2Fwos%2Fwoscc%2Ffull-record%2FWOS:000348413600009","View Full Record in Web of Science")</f>
      </c>
    </row>
    <row x14ac:dyDescent="0.25" r="700" customHeight="1" ht="12.75">
      <c r="A700" s="1" t="s">
        <v>72</v>
      </c>
      <c r="B700" s="1" t="s">
        <v>5915</v>
      </c>
      <c r="C700" s="1"/>
      <c r="D700" s="1"/>
      <c r="E700" s="1"/>
      <c r="F700" s="1" t="s">
        <v>5916</v>
      </c>
      <c r="G700" s="1"/>
      <c r="H700" s="1"/>
      <c r="I700" s="1" t="s">
        <v>5917</v>
      </c>
      <c r="J700" s="1" t="s">
        <v>1507</v>
      </c>
      <c r="K700" s="1"/>
      <c r="L700" s="1"/>
      <c r="M700" s="1"/>
      <c r="N700" s="1"/>
      <c r="O700" s="1"/>
      <c r="P700" s="2"/>
      <c r="Q700" s="1"/>
      <c r="R700" s="1"/>
      <c r="S700" s="1"/>
      <c r="T700" s="1"/>
      <c r="U700" s="1"/>
      <c r="V700" s="1" t="s">
        <v>5918</v>
      </c>
      <c r="W700" s="1"/>
      <c r="X700" s="1"/>
      <c r="Y700" s="1"/>
      <c r="Z700" s="1"/>
      <c r="AA700" s="1"/>
      <c r="AB700" s="1" t="s">
        <v>5919</v>
      </c>
      <c r="AC700" s="1"/>
      <c r="AD700" s="1"/>
      <c r="AE700" s="1"/>
      <c r="AF700" s="1"/>
      <c r="AG700" s="1"/>
      <c r="AH700" s="1"/>
      <c r="AI700" s="1"/>
      <c r="AJ700" s="1"/>
      <c r="AK700" s="1"/>
      <c r="AL700" s="1"/>
      <c r="AM700" s="1"/>
      <c r="AN700" s="1"/>
      <c r="AO700" s="1" t="s">
        <v>2886</v>
      </c>
      <c r="AP700" s="1"/>
      <c r="AQ700" s="1"/>
      <c r="AR700" s="1"/>
      <c r="AS700" s="1"/>
      <c r="AT700" s="1" t="s">
        <v>204</v>
      </c>
      <c r="AU700" s="3">
        <v>2013</v>
      </c>
      <c r="AV700" s="3">
        <v>58</v>
      </c>
      <c r="AW700" s="3">
        <v>4</v>
      </c>
      <c r="AX700" s="2"/>
      <c r="AY700" s="2"/>
      <c r="AZ700" s="1"/>
      <c r="BA700" s="2"/>
      <c r="BB700" s="3">
        <v>2005</v>
      </c>
      <c r="BC700" s="3">
        <v>2010</v>
      </c>
      <c r="BD700" s="2"/>
      <c r="BE700" s="1" t="s">
        <v>5920</v>
      </c>
      <c r="BF700" s="4">
        <f>HYPERLINK("http://dx.doi.org/10.4067/S0717-97072013000400022","http://dx.doi.org/10.4067/S0717-97072013000400022")</f>
      </c>
      <c r="BG700" s="1"/>
      <c r="BH700" s="1"/>
      <c r="BI700" s="1"/>
      <c r="BJ700" s="1"/>
      <c r="BK700" s="1"/>
      <c r="BL700" s="1"/>
      <c r="BM700" s="1"/>
      <c r="BN700" s="2"/>
      <c r="BO700" s="1"/>
      <c r="BP700" s="1"/>
      <c r="BQ700" s="1"/>
      <c r="BR700" s="1"/>
      <c r="BS700" s="1" t="s">
        <v>5921</v>
      </c>
      <c r="BT700" s="5">
        <f>HYPERLINK("https%3A%2F%2Fwww.webofscience.com%2Fwos%2Fwoscc%2Ffull-record%2FWOS:000331238800018","View Full Record in Web of Science")</f>
      </c>
    </row>
    <row x14ac:dyDescent="0.25" r="701" customHeight="1" ht="12.75">
      <c r="A701" s="1" t="s">
        <v>72</v>
      </c>
      <c r="B701" s="1" t="s">
        <v>5922</v>
      </c>
      <c r="C701" s="1"/>
      <c r="D701" s="1"/>
      <c r="E701" s="1"/>
      <c r="F701" s="1" t="s">
        <v>5923</v>
      </c>
      <c r="G701" s="1"/>
      <c r="H701" s="1"/>
      <c r="I701" s="1" t="s">
        <v>5924</v>
      </c>
      <c r="J701" s="1" t="s">
        <v>5925</v>
      </c>
      <c r="K701" s="1"/>
      <c r="L701" s="1"/>
      <c r="M701" s="1"/>
      <c r="N701" s="1"/>
      <c r="O701" s="1" t="s">
        <v>5926</v>
      </c>
      <c r="P701" s="2" t="s">
        <v>5927</v>
      </c>
      <c r="Q701" s="1" t="s">
        <v>5928</v>
      </c>
      <c r="R701" s="1" t="s">
        <v>5929</v>
      </c>
      <c r="S701" s="1"/>
      <c r="T701" s="1"/>
      <c r="U701" s="1"/>
      <c r="V701" s="1"/>
      <c r="W701" s="1"/>
      <c r="X701" s="1"/>
      <c r="Y701" s="1"/>
      <c r="Z701" s="1"/>
      <c r="AA701" s="1" t="s">
        <v>5930</v>
      </c>
      <c r="AB701" s="1"/>
      <c r="AC701" s="1"/>
      <c r="AD701" s="1"/>
      <c r="AE701" s="1"/>
      <c r="AF701" s="1"/>
      <c r="AG701" s="1"/>
      <c r="AH701" s="1"/>
      <c r="AI701" s="1"/>
      <c r="AJ701" s="1"/>
      <c r="AK701" s="1"/>
      <c r="AL701" s="1"/>
      <c r="AM701" s="1"/>
      <c r="AN701" s="1"/>
      <c r="AO701" s="1" t="s">
        <v>5931</v>
      </c>
      <c r="AP701" s="1" t="s">
        <v>5932</v>
      </c>
      <c r="AQ701" s="1"/>
      <c r="AR701" s="1"/>
      <c r="AS701" s="1"/>
      <c r="AT701" s="1" t="s">
        <v>292</v>
      </c>
      <c r="AU701" s="3">
        <v>2013</v>
      </c>
      <c r="AV701" s="3">
        <v>30</v>
      </c>
      <c r="AW701" s="2"/>
      <c r="AX701" s="2"/>
      <c r="AY701" s="3">
        <v>1</v>
      </c>
      <c r="AZ701" s="1"/>
      <c r="BA701" s="2"/>
      <c r="BB701" s="3">
        <v>207</v>
      </c>
      <c r="BC701" s="3">
        <v>207</v>
      </c>
      <c r="BD701" s="2"/>
      <c r="BE701" s="1"/>
      <c r="BF701" s="1"/>
      <c r="BG701" s="1"/>
      <c r="BH701" s="1"/>
      <c r="BI701" s="1"/>
      <c r="BJ701" s="1"/>
      <c r="BK701" s="1"/>
      <c r="BL701" s="1"/>
      <c r="BM701" s="1"/>
      <c r="BN701" s="2"/>
      <c r="BO701" s="1"/>
      <c r="BP701" s="1"/>
      <c r="BQ701" s="1"/>
      <c r="BR701" s="1"/>
      <c r="BS701" s="1" t="s">
        <v>5933</v>
      </c>
      <c r="BT701" s="5">
        <f>HYPERLINK("https%3A%2F%2Fwww.webofscience.com%2Fwos%2Fwoscc%2Ffull-record%2FWOS:000327927400453","View Full Record in Web of Science")</f>
      </c>
    </row>
    <row x14ac:dyDescent="0.25" r="702" customHeight="1" ht="12.75">
      <c r="A702" s="1" t="s">
        <v>72</v>
      </c>
      <c r="B702" s="1" t="s">
        <v>5934</v>
      </c>
      <c r="C702" s="1"/>
      <c r="D702" s="1"/>
      <c r="E702" s="1"/>
      <c r="F702" s="1" t="s">
        <v>5935</v>
      </c>
      <c r="G702" s="1"/>
      <c r="H702" s="1"/>
      <c r="I702" s="1" t="s">
        <v>5936</v>
      </c>
      <c r="J702" s="1" t="s">
        <v>4302</v>
      </c>
      <c r="K702" s="1"/>
      <c r="L702" s="1"/>
      <c r="M702" s="1"/>
      <c r="N702" s="1"/>
      <c r="O702" s="1"/>
      <c r="P702" s="2"/>
      <c r="Q702" s="1"/>
      <c r="R702" s="1"/>
      <c r="S702" s="1"/>
      <c r="T702" s="1"/>
      <c r="U702" s="1"/>
      <c r="V702" s="1" t="s">
        <v>5937</v>
      </c>
      <c r="W702" s="1"/>
      <c r="X702" s="1"/>
      <c r="Y702" s="1"/>
      <c r="Z702" s="1"/>
      <c r="AA702" s="1"/>
      <c r="AB702" s="1"/>
      <c r="AC702" s="1"/>
      <c r="AD702" s="1"/>
      <c r="AE702" s="1"/>
      <c r="AF702" s="1"/>
      <c r="AG702" s="1"/>
      <c r="AH702" s="1"/>
      <c r="AI702" s="1"/>
      <c r="AJ702" s="1"/>
      <c r="AK702" s="1"/>
      <c r="AL702" s="1"/>
      <c r="AM702" s="1"/>
      <c r="AN702" s="1"/>
      <c r="AO702" s="1" t="s">
        <v>4303</v>
      </c>
      <c r="AP702" s="1"/>
      <c r="AQ702" s="1"/>
      <c r="AR702" s="1"/>
      <c r="AS702" s="1"/>
      <c r="AT702" s="1" t="s">
        <v>126</v>
      </c>
      <c r="AU702" s="3">
        <v>2013</v>
      </c>
      <c r="AV702" s="2"/>
      <c r="AW702" s="3">
        <v>36</v>
      </c>
      <c r="AX702" s="2"/>
      <c r="AY702" s="2"/>
      <c r="AZ702" s="1"/>
      <c r="BA702" s="2"/>
      <c r="BB702" s="3">
        <v>55</v>
      </c>
      <c r="BC702" s="3">
        <v>70</v>
      </c>
      <c r="BD702" s="2"/>
      <c r="BE702" s="1"/>
      <c r="BF702" s="1"/>
      <c r="BG702" s="1"/>
      <c r="BH702" s="1"/>
      <c r="BI702" s="1"/>
      <c r="BJ702" s="1"/>
      <c r="BK702" s="1"/>
      <c r="BL702" s="1"/>
      <c r="BM702" s="1"/>
      <c r="BN702" s="2"/>
      <c r="BO702" s="1"/>
      <c r="BP702" s="1"/>
      <c r="BQ702" s="1"/>
      <c r="BR702" s="1"/>
      <c r="BS702" s="1" t="s">
        <v>5938</v>
      </c>
      <c r="BT702" s="5">
        <f>HYPERLINK("https%3A%2F%2Fwww.webofscience.com%2Fwos%2Fwoscc%2Ffull-record%2FWOS:000337748700005","View Full Record in Web of Science")</f>
      </c>
    </row>
    <row x14ac:dyDescent="0.25" r="703" customHeight="1" ht="12.75">
      <c r="A703" s="1" t="s">
        <v>72</v>
      </c>
      <c r="B703" s="1" t="s">
        <v>5939</v>
      </c>
      <c r="C703" s="1"/>
      <c r="D703" s="1"/>
      <c r="E703" s="1"/>
      <c r="F703" s="1" t="s">
        <v>5940</v>
      </c>
      <c r="G703" s="1"/>
      <c r="H703" s="1"/>
      <c r="I703" s="1" t="s">
        <v>5941</v>
      </c>
      <c r="J703" s="1" t="s">
        <v>230</v>
      </c>
      <c r="K703" s="1"/>
      <c r="L703" s="1"/>
      <c r="M703" s="1"/>
      <c r="N703" s="1"/>
      <c r="O703" s="1"/>
      <c r="P703" s="2"/>
      <c r="Q703" s="1"/>
      <c r="R703" s="1"/>
      <c r="S703" s="1"/>
      <c r="T703" s="1"/>
      <c r="U703" s="1"/>
      <c r="V703" s="1" t="s">
        <v>5942</v>
      </c>
      <c r="W703" s="1"/>
      <c r="X703" s="1"/>
      <c r="Y703" s="1"/>
      <c r="Z703" s="1"/>
      <c r="AA703" s="1"/>
      <c r="AB703" s="1"/>
      <c r="AC703" s="1"/>
      <c r="AD703" s="1"/>
      <c r="AE703" s="1"/>
      <c r="AF703" s="1"/>
      <c r="AG703" s="1"/>
      <c r="AH703" s="1"/>
      <c r="AI703" s="1"/>
      <c r="AJ703" s="1"/>
      <c r="AK703" s="1"/>
      <c r="AL703" s="1"/>
      <c r="AM703" s="1"/>
      <c r="AN703" s="1"/>
      <c r="AO703" s="1"/>
      <c r="AP703" s="1" t="s">
        <v>233</v>
      </c>
      <c r="AQ703" s="1"/>
      <c r="AR703" s="1"/>
      <c r="AS703" s="1"/>
      <c r="AT703" s="1" t="s">
        <v>683</v>
      </c>
      <c r="AU703" s="3">
        <v>2013</v>
      </c>
      <c r="AV703" s="3">
        <v>18</v>
      </c>
      <c r="AW703" s="3">
        <v>5</v>
      </c>
      <c r="AX703" s="2"/>
      <c r="AY703" s="2"/>
      <c r="AZ703" s="1"/>
      <c r="BA703" s="2"/>
      <c r="BB703" s="3">
        <v>5221</v>
      </c>
      <c r="BC703" s="3">
        <v>5234</v>
      </c>
      <c r="BD703" s="2"/>
      <c r="BE703" s="1" t="s">
        <v>5943</v>
      </c>
      <c r="BF703" s="4">
        <f>HYPERLINK("http://dx.doi.org/10.3390/molecules18055221","http://dx.doi.org/10.3390/molecules18055221")</f>
      </c>
      <c r="BG703" s="1"/>
      <c r="BH703" s="1"/>
      <c r="BI703" s="1"/>
      <c r="BJ703" s="1"/>
      <c r="BK703" s="1"/>
      <c r="BL703" s="1"/>
      <c r="BM703" s="1"/>
      <c r="BN703" s="3">
        <v>23652991</v>
      </c>
      <c r="BO703" s="1"/>
      <c r="BP703" s="1"/>
      <c r="BQ703" s="1"/>
      <c r="BR703" s="1"/>
      <c r="BS703" s="1" t="s">
        <v>5944</v>
      </c>
      <c r="BT703" s="5">
        <f>HYPERLINK("https%3A%2F%2Fwww.webofscience.com%2Fwos%2Fwoscc%2Ffull-record%2FWOS:000319446900027","View Full Record in Web of Science")</f>
      </c>
    </row>
    <row x14ac:dyDescent="0.25" r="704" customHeight="1" ht="12.75">
      <c r="A704" s="1" t="s">
        <v>72</v>
      </c>
      <c r="B704" s="1" t="s">
        <v>5945</v>
      </c>
      <c r="C704" s="1"/>
      <c r="D704" s="1"/>
      <c r="E704" s="1"/>
      <c r="F704" s="1" t="s">
        <v>5946</v>
      </c>
      <c r="G704" s="1"/>
      <c r="H704" s="1"/>
      <c r="I704" s="1" t="s">
        <v>5947</v>
      </c>
      <c r="J704" s="1" t="s">
        <v>5948</v>
      </c>
      <c r="K704" s="1"/>
      <c r="L704" s="1"/>
      <c r="M704" s="1"/>
      <c r="N704" s="1"/>
      <c r="O704" s="1"/>
      <c r="P704" s="2"/>
      <c r="Q704" s="1"/>
      <c r="R704" s="1"/>
      <c r="S704" s="1"/>
      <c r="T704" s="1"/>
      <c r="U704" s="1"/>
      <c r="V704" s="1" t="s">
        <v>5949</v>
      </c>
      <c r="W704" s="1"/>
      <c r="X704" s="1"/>
      <c r="Y704" s="1"/>
      <c r="Z704" s="1"/>
      <c r="AA704" s="1" t="s">
        <v>1014</v>
      </c>
      <c r="AB704" s="1"/>
      <c r="AC704" s="1"/>
      <c r="AD704" s="1"/>
      <c r="AE704" s="1"/>
      <c r="AF704" s="1"/>
      <c r="AG704" s="1"/>
      <c r="AH704" s="1"/>
      <c r="AI704" s="1"/>
      <c r="AJ704" s="1"/>
      <c r="AK704" s="1"/>
      <c r="AL704" s="1"/>
      <c r="AM704" s="1"/>
      <c r="AN704" s="1"/>
      <c r="AO704" s="1" t="s">
        <v>5950</v>
      </c>
      <c r="AP704" s="1"/>
      <c r="AQ704" s="1"/>
      <c r="AR704" s="1"/>
      <c r="AS704" s="1"/>
      <c r="AT704" s="1" t="s">
        <v>498</v>
      </c>
      <c r="AU704" s="3">
        <v>2013</v>
      </c>
      <c r="AV704" s="2"/>
      <c r="AW704" s="3">
        <v>141</v>
      </c>
      <c r="AX704" s="2"/>
      <c r="AY704" s="2"/>
      <c r="AZ704" s="1"/>
      <c r="BA704" s="2"/>
      <c r="BB704" s="3">
        <v>91</v>
      </c>
      <c r="BC704" s="3">
        <v>111</v>
      </c>
      <c r="BD704" s="2"/>
      <c r="BE704" s="1" t="s">
        <v>5951</v>
      </c>
      <c r="BF704" s="4">
        <f>HYPERLINK("http://dx.doi.org/10.5477/cis/reis.141.91","http://dx.doi.org/10.5477/cis/reis.141.91")</f>
      </c>
      <c r="BG704" s="1"/>
      <c r="BH704" s="1"/>
      <c r="BI704" s="1"/>
      <c r="BJ704" s="1"/>
      <c r="BK704" s="1"/>
      <c r="BL704" s="1"/>
      <c r="BM704" s="1"/>
      <c r="BN704" s="2"/>
      <c r="BO704" s="1"/>
      <c r="BP704" s="1"/>
      <c r="BQ704" s="1"/>
      <c r="BR704" s="1"/>
      <c r="BS704" s="1" t="s">
        <v>5952</v>
      </c>
      <c r="BT704" s="5">
        <f>HYPERLINK("https%3A%2F%2Fwww.webofscience.com%2Fwos%2Fwoscc%2Ffull-record%2FWOS:000318007400004","View Full Record in Web of Science")</f>
      </c>
    </row>
    <row x14ac:dyDescent="0.25" r="705" customHeight="1" ht="12.75">
      <c r="A705" s="1" t="s">
        <v>72</v>
      </c>
      <c r="B705" s="1" t="s">
        <v>1397</v>
      </c>
      <c r="C705" s="1"/>
      <c r="D705" s="1"/>
      <c r="E705" s="1"/>
      <c r="F705" s="1" t="s">
        <v>1398</v>
      </c>
      <c r="G705" s="1"/>
      <c r="H705" s="1"/>
      <c r="I705" s="1" t="s">
        <v>5953</v>
      </c>
      <c r="J705" s="1" t="s">
        <v>5954</v>
      </c>
      <c r="K705" s="1"/>
      <c r="L705" s="1"/>
      <c r="M705" s="1"/>
      <c r="N705" s="1"/>
      <c r="O705" s="1"/>
      <c r="P705" s="2"/>
      <c r="Q705" s="1"/>
      <c r="R705" s="1"/>
      <c r="S705" s="1"/>
      <c r="T705" s="1"/>
      <c r="U705" s="1"/>
      <c r="V705" s="1" t="s">
        <v>5955</v>
      </c>
      <c r="W705" s="1"/>
      <c r="X705" s="1"/>
      <c r="Y705" s="1"/>
      <c r="Z705" s="1"/>
      <c r="AA705" s="1" t="s">
        <v>1014</v>
      </c>
      <c r="AB705" s="1"/>
      <c r="AC705" s="1"/>
      <c r="AD705" s="1"/>
      <c r="AE705" s="1"/>
      <c r="AF705" s="1"/>
      <c r="AG705" s="1"/>
      <c r="AH705" s="1"/>
      <c r="AI705" s="1"/>
      <c r="AJ705" s="1"/>
      <c r="AK705" s="1"/>
      <c r="AL705" s="1"/>
      <c r="AM705" s="1"/>
      <c r="AN705" s="1"/>
      <c r="AO705" s="1" t="s">
        <v>5956</v>
      </c>
      <c r="AP705" s="1"/>
      <c r="AQ705" s="1"/>
      <c r="AR705" s="1"/>
      <c r="AS705" s="1"/>
      <c r="AT705" s="1" t="s">
        <v>431</v>
      </c>
      <c r="AU705" s="3">
        <v>2012</v>
      </c>
      <c r="AV705" s="2"/>
      <c r="AW705" s="3">
        <v>54</v>
      </c>
      <c r="AX705" s="2"/>
      <c r="AY705" s="2"/>
      <c r="AZ705" s="1"/>
      <c r="BA705" s="2"/>
      <c r="BB705" s="3">
        <v>143</v>
      </c>
      <c r="BC705" s="2" t="s">
        <v>1630</v>
      </c>
      <c r="BD705" s="2"/>
      <c r="BE705" s="1"/>
      <c r="BF705" s="1"/>
      <c r="BG705" s="1"/>
      <c r="BH705" s="1"/>
      <c r="BI705" s="1"/>
      <c r="BJ705" s="1"/>
      <c r="BK705" s="1"/>
      <c r="BL705" s="1"/>
      <c r="BM705" s="1"/>
      <c r="BN705" s="2"/>
      <c r="BO705" s="1"/>
      <c r="BP705" s="1"/>
      <c r="BQ705" s="1"/>
      <c r="BR705" s="1"/>
      <c r="BS705" s="1" t="s">
        <v>5957</v>
      </c>
      <c r="BT705" s="5">
        <f>HYPERLINK("https%3A%2F%2Fwww.webofscience.com%2Fwos%2Fwoscc%2Ffull-record%2FWOS:000325441700006","View Full Record in Web of Science")</f>
      </c>
    </row>
    <row x14ac:dyDescent="0.25" r="706" customHeight="1" ht="12.75">
      <c r="A706" s="1" t="s">
        <v>267</v>
      </c>
      <c r="B706" s="1" t="s">
        <v>5958</v>
      </c>
      <c r="C706" s="1"/>
      <c r="D706" s="1" t="s">
        <v>5959</v>
      </c>
      <c r="E706" s="1"/>
      <c r="F706" s="1" t="s">
        <v>5960</v>
      </c>
      <c r="G706" s="1"/>
      <c r="H706" s="1"/>
      <c r="I706" s="1" t="s">
        <v>5961</v>
      </c>
      <c r="J706" s="1" t="s">
        <v>5962</v>
      </c>
      <c r="K706" s="1"/>
      <c r="L706" s="1"/>
      <c r="M706" s="1"/>
      <c r="N706" s="1"/>
      <c r="O706" s="1"/>
      <c r="P706" s="2"/>
      <c r="Q706" s="1"/>
      <c r="R706" s="1"/>
      <c r="S706" s="1"/>
      <c r="T706" s="1"/>
      <c r="U706" s="1"/>
      <c r="V706" s="1"/>
      <c r="W706" s="1"/>
      <c r="X706" s="1"/>
      <c r="Y706" s="1"/>
      <c r="Z706" s="1"/>
      <c r="AA706" s="1" t="s">
        <v>5963</v>
      </c>
      <c r="AB706" s="1" t="s">
        <v>5964</v>
      </c>
      <c r="AC706" s="1"/>
      <c r="AD706" s="1"/>
      <c r="AE706" s="1"/>
      <c r="AF706" s="1"/>
      <c r="AG706" s="1"/>
      <c r="AH706" s="1"/>
      <c r="AI706" s="1"/>
      <c r="AJ706" s="1"/>
      <c r="AK706" s="1"/>
      <c r="AL706" s="1"/>
      <c r="AM706" s="1"/>
      <c r="AN706" s="1"/>
      <c r="AO706" s="1"/>
      <c r="AP706" s="1"/>
      <c r="AQ706" s="1" t="s">
        <v>5965</v>
      </c>
      <c r="AR706" s="1"/>
      <c r="AS706" s="1"/>
      <c r="AT706" s="1"/>
      <c r="AU706" s="3">
        <v>2012</v>
      </c>
      <c r="AV706" s="2"/>
      <c r="AW706" s="2"/>
      <c r="AX706" s="2"/>
      <c r="AY706" s="2"/>
      <c r="AZ706" s="1"/>
      <c r="BA706" s="2"/>
      <c r="BB706" s="3">
        <v>211</v>
      </c>
      <c r="BC706" s="3">
        <v>218</v>
      </c>
      <c r="BD706" s="2"/>
      <c r="BE706" s="1"/>
      <c r="BF706" s="1"/>
      <c r="BG706" s="1"/>
      <c r="BH706" s="1"/>
      <c r="BI706" s="1"/>
      <c r="BJ706" s="1"/>
      <c r="BK706" s="1"/>
      <c r="BL706" s="1"/>
      <c r="BM706" s="1"/>
      <c r="BN706" s="2"/>
      <c r="BO706" s="1"/>
      <c r="BP706" s="1"/>
      <c r="BQ706" s="1"/>
      <c r="BR706" s="1"/>
      <c r="BS706" s="1" t="s">
        <v>5966</v>
      </c>
      <c r="BT706" s="5">
        <f>HYPERLINK("https%3A%2F%2Fwww.webofscience.com%2Fwos%2Fwoscc%2Ffull-record%2FWOS:000358648900023","View Full Record in Web of Science")</f>
      </c>
    </row>
    <row x14ac:dyDescent="0.25" r="707" customHeight="1" ht="12.75">
      <c r="A707" s="1" t="s">
        <v>72</v>
      </c>
      <c r="B707" s="1" t="s">
        <v>5967</v>
      </c>
      <c r="C707" s="1"/>
      <c r="D707" s="1"/>
      <c r="E707" s="1"/>
      <c r="F707" s="1" t="s">
        <v>5968</v>
      </c>
      <c r="G707" s="1"/>
      <c r="H707" s="1"/>
      <c r="I707" s="1" t="s">
        <v>5969</v>
      </c>
      <c r="J707" s="1" t="s">
        <v>98</v>
      </c>
      <c r="K707" s="1"/>
      <c r="L707" s="1"/>
      <c r="M707" s="1"/>
      <c r="N707" s="1"/>
      <c r="O707" s="1"/>
      <c r="P707" s="2"/>
      <c r="Q707" s="1"/>
      <c r="R707" s="1"/>
      <c r="S707" s="1"/>
      <c r="T707" s="1"/>
      <c r="U707" s="1"/>
      <c r="V707" s="1" t="s">
        <v>5970</v>
      </c>
      <c r="W707" s="1"/>
      <c r="X707" s="1"/>
      <c r="Y707" s="1"/>
      <c r="Z707" s="1"/>
      <c r="AA707" s="1" t="s">
        <v>2390</v>
      </c>
      <c r="AB707" s="1" t="s">
        <v>5971</v>
      </c>
      <c r="AC707" s="1"/>
      <c r="AD707" s="1"/>
      <c r="AE707" s="1"/>
      <c r="AF707" s="1"/>
      <c r="AG707" s="1"/>
      <c r="AH707" s="1"/>
      <c r="AI707" s="1"/>
      <c r="AJ707" s="1"/>
      <c r="AK707" s="1"/>
      <c r="AL707" s="1"/>
      <c r="AM707" s="1"/>
      <c r="AN707" s="1"/>
      <c r="AO707" s="1" t="s">
        <v>101</v>
      </c>
      <c r="AP707" s="1"/>
      <c r="AQ707" s="1"/>
      <c r="AR707" s="1"/>
      <c r="AS707" s="1"/>
      <c r="AT707" s="1" t="s">
        <v>126</v>
      </c>
      <c r="AU707" s="3">
        <v>2011</v>
      </c>
      <c r="AV707" s="3">
        <v>74</v>
      </c>
      <c r="AW707" s="3">
        <v>11</v>
      </c>
      <c r="AX707" s="2"/>
      <c r="AY707" s="2"/>
      <c r="AZ707" s="1"/>
      <c r="BA707" s="2"/>
      <c r="BB707" s="3">
        <v>3805</v>
      </c>
      <c r="BC707" s="3">
        <v>3814</v>
      </c>
      <c r="BD707" s="2"/>
      <c r="BE707" s="1" t="s">
        <v>5972</v>
      </c>
      <c r="BF707" s="4">
        <f>HYPERLINK("http://dx.doi.org/10.1016/j.na.2011.03.029","http://dx.doi.org/10.1016/j.na.2011.03.029")</f>
      </c>
      <c r="BG707" s="1"/>
      <c r="BH707" s="1"/>
      <c r="BI707" s="1"/>
      <c r="BJ707" s="1"/>
      <c r="BK707" s="1"/>
      <c r="BL707" s="1"/>
      <c r="BM707" s="1"/>
      <c r="BN707" s="2"/>
      <c r="BO707" s="1"/>
      <c r="BP707" s="1"/>
      <c r="BQ707" s="1"/>
      <c r="BR707" s="1"/>
      <c r="BS707" s="1" t="s">
        <v>5973</v>
      </c>
      <c r="BT707" s="5">
        <f>HYPERLINK("https%3A%2F%2Fwww.webofscience.com%2Fwos%2Fwoscc%2Ffull-record%2FWOS:000290021800036","View Full Record in Web of Science")</f>
      </c>
    </row>
    <row x14ac:dyDescent="0.25" r="708" customHeight="1" ht="12.75">
      <c r="A708" s="1" t="s">
        <v>72</v>
      </c>
      <c r="B708" s="1" t="s">
        <v>5974</v>
      </c>
      <c r="C708" s="1"/>
      <c r="D708" s="1"/>
      <c r="E708" s="1"/>
      <c r="F708" s="1" t="s">
        <v>5975</v>
      </c>
      <c r="G708" s="1"/>
      <c r="H708" s="1"/>
      <c r="I708" s="1" t="s">
        <v>5976</v>
      </c>
      <c r="J708" s="1" t="s">
        <v>5977</v>
      </c>
      <c r="K708" s="1"/>
      <c r="L708" s="1"/>
      <c r="M708" s="1"/>
      <c r="N708" s="1"/>
      <c r="O708" s="1"/>
      <c r="P708" s="2"/>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t="s">
        <v>5978</v>
      </c>
      <c r="AP708" s="1"/>
      <c r="AQ708" s="1"/>
      <c r="AR708" s="1"/>
      <c r="AS708" s="1"/>
      <c r="AT708" s="1" t="s">
        <v>683</v>
      </c>
      <c r="AU708" s="3">
        <v>2011</v>
      </c>
      <c r="AV708" s="3">
        <v>31</v>
      </c>
      <c r="AW708" s="3">
        <v>5</v>
      </c>
      <c r="AX708" s="2"/>
      <c r="AY708" s="2"/>
      <c r="AZ708" s="1" t="s">
        <v>170</v>
      </c>
      <c r="BA708" s="2"/>
      <c r="BB708" s="3">
        <v>1074</v>
      </c>
      <c r="BC708" s="3">
        <v>1076</v>
      </c>
      <c r="BD708" s="2"/>
      <c r="BE708" s="1" t="s">
        <v>5979</v>
      </c>
      <c r="BF708" s="4">
        <f>HYPERLINK("http://dx.doi.org/10.1016/j.wasman.2011.02.010","http://dx.doi.org/10.1016/j.wasman.2011.02.010")</f>
      </c>
      <c r="BG708" s="1"/>
      <c r="BH708" s="1"/>
      <c r="BI708" s="1"/>
      <c r="BJ708" s="1"/>
      <c r="BK708" s="1"/>
      <c r="BL708" s="1"/>
      <c r="BM708" s="1"/>
      <c r="BN708" s="2"/>
      <c r="BO708" s="1"/>
      <c r="BP708" s="1"/>
      <c r="BQ708" s="1"/>
      <c r="BR708" s="1"/>
      <c r="BS708" s="1" t="s">
        <v>5980</v>
      </c>
      <c r="BT708" s="5">
        <f>HYPERLINK("https%3A%2F%2Fwww.webofscience.com%2Fwos%2Fwoscc%2Ffull-record%2FWOS:000289327700027","View Full Record in Web of Science")</f>
      </c>
    </row>
    <row x14ac:dyDescent="0.25" r="709" customHeight="1" ht="12.75">
      <c r="A709" s="1" t="s">
        <v>303</v>
      </c>
      <c r="B709" s="1" t="s">
        <v>5981</v>
      </c>
      <c r="C709" s="1"/>
      <c r="D709" s="1" t="s">
        <v>5982</v>
      </c>
      <c r="E709" s="1"/>
      <c r="F709" s="1" t="s">
        <v>5983</v>
      </c>
      <c r="G709" s="1"/>
      <c r="H709" s="1"/>
      <c r="I709" s="1" t="s">
        <v>5984</v>
      </c>
      <c r="J709" s="1" t="s">
        <v>5985</v>
      </c>
      <c r="K709" s="1" t="s">
        <v>5986</v>
      </c>
      <c r="L709" s="1"/>
      <c r="M709" s="1"/>
      <c r="N709" s="1"/>
      <c r="O709" s="1" t="s">
        <v>5987</v>
      </c>
      <c r="P709" s="2" t="s">
        <v>5988</v>
      </c>
      <c r="Q709" s="1" t="s">
        <v>5989</v>
      </c>
      <c r="R709" s="1" t="s">
        <v>5990</v>
      </c>
      <c r="S709" s="1"/>
      <c r="T709" s="1"/>
      <c r="U709" s="1"/>
      <c r="V709" s="1" t="s">
        <v>5991</v>
      </c>
      <c r="W709" s="1"/>
      <c r="X709" s="1"/>
      <c r="Y709" s="1"/>
      <c r="Z709" s="1"/>
      <c r="AA709" s="1" t="s">
        <v>5992</v>
      </c>
      <c r="AB709" s="1"/>
      <c r="AC709" s="1"/>
      <c r="AD709" s="1"/>
      <c r="AE709" s="1"/>
      <c r="AF709" s="1"/>
      <c r="AG709" s="1"/>
      <c r="AH709" s="1"/>
      <c r="AI709" s="1"/>
      <c r="AJ709" s="1"/>
      <c r="AK709" s="1"/>
      <c r="AL709" s="1"/>
      <c r="AM709" s="1"/>
      <c r="AN709" s="1"/>
      <c r="AO709" s="1" t="s">
        <v>5993</v>
      </c>
      <c r="AP709" s="1"/>
      <c r="AQ709" s="1" t="s">
        <v>5994</v>
      </c>
      <c r="AR709" s="1"/>
      <c r="AS709" s="1"/>
      <c r="AT709" s="1"/>
      <c r="AU709" s="3">
        <v>2011</v>
      </c>
      <c r="AV709" s="3">
        <v>25</v>
      </c>
      <c r="AW709" s="2"/>
      <c r="AX709" s="2"/>
      <c r="AY709" s="2"/>
      <c r="AZ709" s="1"/>
      <c r="BA709" s="2"/>
      <c r="BB709" s="3">
        <v>141</v>
      </c>
      <c r="BC709" s="2" t="s">
        <v>1630</v>
      </c>
      <c r="BD709" s="2"/>
      <c r="BE709" s="1" t="s">
        <v>5995</v>
      </c>
      <c r="BF709" s="4">
        <f>HYPERLINK("http://dx.doi.org/10.3303/CET1125024","http://dx.doi.org/10.3303/CET1125024")</f>
      </c>
      <c r="BG709" s="1"/>
      <c r="BH709" s="1"/>
      <c r="BI709" s="1"/>
      <c r="BJ709" s="1"/>
      <c r="BK709" s="1"/>
      <c r="BL709" s="1"/>
      <c r="BM709" s="1"/>
      <c r="BN709" s="2"/>
      <c r="BO709" s="1"/>
      <c r="BP709" s="1"/>
      <c r="BQ709" s="1"/>
      <c r="BR709" s="1"/>
      <c r="BS709" s="1" t="s">
        <v>5996</v>
      </c>
      <c r="BT709" s="5">
        <f>HYPERLINK("https%3A%2F%2Fwww.webofscience.com%2Fwos%2Fwoscc%2Ffull-record%2FWOS:000298027000024","View Full Record in Web of Science")</f>
      </c>
    </row>
    <row x14ac:dyDescent="0.25" r="710" customHeight="1" ht="12.75">
      <c r="A710" s="1" t="s">
        <v>267</v>
      </c>
      <c r="B710" s="1" t="s">
        <v>5997</v>
      </c>
      <c r="C710" s="1"/>
      <c r="D710" s="1" t="s">
        <v>4417</v>
      </c>
      <c r="E710" s="1"/>
      <c r="F710" s="1" t="s">
        <v>5998</v>
      </c>
      <c r="G710" s="1"/>
      <c r="H710" s="1"/>
      <c r="I710" s="1" t="s">
        <v>5999</v>
      </c>
      <c r="J710" s="1" t="s">
        <v>4420</v>
      </c>
      <c r="K710" s="1"/>
      <c r="L710" s="1"/>
      <c r="M710" s="1"/>
      <c r="N710" s="1"/>
      <c r="O710" s="1"/>
      <c r="P710" s="2"/>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t="s">
        <v>4421</v>
      </c>
      <c r="AR710" s="1"/>
      <c r="AS710" s="1"/>
      <c r="AT710" s="1"/>
      <c r="AU710" s="3">
        <v>2011</v>
      </c>
      <c r="AV710" s="2"/>
      <c r="AW710" s="2"/>
      <c r="AX710" s="2"/>
      <c r="AY710" s="2"/>
      <c r="AZ710" s="1"/>
      <c r="BA710" s="2"/>
      <c r="BB710" s="3">
        <v>603</v>
      </c>
      <c r="BC710" s="3">
        <v>628</v>
      </c>
      <c r="BD710" s="2"/>
      <c r="BE710" s="1"/>
      <c r="BF710" s="1"/>
      <c r="BG710" s="1"/>
      <c r="BH710" s="1"/>
      <c r="BI710" s="1"/>
      <c r="BJ710" s="1"/>
      <c r="BK710" s="1"/>
      <c r="BL710" s="1"/>
      <c r="BM710" s="1"/>
      <c r="BN710" s="2"/>
      <c r="BO710" s="1"/>
      <c r="BP710" s="1"/>
      <c r="BQ710" s="1"/>
      <c r="BR710" s="1"/>
      <c r="BS710" s="1" t="s">
        <v>6000</v>
      </c>
      <c r="BT710" s="5">
        <f>HYPERLINK("https%3A%2F%2Fwww.webofscience.com%2Fwos%2Fwoscc%2Ffull-record%2FWOS:000378911600026","View Full Record in Web of Science")</f>
      </c>
    </row>
    <row x14ac:dyDescent="0.25" r="711" customHeight="1" ht="12.75">
      <c r="A711" s="1" t="s">
        <v>72</v>
      </c>
      <c r="B711" s="1" t="s">
        <v>6001</v>
      </c>
      <c r="C711" s="1"/>
      <c r="D711" s="1"/>
      <c r="E711" s="1"/>
      <c r="F711" s="1" t="s">
        <v>6002</v>
      </c>
      <c r="G711" s="1"/>
      <c r="H711" s="1"/>
      <c r="I711" s="1" t="s">
        <v>6003</v>
      </c>
      <c r="J711" s="1" t="s">
        <v>1507</v>
      </c>
      <c r="K711" s="1"/>
      <c r="L711" s="1"/>
      <c r="M711" s="1"/>
      <c r="N711" s="1"/>
      <c r="O711" s="1"/>
      <c r="P711" s="2"/>
      <c r="Q711" s="1"/>
      <c r="R711" s="1"/>
      <c r="S711" s="1"/>
      <c r="T711" s="1"/>
      <c r="U711" s="1"/>
      <c r="V711" s="1" t="s">
        <v>6004</v>
      </c>
      <c r="W711" s="1"/>
      <c r="X711" s="1"/>
      <c r="Y711" s="1"/>
      <c r="Z711" s="1"/>
      <c r="AA711" s="1"/>
      <c r="AB711" s="1"/>
      <c r="AC711" s="1"/>
      <c r="AD711" s="1"/>
      <c r="AE711" s="1"/>
      <c r="AF711" s="1"/>
      <c r="AG711" s="1"/>
      <c r="AH711" s="1"/>
      <c r="AI711" s="1"/>
      <c r="AJ711" s="1"/>
      <c r="AK711" s="1"/>
      <c r="AL711" s="1"/>
      <c r="AM711" s="1"/>
      <c r="AN711" s="1"/>
      <c r="AO711" s="1" t="s">
        <v>2886</v>
      </c>
      <c r="AP711" s="1"/>
      <c r="AQ711" s="1"/>
      <c r="AR711" s="1"/>
      <c r="AS711" s="1"/>
      <c r="AT711" s="1" t="s">
        <v>757</v>
      </c>
      <c r="AU711" s="3">
        <v>2010</v>
      </c>
      <c r="AV711" s="3">
        <v>55</v>
      </c>
      <c r="AW711" s="3">
        <v>2</v>
      </c>
      <c r="AX711" s="2"/>
      <c r="AY711" s="2"/>
      <c r="AZ711" s="1"/>
      <c r="BA711" s="2"/>
      <c r="BB711" s="3">
        <v>274</v>
      </c>
      <c r="BC711" s="3">
        <v>277</v>
      </c>
      <c r="BD711" s="2"/>
      <c r="BE711" s="1"/>
      <c r="BF711" s="1"/>
      <c r="BG711" s="1"/>
      <c r="BH711" s="1"/>
      <c r="BI711" s="1"/>
      <c r="BJ711" s="1"/>
      <c r="BK711" s="1"/>
      <c r="BL711" s="1"/>
      <c r="BM711" s="1"/>
      <c r="BN711" s="2"/>
      <c r="BO711" s="1"/>
      <c r="BP711" s="1"/>
      <c r="BQ711" s="1"/>
      <c r="BR711" s="1"/>
      <c r="BS711" s="1" t="s">
        <v>6005</v>
      </c>
      <c r="BT711" s="5">
        <f>HYPERLINK("https%3A%2F%2Fwww.webofscience.com%2Fwos%2Fwoscc%2Ffull-record%2FWOS:000279984400029","View Full Record in Web of Science")</f>
      </c>
    </row>
    <row x14ac:dyDescent="0.25" r="712" customHeight="1" ht="12.75">
      <c r="A712" s="1" t="s">
        <v>72</v>
      </c>
      <c r="B712" s="1" t="s">
        <v>6006</v>
      </c>
      <c r="C712" s="1"/>
      <c r="D712" s="1"/>
      <c r="E712" s="1"/>
      <c r="F712" s="1" t="s">
        <v>6007</v>
      </c>
      <c r="G712" s="1"/>
      <c r="H712" s="1" t="s">
        <v>6008</v>
      </c>
      <c r="I712" s="1" t="s">
        <v>6009</v>
      </c>
      <c r="J712" s="1" t="s">
        <v>6010</v>
      </c>
      <c r="K712" s="1"/>
      <c r="L712" s="1"/>
      <c r="M712" s="1"/>
      <c r="N712" s="1"/>
      <c r="O712" s="1"/>
      <c r="P712" s="2"/>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t="s">
        <v>6011</v>
      </c>
      <c r="AP712" s="1" t="s">
        <v>6012</v>
      </c>
      <c r="AQ712" s="1"/>
      <c r="AR712" s="1"/>
      <c r="AS712" s="1"/>
      <c r="AT712" s="1" t="s">
        <v>204</v>
      </c>
      <c r="AU712" s="3">
        <v>2009</v>
      </c>
      <c r="AV712" s="3">
        <v>15</v>
      </c>
      <c r="AW712" s="2"/>
      <c r="AX712" s="2"/>
      <c r="AY712" s="3">
        <v>2</v>
      </c>
      <c r="AZ712" s="1"/>
      <c r="BA712" s="2" t="s">
        <v>6013</v>
      </c>
      <c r="BB712" s="2" t="s">
        <v>6014</v>
      </c>
      <c r="BC712" s="2" t="s">
        <v>6014</v>
      </c>
      <c r="BD712" s="2"/>
      <c r="BE712" s="1" t="s">
        <v>6015</v>
      </c>
      <c r="BF712" s="4">
        <f>HYPERLINK("http://dx.doi.org/10.1016/S1353-8020(09)70241-X","http://dx.doi.org/10.1016/S1353-8020(09)70241-X")</f>
      </c>
      <c r="BG712" s="1"/>
      <c r="BH712" s="1"/>
      <c r="BI712" s="1"/>
      <c r="BJ712" s="1"/>
      <c r="BK712" s="1"/>
      <c r="BL712" s="1"/>
      <c r="BM712" s="1"/>
      <c r="BN712" s="2"/>
      <c r="BO712" s="1"/>
      <c r="BP712" s="1"/>
      <c r="BQ712" s="1"/>
      <c r="BR712" s="1"/>
      <c r="BS712" s="1" t="s">
        <v>6016</v>
      </c>
      <c r="BT712" s="5">
        <f>HYPERLINK("https%3A%2F%2Fwww.webofscience.com%2Fwos%2Fwoscc%2Ffull-record%2FWOS:000576194500227","View Full Record in Web of Science")</f>
      </c>
    </row>
    <row x14ac:dyDescent="0.25" r="713" customHeight="1" ht="12.75">
      <c r="A713" s="1" t="s">
        <v>72</v>
      </c>
      <c r="B713" s="1" t="s">
        <v>6017</v>
      </c>
      <c r="C713" s="1"/>
      <c r="D713" s="1"/>
      <c r="E713" s="1"/>
      <c r="F713" s="1" t="s">
        <v>6018</v>
      </c>
      <c r="G713" s="1"/>
      <c r="H713" s="1"/>
      <c r="I713" s="1" t="s">
        <v>6019</v>
      </c>
      <c r="J713" s="1" t="s">
        <v>6020</v>
      </c>
      <c r="K713" s="1"/>
      <c r="L713" s="1"/>
      <c r="M713" s="1"/>
      <c r="N713" s="1"/>
      <c r="O713" s="1"/>
      <c r="P713" s="2"/>
      <c r="Q713" s="1"/>
      <c r="R713" s="1"/>
      <c r="S713" s="1"/>
      <c r="T713" s="1"/>
      <c r="U713" s="1"/>
      <c r="V713" s="1" t="s">
        <v>6021</v>
      </c>
      <c r="W713" s="1"/>
      <c r="X713" s="1"/>
      <c r="Y713" s="1"/>
      <c r="Z713" s="1"/>
      <c r="AA713" s="1"/>
      <c r="AB713" s="1" t="s">
        <v>6022</v>
      </c>
      <c r="AC713" s="1"/>
      <c r="AD713" s="1"/>
      <c r="AE713" s="1"/>
      <c r="AF713" s="1"/>
      <c r="AG713" s="1"/>
      <c r="AH713" s="1"/>
      <c r="AI713" s="1"/>
      <c r="AJ713" s="1"/>
      <c r="AK713" s="1"/>
      <c r="AL713" s="1"/>
      <c r="AM713" s="1"/>
      <c r="AN713" s="1"/>
      <c r="AO713" s="1" t="s">
        <v>6023</v>
      </c>
      <c r="AP713" s="1"/>
      <c r="AQ713" s="1"/>
      <c r="AR713" s="1"/>
      <c r="AS713" s="1"/>
      <c r="AT713" s="1" t="s">
        <v>204</v>
      </c>
      <c r="AU713" s="3">
        <v>2009</v>
      </c>
      <c r="AV713" s="3">
        <v>36</v>
      </c>
      <c r="AW713" s="3">
        <v>12</v>
      </c>
      <c r="AX713" s="2"/>
      <c r="AY713" s="2"/>
      <c r="AZ713" s="1"/>
      <c r="BA713" s="2"/>
      <c r="BB713" s="3">
        <v>1205</v>
      </c>
      <c r="BC713" s="3">
        <v>1217</v>
      </c>
      <c r="BD713" s="2"/>
      <c r="BE713" s="1" t="s">
        <v>6024</v>
      </c>
      <c r="BF713" s="4">
        <f>HYPERLINK("http://dx.doi.org/10.1111/j.1440-1681.2009.05214.x","http://dx.doi.org/10.1111/j.1440-1681.2009.05214.x")</f>
      </c>
      <c r="BG713" s="1"/>
      <c r="BH713" s="1"/>
      <c r="BI713" s="1"/>
      <c r="BJ713" s="1"/>
      <c r="BK713" s="1"/>
      <c r="BL713" s="1"/>
      <c r="BM713" s="1"/>
      <c r="BN713" s="3">
        <v>19473189</v>
      </c>
      <c r="BO713" s="1"/>
      <c r="BP713" s="1"/>
      <c r="BQ713" s="1"/>
      <c r="BR713" s="1"/>
      <c r="BS713" s="1" t="s">
        <v>6025</v>
      </c>
      <c r="BT713" s="5">
        <f>HYPERLINK("https%3A%2F%2Fwww.webofscience.com%2Fwos%2Fwoscc%2Ffull-record%2FWOS:000272192300013","View Full Record in Web of Science")</f>
      </c>
    </row>
    <row x14ac:dyDescent="0.25" r="714" customHeight="1" ht="12.75">
      <c r="A714" s="1" t="s">
        <v>72</v>
      </c>
      <c r="B714" s="1" t="s">
        <v>6026</v>
      </c>
      <c r="C714" s="1"/>
      <c r="D714" s="1"/>
      <c r="E714" s="1"/>
      <c r="F714" s="1" t="s">
        <v>6027</v>
      </c>
      <c r="G714" s="1"/>
      <c r="H714" s="1"/>
      <c r="I714" s="1" t="s">
        <v>6028</v>
      </c>
      <c r="J714" s="1" t="s">
        <v>3064</v>
      </c>
      <c r="K714" s="1"/>
      <c r="L714" s="1"/>
      <c r="M714" s="1"/>
      <c r="N714" s="1"/>
      <c r="O714" s="1"/>
      <c r="P714" s="2"/>
      <c r="Q714" s="1"/>
      <c r="R714" s="1"/>
      <c r="S714" s="1"/>
      <c r="T714" s="1"/>
      <c r="U714" s="1"/>
      <c r="V714" s="1" t="s">
        <v>6029</v>
      </c>
      <c r="W714" s="1"/>
      <c r="X714" s="1"/>
      <c r="Y714" s="1"/>
      <c r="Z714" s="1"/>
      <c r="AA714" s="1" t="s">
        <v>6030</v>
      </c>
      <c r="AB714" s="1" t="s">
        <v>6031</v>
      </c>
      <c r="AC714" s="1"/>
      <c r="AD714" s="1"/>
      <c r="AE714" s="1"/>
      <c r="AF714" s="1"/>
      <c r="AG714" s="1"/>
      <c r="AH714" s="1"/>
      <c r="AI714" s="1"/>
      <c r="AJ714" s="1"/>
      <c r="AK714" s="1"/>
      <c r="AL714" s="1"/>
      <c r="AM714" s="1"/>
      <c r="AN714" s="1"/>
      <c r="AO714" s="1" t="s">
        <v>3066</v>
      </c>
      <c r="AP714" s="1" t="s">
        <v>3067</v>
      </c>
      <c r="AQ714" s="1"/>
      <c r="AR714" s="1"/>
      <c r="AS714" s="1"/>
      <c r="AT714" s="1" t="s">
        <v>137</v>
      </c>
      <c r="AU714" s="3">
        <v>2009</v>
      </c>
      <c r="AV714" s="3">
        <v>137</v>
      </c>
      <c r="AW714" s="3">
        <v>2</v>
      </c>
      <c r="AX714" s="2"/>
      <c r="AY714" s="2"/>
      <c r="AZ714" s="1"/>
      <c r="BA714" s="2"/>
      <c r="BB714" s="3">
        <v>226</v>
      </c>
      <c r="BC714" s="3">
        <v>233</v>
      </c>
      <c r="BD714" s="2"/>
      <c r="BE714" s="1"/>
      <c r="BF714" s="1"/>
      <c r="BG714" s="1"/>
      <c r="BH714" s="1"/>
      <c r="BI714" s="1"/>
      <c r="BJ714" s="1"/>
      <c r="BK714" s="1"/>
      <c r="BL714" s="1"/>
      <c r="BM714" s="1"/>
      <c r="BN714" s="3">
        <v>19543644</v>
      </c>
      <c r="BO714" s="1"/>
      <c r="BP714" s="1"/>
      <c r="BQ714" s="1"/>
      <c r="BR714" s="1"/>
      <c r="BS714" s="1" t="s">
        <v>6032</v>
      </c>
      <c r="BT714" s="5">
        <f>HYPERLINK("https%3A%2F%2Fwww.webofscience.com%2Fwos%2Fwoscc%2Ffull-record%2FWOS:000266723800006","View Full Record in Web of Science")</f>
      </c>
    </row>
    <row x14ac:dyDescent="0.25" r="715" customHeight="1" ht="12.75">
      <c r="A715" s="1" t="s">
        <v>303</v>
      </c>
      <c r="B715" s="1" t="s">
        <v>6033</v>
      </c>
      <c r="C715" s="1"/>
      <c r="D715" s="1"/>
      <c r="E715" s="1" t="s">
        <v>571</v>
      </c>
      <c r="F715" s="1" t="s">
        <v>6034</v>
      </c>
      <c r="G715" s="1"/>
      <c r="H715" s="1"/>
      <c r="I715" s="1" t="s">
        <v>6035</v>
      </c>
      <c r="J715" s="1" t="s">
        <v>6036</v>
      </c>
      <c r="K715" s="1"/>
      <c r="L715" s="1"/>
      <c r="M715" s="1"/>
      <c r="N715" s="1"/>
      <c r="O715" s="1" t="s">
        <v>6037</v>
      </c>
      <c r="P715" s="2" t="s">
        <v>6038</v>
      </c>
      <c r="Q715" s="1" t="s">
        <v>6039</v>
      </c>
      <c r="R715" s="1" t="s">
        <v>6040</v>
      </c>
      <c r="S715" s="1"/>
      <c r="T715" s="1"/>
      <c r="U715" s="1"/>
      <c r="V715" s="1"/>
      <c r="W715" s="1"/>
      <c r="X715" s="1"/>
      <c r="Y715" s="1"/>
      <c r="Z715" s="1"/>
      <c r="AA715" s="1" t="s">
        <v>6041</v>
      </c>
      <c r="AB715" s="1" t="s">
        <v>6042</v>
      </c>
      <c r="AC715" s="1"/>
      <c r="AD715" s="1"/>
      <c r="AE715" s="1"/>
      <c r="AF715" s="1"/>
      <c r="AG715" s="1"/>
      <c r="AH715" s="1"/>
      <c r="AI715" s="1"/>
      <c r="AJ715" s="1"/>
      <c r="AK715" s="1"/>
      <c r="AL715" s="1"/>
      <c r="AM715" s="1"/>
      <c r="AN715" s="1"/>
      <c r="AO715" s="1"/>
      <c r="AP715" s="1"/>
      <c r="AQ715" s="1" t="s">
        <v>6043</v>
      </c>
      <c r="AR715" s="1"/>
      <c r="AS715" s="1"/>
      <c r="AT715" s="1"/>
      <c r="AU715" s="3">
        <v>2009</v>
      </c>
      <c r="AV715" s="2"/>
      <c r="AW715" s="2"/>
      <c r="AX715" s="2"/>
      <c r="AY715" s="2"/>
      <c r="AZ715" s="1"/>
      <c r="BA715" s="2"/>
      <c r="BB715" s="3">
        <v>385</v>
      </c>
      <c r="BC715" s="3">
        <v>386</v>
      </c>
      <c r="BD715" s="2"/>
      <c r="BE715" s="1"/>
      <c r="BF715" s="1"/>
      <c r="BG715" s="1"/>
      <c r="BH715" s="1"/>
      <c r="BI715" s="1"/>
      <c r="BJ715" s="1"/>
      <c r="BK715" s="1"/>
      <c r="BL715" s="1"/>
      <c r="BM715" s="1"/>
      <c r="BN715" s="2"/>
      <c r="BO715" s="1"/>
      <c r="BP715" s="1"/>
      <c r="BQ715" s="1"/>
      <c r="BR715" s="1"/>
      <c r="BS715" s="1" t="s">
        <v>6044</v>
      </c>
      <c r="BT715" s="5">
        <f>HYPERLINK("https%3A%2F%2Fwww.webofscience.com%2Fwos%2Fwoscc%2Ffull-record%2FWOS:000263364700193","View Full Record in Web of Science")</f>
      </c>
    </row>
    <row x14ac:dyDescent="0.25" r="716" customHeight="1" ht="12.75">
      <c r="A716" s="1" t="s">
        <v>72</v>
      </c>
      <c r="B716" s="1" t="s">
        <v>6045</v>
      </c>
      <c r="C716" s="1"/>
      <c r="D716" s="1"/>
      <c r="E716" s="1"/>
      <c r="F716" s="1" t="s">
        <v>6046</v>
      </c>
      <c r="G716" s="1"/>
      <c r="H716" s="1"/>
      <c r="I716" s="1" t="s">
        <v>6047</v>
      </c>
      <c r="J716" s="1" t="s">
        <v>1228</v>
      </c>
      <c r="K716" s="1"/>
      <c r="L716" s="1"/>
      <c r="M716" s="1"/>
      <c r="N716" s="1"/>
      <c r="O716" s="1"/>
      <c r="P716" s="2"/>
      <c r="Q716" s="1"/>
      <c r="R716" s="1"/>
      <c r="S716" s="1"/>
      <c r="T716" s="1"/>
      <c r="U716" s="1"/>
      <c r="V716" s="1" t="s">
        <v>6048</v>
      </c>
      <c r="W716" s="1"/>
      <c r="X716" s="1"/>
      <c r="Y716" s="1"/>
      <c r="Z716" s="1"/>
      <c r="AA716" s="1" t="s">
        <v>6049</v>
      </c>
      <c r="AB716" s="1"/>
      <c r="AC716" s="1"/>
      <c r="AD716" s="1"/>
      <c r="AE716" s="1"/>
      <c r="AF716" s="1"/>
      <c r="AG716" s="1"/>
      <c r="AH716" s="1"/>
      <c r="AI716" s="1"/>
      <c r="AJ716" s="1"/>
      <c r="AK716" s="1"/>
      <c r="AL716" s="1"/>
      <c r="AM716" s="1"/>
      <c r="AN716" s="1"/>
      <c r="AO716" s="1" t="s">
        <v>1232</v>
      </c>
      <c r="AP716" s="1" t="s">
        <v>1233</v>
      </c>
      <c r="AQ716" s="1"/>
      <c r="AR716" s="1"/>
      <c r="AS716" s="1"/>
      <c r="AT716" s="1" t="s">
        <v>1849</v>
      </c>
      <c r="AU716" s="3">
        <v>2009</v>
      </c>
      <c r="AV716" s="3">
        <v>246</v>
      </c>
      <c r="AW716" s="3">
        <v>1</v>
      </c>
      <c r="AX716" s="2"/>
      <c r="AY716" s="2"/>
      <c r="AZ716" s="1"/>
      <c r="BA716" s="2"/>
      <c r="BB716" s="3">
        <v>261</v>
      </c>
      <c r="BC716" s="3">
        <v>276</v>
      </c>
      <c r="BD716" s="2"/>
      <c r="BE716" s="1" t="s">
        <v>6050</v>
      </c>
      <c r="BF716" s="4">
        <f>HYPERLINK("http://dx.doi.org/10.1016/j.jde.2008.03.034","http://dx.doi.org/10.1016/j.jde.2008.03.034")</f>
      </c>
      <c r="BG716" s="1"/>
      <c r="BH716" s="1"/>
      <c r="BI716" s="1"/>
      <c r="BJ716" s="1"/>
      <c r="BK716" s="1"/>
      <c r="BL716" s="1"/>
      <c r="BM716" s="1"/>
      <c r="BN716" s="2"/>
      <c r="BO716" s="1"/>
      <c r="BP716" s="1"/>
      <c r="BQ716" s="1"/>
      <c r="BR716" s="1"/>
      <c r="BS716" s="1" t="s">
        <v>6051</v>
      </c>
      <c r="BT716" s="5">
        <f>HYPERLINK("https%3A%2F%2Fwww.webofscience.com%2Fwos%2Fwoscc%2Ffull-record%2FWOS:000261314600012","View Full Record in Web of Science")</f>
      </c>
    </row>
    <row x14ac:dyDescent="0.25" r="717" customHeight="1" ht="12.75">
      <c r="A717" s="1" t="s">
        <v>72</v>
      </c>
      <c r="B717" s="1" t="s">
        <v>6052</v>
      </c>
      <c r="C717" s="1"/>
      <c r="D717" s="1"/>
      <c r="E717" s="1"/>
      <c r="F717" s="1" t="s">
        <v>6053</v>
      </c>
      <c r="G717" s="1"/>
      <c r="H717" s="1"/>
      <c r="I717" s="1" t="s">
        <v>6054</v>
      </c>
      <c r="J717" s="1" t="s">
        <v>6055</v>
      </c>
      <c r="K717" s="1"/>
      <c r="L717" s="1"/>
      <c r="M717" s="1"/>
      <c r="N717" s="1"/>
      <c r="O717" s="1"/>
      <c r="P717" s="2"/>
      <c r="Q717" s="1"/>
      <c r="R717" s="1"/>
      <c r="S717" s="1"/>
      <c r="T717" s="1"/>
      <c r="U717" s="1"/>
      <c r="V717" s="1" t="s">
        <v>6056</v>
      </c>
      <c r="W717" s="1"/>
      <c r="X717" s="1"/>
      <c r="Y717" s="1"/>
      <c r="Z717" s="1"/>
      <c r="AA717" s="1" t="s">
        <v>6057</v>
      </c>
      <c r="AB717" s="1" t="s">
        <v>5249</v>
      </c>
      <c r="AC717" s="1"/>
      <c r="AD717" s="1"/>
      <c r="AE717" s="1"/>
      <c r="AF717" s="1"/>
      <c r="AG717" s="1"/>
      <c r="AH717" s="1"/>
      <c r="AI717" s="1"/>
      <c r="AJ717" s="1"/>
      <c r="AK717" s="1"/>
      <c r="AL717" s="1"/>
      <c r="AM717" s="1"/>
      <c r="AN717" s="1"/>
      <c r="AO717" s="1" t="s">
        <v>6058</v>
      </c>
      <c r="AP717" s="1"/>
      <c r="AQ717" s="1"/>
      <c r="AR717" s="1"/>
      <c r="AS717" s="1"/>
      <c r="AT717" s="1" t="s">
        <v>538</v>
      </c>
      <c r="AU717" s="3">
        <v>2009</v>
      </c>
      <c r="AV717" s="3">
        <v>8</v>
      </c>
      <c r="AW717" s="3">
        <v>1</v>
      </c>
      <c r="AX717" s="2"/>
      <c r="AY717" s="2"/>
      <c r="AZ717" s="1"/>
      <c r="BA717" s="2"/>
      <c r="BB717" s="3">
        <v>61</v>
      </c>
      <c r="BC717" s="3">
        <v>67</v>
      </c>
      <c r="BD717" s="2"/>
      <c r="BE717" s="1"/>
      <c r="BF717" s="1"/>
      <c r="BG717" s="1"/>
      <c r="BH717" s="1"/>
      <c r="BI717" s="1"/>
      <c r="BJ717" s="1"/>
      <c r="BK717" s="1"/>
      <c r="BL717" s="1"/>
      <c r="BM717" s="1"/>
      <c r="BN717" s="2"/>
      <c r="BO717" s="1"/>
      <c r="BP717" s="1"/>
      <c r="BQ717" s="1"/>
      <c r="BR717" s="1"/>
      <c r="BS717" s="1" t="s">
        <v>6059</v>
      </c>
      <c r="BT717" s="5">
        <f>HYPERLINK("https%3A%2F%2Fwww.webofscience.com%2Fwos%2Fwoscc%2Ffull-record%2FWOS:000267646700005","View Full Record in Web of Science")</f>
      </c>
    </row>
    <row x14ac:dyDescent="0.25" r="718" customHeight="1" ht="12.75">
      <c r="A718" s="1" t="s">
        <v>72</v>
      </c>
      <c r="B718" s="1" t="s">
        <v>4520</v>
      </c>
      <c r="C718" s="1"/>
      <c r="D718" s="1"/>
      <c r="E718" s="1"/>
      <c r="F718" s="1" t="s">
        <v>6060</v>
      </c>
      <c r="G718" s="1"/>
      <c r="H718" s="1"/>
      <c r="I718" s="1" t="s">
        <v>6061</v>
      </c>
      <c r="J718" s="1" t="s">
        <v>6062</v>
      </c>
      <c r="K718" s="1"/>
      <c r="L718" s="1"/>
      <c r="M718" s="1"/>
      <c r="N718" s="1"/>
      <c r="O718" s="1"/>
      <c r="P718" s="2"/>
      <c r="Q718" s="1"/>
      <c r="R718" s="1"/>
      <c r="S718" s="1"/>
      <c r="T718" s="1"/>
      <c r="U718" s="1"/>
      <c r="V718" s="1" t="s">
        <v>6063</v>
      </c>
      <c r="W718" s="1"/>
      <c r="X718" s="1"/>
      <c r="Y718" s="1"/>
      <c r="Z718" s="1"/>
      <c r="AA718" s="1"/>
      <c r="AB718" s="1"/>
      <c r="AC718" s="1"/>
      <c r="AD718" s="1"/>
      <c r="AE718" s="1"/>
      <c r="AF718" s="1"/>
      <c r="AG718" s="1"/>
      <c r="AH718" s="1"/>
      <c r="AI718" s="1"/>
      <c r="AJ718" s="1"/>
      <c r="AK718" s="1"/>
      <c r="AL718" s="1"/>
      <c r="AM718" s="1"/>
      <c r="AN718" s="1"/>
      <c r="AO718" s="1" t="s">
        <v>6064</v>
      </c>
      <c r="AP718" s="1" t="s">
        <v>6065</v>
      </c>
      <c r="AQ718" s="1"/>
      <c r="AR718" s="1"/>
      <c r="AS718" s="1"/>
      <c r="AT718" s="1" t="s">
        <v>265</v>
      </c>
      <c r="AU718" s="3">
        <v>2008</v>
      </c>
      <c r="AV718" s="3">
        <v>9</v>
      </c>
      <c r="AW718" s="3">
        <v>5</v>
      </c>
      <c r="AX718" s="2"/>
      <c r="AY718" s="2"/>
      <c r="AZ718" s="1"/>
      <c r="BA718" s="2"/>
      <c r="BB718" s="3">
        <v>979</v>
      </c>
      <c r="BC718" s="3">
        <v>1003</v>
      </c>
      <c r="BD718" s="2"/>
      <c r="BE718" s="1" t="s">
        <v>6066</v>
      </c>
      <c r="BF718" s="4">
        <f>HYPERLINK("http://dx.doi.org/10.1007/s00023-008-0379-3","http://dx.doi.org/10.1007/s00023-008-0379-3")</f>
      </c>
      <c r="BG718" s="1"/>
      <c r="BH718" s="1"/>
      <c r="BI718" s="1"/>
      <c r="BJ718" s="1"/>
      <c r="BK718" s="1"/>
      <c r="BL718" s="1"/>
      <c r="BM718" s="1"/>
      <c r="BN718" s="2"/>
      <c r="BO718" s="1"/>
      <c r="BP718" s="1"/>
      <c r="BQ718" s="1"/>
      <c r="BR718" s="1"/>
      <c r="BS718" s="1" t="s">
        <v>6067</v>
      </c>
      <c r="BT718" s="5">
        <f>HYPERLINK("https%3A%2F%2Fwww.webofscience.com%2Fwos%2Fwoscc%2Ffull-record%2FWOS:000258702900005","View Full Record in Web of Science")</f>
      </c>
    </row>
    <row x14ac:dyDescent="0.25" r="719" customHeight="1" ht="12.75">
      <c r="A719" s="1" t="s">
        <v>303</v>
      </c>
      <c r="B719" s="1" t="s">
        <v>6068</v>
      </c>
      <c r="C719" s="1"/>
      <c r="D719" s="1" t="s">
        <v>6069</v>
      </c>
      <c r="E719" s="1"/>
      <c r="F719" s="1" t="s">
        <v>6070</v>
      </c>
      <c r="G719" s="1"/>
      <c r="H719" s="1"/>
      <c r="I719" s="1" t="s">
        <v>6071</v>
      </c>
      <c r="J719" s="1" t="s">
        <v>6072</v>
      </c>
      <c r="K719" s="1" t="s">
        <v>6073</v>
      </c>
      <c r="L719" s="1"/>
      <c r="M719" s="1"/>
      <c r="N719" s="1"/>
      <c r="O719" s="1" t="s">
        <v>6074</v>
      </c>
      <c r="P719" s="2" t="s">
        <v>6075</v>
      </c>
      <c r="Q719" s="1" t="s">
        <v>6076</v>
      </c>
      <c r="R719" s="1" t="s">
        <v>6077</v>
      </c>
      <c r="S719" s="1"/>
      <c r="T719" s="1"/>
      <c r="U719" s="1"/>
      <c r="V719" s="1" t="s">
        <v>6078</v>
      </c>
      <c r="W719" s="1"/>
      <c r="X719" s="1"/>
      <c r="Y719" s="1"/>
      <c r="Z719" s="1"/>
      <c r="AA719" s="1"/>
      <c r="AB719" s="1"/>
      <c r="AC719" s="1"/>
      <c r="AD719" s="1"/>
      <c r="AE719" s="1"/>
      <c r="AF719" s="1"/>
      <c r="AG719" s="1"/>
      <c r="AH719" s="1"/>
      <c r="AI719" s="1"/>
      <c r="AJ719" s="1"/>
      <c r="AK719" s="1"/>
      <c r="AL719" s="1"/>
      <c r="AM719" s="1"/>
      <c r="AN719" s="1"/>
      <c r="AO719" s="1" t="s">
        <v>6079</v>
      </c>
      <c r="AP719" s="1"/>
      <c r="AQ719" s="1" t="s">
        <v>6080</v>
      </c>
      <c r="AR719" s="1"/>
      <c r="AS719" s="1"/>
      <c r="AT719" s="1"/>
      <c r="AU719" s="3">
        <v>2008</v>
      </c>
      <c r="AV719" s="3">
        <v>18</v>
      </c>
      <c r="AW719" s="2" t="s">
        <v>6081</v>
      </c>
      <c r="AX719" s="2"/>
      <c r="AY719" s="2"/>
      <c r="AZ719" s="1"/>
      <c r="BA719" s="2"/>
      <c r="BB719" s="3">
        <v>13</v>
      </c>
      <c r="BC719" s="2" t="s">
        <v>1630</v>
      </c>
      <c r="BD719" s="2"/>
      <c r="BE719" s="1"/>
      <c r="BF719" s="1"/>
      <c r="BG719" s="1"/>
      <c r="BH719" s="1"/>
      <c r="BI719" s="1"/>
      <c r="BJ719" s="1"/>
      <c r="BK719" s="1"/>
      <c r="BL719" s="1"/>
      <c r="BM719" s="1"/>
      <c r="BN719" s="2"/>
      <c r="BO719" s="1"/>
      <c r="BP719" s="1"/>
      <c r="BQ719" s="1"/>
      <c r="BR719" s="1"/>
      <c r="BS719" s="1" t="s">
        <v>6082</v>
      </c>
      <c r="BT719" s="5">
        <f>HYPERLINK("https%3A%2F%2Fwww.webofscience.com%2Fwos%2Fwoscc%2Ffull-record%2FWOS:000261093200004","View Full Record in Web of Science")</f>
      </c>
    </row>
    <row x14ac:dyDescent="0.25" r="720" customHeight="1" ht="12.75">
      <c r="A720" s="1" t="s">
        <v>72</v>
      </c>
      <c r="B720" s="1" t="s">
        <v>6083</v>
      </c>
      <c r="C720" s="1"/>
      <c r="D720" s="1"/>
      <c r="E720" s="1"/>
      <c r="F720" s="1" t="s">
        <v>6084</v>
      </c>
      <c r="G720" s="1"/>
      <c r="H720" s="1"/>
      <c r="I720" s="1" t="s">
        <v>6085</v>
      </c>
      <c r="J720" s="1" t="s">
        <v>1669</v>
      </c>
      <c r="K720" s="1"/>
      <c r="L720" s="1"/>
      <c r="M720" s="1"/>
      <c r="N720" s="1"/>
      <c r="O720" s="1" t="s">
        <v>6086</v>
      </c>
      <c r="P720" s="2" t="s">
        <v>6087</v>
      </c>
      <c r="Q720" s="1" t="s">
        <v>507</v>
      </c>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t="s">
        <v>1670</v>
      </c>
      <c r="AP720" s="1"/>
      <c r="AQ720" s="1"/>
      <c r="AR720" s="1"/>
      <c r="AS720" s="1"/>
      <c r="AT720" s="1"/>
      <c r="AU720" s="3">
        <v>2008</v>
      </c>
      <c r="AV720" s="3">
        <v>34</v>
      </c>
      <c r="AW720" s="3">
        <v>67</v>
      </c>
      <c r="AX720" s="2"/>
      <c r="AY720" s="2"/>
      <c r="AZ720" s="1"/>
      <c r="BA720" s="2"/>
      <c r="BB720" s="3">
        <v>47</v>
      </c>
      <c r="BC720" s="3">
        <v>65</v>
      </c>
      <c r="BD720" s="2"/>
      <c r="BE720" s="1"/>
      <c r="BF720" s="1"/>
      <c r="BG720" s="1"/>
      <c r="BH720" s="1"/>
      <c r="BI720" s="1"/>
      <c r="BJ720" s="1"/>
      <c r="BK720" s="1"/>
      <c r="BL720" s="1"/>
      <c r="BM720" s="1"/>
      <c r="BN720" s="2"/>
      <c r="BO720" s="1"/>
      <c r="BP720" s="1"/>
      <c r="BQ720" s="1"/>
      <c r="BR720" s="1"/>
      <c r="BS720" s="1" t="s">
        <v>6088</v>
      </c>
      <c r="BT720" s="5">
        <f>HYPERLINK("https%3A%2F%2Fwww.webofscience.com%2Fwos%2Fwoscc%2Ffull-record%2FWOS:000265620500004","View Full Record in Web of Science")</f>
      </c>
    </row>
    <row x14ac:dyDescent="0.25" r="721" customHeight="1" ht="12.75">
      <c r="A721" s="1" t="s">
        <v>72</v>
      </c>
      <c r="B721" s="1" t="s">
        <v>2291</v>
      </c>
      <c r="C721" s="1"/>
      <c r="D721" s="1"/>
      <c r="E721" s="1"/>
      <c r="F721" s="1" t="s">
        <v>4466</v>
      </c>
      <c r="G721" s="1"/>
      <c r="H721" s="1"/>
      <c r="I721" s="1" t="s">
        <v>6089</v>
      </c>
      <c r="J721" s="1" t="s">
        <v>725</v>
      </c>
      <c r="K721" s="1"/>
      <c r="L721" s="1"/>
      <c r="M721" s="1"/>
      <c r="N721" s="1"/>
      <c r="O721" s="1"/>
      <c r="P721" s="2"/>
      <c r="Q721" s="1"/>
      <c r="R721" s="1"/>
      <c r="S721" s="1"/>
      <c r="T721" s="1"/>
      <c r="U721" s="1"/>
      <c r="V721" s="1" t="s">
        <v>6090</v>
      </c>
      <c r="W721" s="1"/>
      <c r="X721" s="1"/>
      <c r="Y721" s="1"/>
      <c r="Z721" s="1"/>
      <c r="AA721" s="1"/>
      <c r="AB721" s="1"/>
      <c r="AC721" s="1"/>
      <c r="AD721" s="1"/>
      <c r="AE721" s="1"/>
      <c r="AF721" s="1"/>
      <c r="AG721" s="1"/>
      <c r="AH721" s="1"/>
      <c r="AI721" s="1"/>
      <c r="AJ721" s="1"/>
      <c r="AK721" s="1"/>
      <c r="AL721" s="1"/>
      <c r="AM721" s="1"/>
      <c r="AN721" s="1"/>
      <c r="AO721" s="1" t="s">
        <v>727</v>
      </c>
      <c r="AP721" s="1"/>
      <c r="AQ721" s="1"/>
      <c r="AR721" s="1"/>
      <c r="AS721" s="1"/>
      <c r="AT721" s="1" t="s">
        <v>292</v>
      </c>
      <c r="AU721" s="3">
        <v>2007</v>
      </c>
      <c r="AV721" s="2"/>
      <c r="AW721" s="3">
        <v>42</v>
      </c>
      <c r="AX721" s="2"/>
      <c r="AY721" s="2"/>
      <c r="AZ721" s="1"/>
      <c r="BA721" s="2"/>
      <c r="BB721" s="3">
        <v>141</v>
      </c>
      <c r="BC721" s="3">
        <v>154</v>
      </c>
      <c r="BD721" s="2"/>
      <c r="BE721" s="1"/>
      <c r="BF721" s="1"/>
      <c r="BG721" s="1"/>
      <c r="BH721" s="1"/>
      <c r="BI721" s="1"/>
      <c r="BJ721" s="1"/>
      <c r="BK721" s="1"/>
      <c r="BL721" s="1"/>
      <c r="BM721" s="1"/>
      <c r="BN721" s="2"/>
      <c r="BO721" s="1"/>
      <c r="BP721" s="1"/>
      <c r="BQ721" s="1"/>
      <c r="BR721" s="1"/>
      <c r="BS721" s="1" t="s">
        <v>6091</v>
      </c>
      <c r="BT721" s="5">
        <f>HYPERLINK("https%3A%2F%2Fwww.webofscience.com%2Fwos%2Fwoscc%2Ffull-record%2FWOS:000249743900009","View Full Record in Web of Science")</f>
      </c>
    </row>
    <row x14ac:dyDescent="0.25" r="722" customHeight="1" ht="12.75">
      <c r="A722" s="1" t="s">
        <v>72</v>
      </c>
      <c r="B722" s="1" t="s">
        <v>4520</v>
      </c>
      <c r="C722" s="1"/>
      <c r="D722" s="1"/>
      <c r="E722" s="1"/>
      <c r="F722" s="1" t="s">
        <v>6060</v>
      </c>
      <c r="G722" s="1"/>
      <c r="H722" s="1"/>
      <c r="I722" s="1" t="s">
        <v>6092</v>
      </c>
      <c r="J722" s="1" t="s">
        <v>6093</v>
      </c>
      <c r="K722" s="1"/>
      <c r="L722" s="1"/>
      <c r="M722" s="1"/>
      <c r="N722" s="1"/>
      <c r="O722" s="1"/>
      <c r="P722" s="2"/>
      <c r="Q722" s="1"/>
      <c r="R722" s="1"/>
      <c r="S722" s="1"/>
      <c r="T722" s="1"/>
      <c r="U722" s="1"/>
      <c r="V722" s="1" t="s">
        <v>6094</v>
      </c>
      <c r="W722" s="1"/>
      <c r="X722" s="1"/>
      <c r="Y722" s="1"/>
      <c r="Z722" s="1"/>
      <c r="AA722" s="1"/>
      <c r="AB722" s="1"/>
      <c r="AC722" s="1"/>
      <c r="AD722" s="1"/>
      <c r="AE722" s="1"/>
      <c r="AF722" s="1"/>
      <c r="AG722" s="1"/>
      <c r="AH722" s="1"/>
      <c r="AI722" s="1"/>
      <c r="AJ722" s="1"/>
      <c r="AK722" s="1"/>
      <c r="AL722" s="1"/>
      <c r="AM722" s="1"/>
      <c r="AN722" s="1"/>
      <c r="AO722" s="1" t="s">
        <v>6095</v>
      </c>
      <c r="AP722" s="1"/>
      <c r="AQ722" s="1"/>
      <c r="AR722" s="1"/>
      <c r="AS722" s="1"/>
      <c r="AT722" s="1" t="s">
        <v>683</v>
      </c>
      <c r="AU722" s="3">
        <v>2007</v>
      </c>
      <c r="AV722" s="3">
        <v>77</v>
      </c>
      <c r="AW722" s="3">
        <v>9</v>
      </c>
      <c r="AX722" s="2"/>
      <c r="AY722" s="2"/>
      <c r="AZ722" s="1"/>
      <c r="BA722" s="2"/>
      <c r="BB722" s="3">
        <v>931</v>
      </c>
      <c r="BC722" s="3">
        <v>936</v>
      </c>
      <c r="BD722" s="2"/>
      <c r="BE722" s="1" t="s">
        <v>6096</v>
      </c>
      <c r="BF722" s="4">
        <f>HYPERLINK("http://dx.doi.org/10.1016/j.spl.2007.01.005","http://dx.doi.org/10.1016/j.spl.2007.01.005")</f>
      </c>
      <c r="BG722" s="1"/>
      <c r="BH722" s="1"/>
      <c r="BI722" s="1"/>
      <c r="BJ722" s="1"/>
      <c r="BK722" s="1"/>
      <c r="BL722" s="1"/>
      <c r="BM722" s="1"/>
      <c r="BN722" s="2"/>
      <c r="BO722" s="1"/>
      <c r="BP722" s="1"/>
      <c r="BQ722" s="1"/>
      <c r="BR722" s="1"/>
      <c r="BS722" s="1" t="s">
        <v>6097</v>
      </c>
      <c r="BT722" s="5">
        <f>HYPERLINK("https%3A%2F%2Fwww.webofscience.com%2Fwos%2Fwoscc%2Ffull-record%2FWOS:000247900500011","View Full Record in Web of Science")</f>
      </c>
    </row>
    <row x14ac:dyDescent="0.25" r="723" customHeight="1" ht="12.75">
      <c r="A723" s="1" t="s">
        <v>72</v>
      </c>
      <c r="B723" s="1" t="s">
        <v>6098</v>
      </c>
      <c r="C723" s="1"/>
      <c r="D723" s="1"/>
      <c r="E723" s="1"/>
      <c r="F723" s="1" t="s">
        <v>6099</v>
      </c>
      <c r="G723" s="1"/>
      <c r="H723" s="1"/>
      <c r="I723" s="1" t="s">
        <v>6100</v>
      </c>
      <c r="J723" s="1" t="s">
        <v>6101</v>
      </c>
      <c r="K723" s="1"/>
      <c r="L723" s="1"/>
      <c r="M723" s="1"/>
      <c r="N723" s="1"/>
      <c r="O723" s="1"/>
      <c r="P723" s="2"/>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t="s">
        <v>6102</v>
      </c>
      <c r="AP723" s="1"/>
      <c r="AQ723" s="1"/>
      <c r="AR723" s="1"/>
      <c r="AS723" s="1"/>
      <c r="AT723" s="1" t="s">
        <v>3654</v>
      </c>
      <c r="AU723" s="3">
        <v>2006</v>
      </c>
      <c r="AV723" s="2"/>
      <c r="AW723" s="3">
        <v>224</v>
      </c>
      <c r="AX723" s="2"/>
      <c r="AY723" s="2"/>
      <c r="AZ723" s="1"/>
      <c r="BA723" s="2"/>
      <c r="BB723" s="3">
        <v>1174</v>
      </c>
      <c r="BC723" s="3">
        <v>1179</v>
      </c>
      <c r="BD723" s="2"/>
      <c r="BE723" s="1"/>
      <c r="BF723" s="1"/>
      <c r="BG723" s="1"/>
      <c r="BH723" s="1"/>
      <c r="BI723" s="1"/>
      <c r="BJ723" s="1"/>
      <c r="BK723" s="1"/>
      <c r="BL723" s="1"/>
      <c r="BM723" s="1"/>
      <c r="BN723" s="2"/>
      <c r="BO723" s="1"/>
      <c r="BP723" s="1"/>
      <c r="BQ723" s="1"/>
      <c r="BR723" s="1"/>
      <c r="BS723" s="1" t="s">
        <v>6103</v>
      </c>
      <c r="BT723" s="5">
        <f>HYPERLINK("https%3A%2F%2Fwww.webofscience.com%2Fwos%2Fwoscc%2Ffull-record%2FWOS:000244839200020","View Full Record in Web of Science")</f>
      </c>
    </row>
    <row x14ac:dyDescent="0.25" r="724" customHeight="1" ht="12.75">
      <c r="A724" s="1" t="s">
        <v>72</v>
      </c>
      <c r="B724" s="1" t="s">
        <v>831</v>
      </c>
      <c r="C724" s="1"/>
      <c r="D724" s="1"/>
      <c r="E724" s="1"/>
      <c r="F724" s="1" t="s">
        <v>831</v>
      </c>
      <c r="G724" s="1"/>
      <c r="H724" s="1"/>
      <c r="I724" s="1" t="s">
        <v>6104</v>
      </c>
      <c r="J724" s="1" t="s">
        <v>5780</v>
      </c>
      <c r="K724" s="1"/>
      <c r="L724" s="1"/>
      <c r="M724" s="1"/>
      <c r="N724" s="1"/>
      <c r="O724" s="1"/>
      <c r="P724" s="2"/>
      <c r="Q724" s="1"/>
      <c r="R724" s="1"/>
      <c r="S724" s="1"/>
      <c r="T724" s="1"/>
      <c r="U724" s="1"/>
      <c r="V724" s="1" t="s">
        <v>6105</v>
      </c>
      <c r="W724" s="1"/>
      <c r="X724" s="1"/>
      <c r="Y724" s="1"/>
      <c r="Z724" s="1"/>
      <c r="AA724" s="1" t="s">
        <v>835</v>
      </c>
      <c r="AB724" s="1"/>
      <c r="AC724" s="1"/>
      <c r="AD724" s="1"/>
      <c r="AE724" s="1"/>
      <c r="AF724" s="1"/>
      <c r="AG724" s="1"/>
      <c r="AH724" s="1"/>
      <c r="AI724" s="1"/>
      <c r="AJ724" s="1"/>
      <c r="AK724" s="1"/>
      <c r="AL724" s="1"/>
      <c r="AM724" s="1"/>
      <c r="AN724" s="1"/>
      <c r="AO724" s="1" t="s">
        <v>5784</v>
      </c>
      <c r="AP724" s="1" t="s">
        <v>5785</v>
      </c>
      <c r="AQ724" s="1"/>
      <c r="AR724" s="1"/>
      <c r="AS724" s="1"/>
      <c r="AT724" s="1" t="s">
        <v>6106</v>
      </c>
      <c r="AU724" s="3">
        <v>2005</v>
      </c>
      <c r="AV724" s="3">
        <v>95</v>
      </c>
      <c r="AW724" s="3">
        <v>10</v>
      </c>
      <c r="AX724" s="2"/>
      <c r="AY724" s="2"/>
      <c r="AZ724" s="1"/>
      <c r="BA724" s="2"/>
      <c r="BB724" s="2"/>
      <c r="BC724" s="2"/>
      <c r="BD724" s="3">
        <v>108002</v>
      </c>
      <c r="BE724" s="1" t="s">
        <v>6107</v>
      </c>
      <c r="BF724" s="4">
        <f>HYPERLINK("http://dx.doi.org/10.1103/PhysRevLett.95.108002","http://dx.doi.org/10.1103/PhysRevLett.95.108002")</f>
      </c>
      <c r="BG724" s="1"/>
      <c r="BH724" s="1"/>
      <c r="BI724" s="1"/>
      <c r="BJ724" s="1"/>
      <c r="BK724" s="1"/>
      <c r="BL724" s="1"/>
      <c r="BM724" s="1"/>
      <c r="BN724" s="3">
        <v>16196969</v>
      </c>
      <c r="BO724" s="1"/>
      <c r="BP724" s="1"/>
      <c r="BQ724" s="1"/>
      <c r="BR724" s="1"/>
      <c r="BS724" s="1" t="s">
        <v>6108</v>
      </c>
      <c r="BT724" s="5">
        <f>HYPERLINK("https%3A%2F%2Fwww.webofscience.com%2Fwos%2Fwoscc%2Ffull-record%2FWOS:000231615700058","View Full Record in Web of Science")</f>
      </c>
    </row>
    <row x14ac:dyDescent="0.25" r="725" customHeight="1" ht="12.75">
      <c r="A725" s="1" t="s">
        <v>72</v>
      </c>
      <c r="B725" s="1" t="s">
        <v>6109</v>
      </c>
      <c r="C725" s="1"/>
      <c r="D725" s="1"/>
      <c r="E725" s="1"/>
      <c r="F725" s="1" t="s">
        <v>6109</v>
      </c>
      <c r="G725" s="1"/>
      <c r="H725" s="1"/>
      <c r="I725" s="1" t="s">
        <v>6110</v>
      </c>
      <c r="J725" s="1" t="s">
        <v>1459</v>
      </c>
      <c r="K725" s="1"/>
      <c r="L725" s="1"/>
      <c r="M725" s="1"/>
      <c r="N725" s="1"/>
      <c r="O725" s="1"/>
      <c r="P725" s="2"/>
      <c r="Q725" s="1"/>
      <c r="R725" s="1"/>
      <c r="S725" s="1"/>
      <c r="T725" s="1"/>
      <c r="U725" s="1"/>
      <c r="V725" s="1" t="s">
        <v>6111</v>
      </c>
      <c r="W725" s="1"/>
      <c r="X725" s="1"/>
      <c r="Y725" s="1"/>
      <c r="Z725" s="1"/>
      <c r="AA725" s="1" t="s">
        <v>2438</v>
      </c>
      <c r="AB725" s="1"/>
      <c r="AC725" s="1"/>
      <c r="AD725" s="1"/>
      <c r="AE725" s="1"/>
      <c r="AF725" s="1"/>
      <c r="AG725" s="1"/>
      <c r="AH725" s="1"/>
      <c r="AI725" s="1"/>
      <c r="AJ725" s="1"/>
      <c r="AK725" s="1"/>
      <c r="AL725" s="1"/>
      <c r="AM725" s="1"/>
      <c r="AN725" s="1"/>
      <c r="AO725" s="1" t="s">
        <v>1462</v>
      </c>
      <c r="AP725" s="1"/>
      <c r="AQ725" s="1"/>
      <c r="AR725" s="1"/>
      <c r="AS725" s="1"/>
      <c r="AT725" s="1" t="s">
        <v>3050</v>
      </c>
      <c r="AU725" s="3">
        <v>2005</v>
      </c>
      <c r="AV725" s="3">
        <v>41</v>
      </c>
      <c r="AW725" s="3">
        <v>5</v>
      </c>
      <c r="AX725" s="2"/>
      <c r="AY725" s="2"/>
      <c r="AZ725" s="1"/>
      <c r="BA725" s="2"/>
      <c r="BB725" s="3">
        <v>340</v>
      </c>
      <c r="BC725" s="3">
        <v>350</v>
      </c>
      <c r="BD725" s="2"/>
      <c r="BE725" s="1" t="s">
        <v>6112</v>
      </c>
      <c r="BF725" s="4">
        <f>HYPERLINK("http://dx.doi.org/10.3989/revmetalm.2005.v41.i5.223","http://dx.doi.org/10.3989/revmetalm.2005.v41.i5.223")</f>
      </c>
      <c r="BG725" s="1"/>
      <c r="BH725" s="1"/>
      <c r="BI725" s="1"/>
      <c r="BJ725" s="1"/>
      <c r="BK725" s="1"/>
      <c r="BL725" s="1"/>
      <c r="BM725" s="1"/>
      <c r="BN725" s="2"/>
      <c r="BO725" s="1"/>
      <c r="BP725" s="1"/>
      <c r="BQ725" s="1"/>
      <c r="BR725" s="1"/>
      <c r="BS725" s="1" t="s">
        <v>6113</v>
      </c>
      <c r="BT725" s="5">
        <f>HYPERLINK("https%3A%2F%2Fwww.webofscience.com%2Fwos%2Fwoscc%2Ffull-record%2FWOS:000236367800003","View Full Record in Web of Science")</f>
      </c>
    </row>
    <row x14ac:dyDescent="0.25" r="726" customHeight="1" ht="12.75">
      <c r="A726" s="1" t="s">
        <v>303</v>
      </c>
      <c r="B726" s="1" t="s">
        <v>6114</v>
      </c>
      <c r="C726" s="1"/>
      <c r="D726" s="1"/>
      <c r="E726" s="1" t="s">
        <v>571</v>
      </c>
      <c r="F726" s="1" t="s">
        <v>6115</v>
      </c>
      <c r="G726" s="1"/>
      <c r="H726" s="1"/>
      <c r="I726" s="1" t="s">
        <v>6116</v>
      </c>
      <c r="J726" s="1" t="s">
        <v>6117</v>
      </c>
      <c r="K726" s="1" t="s">
        <v>6118</v>
      </c>
      <c r="L726" s="1"/>
      <c r="M726" s="1"/>
      <c r="N726" s="1"/>
      <c r="O726" s="1" t="s">
        <v>1486</v>
      </c>
      <c r="P726" s="2" t="s">
        <v>6119</v>
      </c>
      <c r="Q726" s="1" t="s">
        <v>3757</v>
      </c>
      <c r="R726" s="1" t="s">
        <v>6120</v>
      </c>
      <c r="S726" s="1"/>
      <c r="T726" s="1"/>
      <c r="U726" s="1"/>
      <c r="V726" s="1" t="s">
        <v>6121</v>
      </c>
      <c r="W726" s="1"/>
      <c r="X726" s="1"/>
      <c r="Y726" s="1"/>
      <c r="Z726" s="1"/>
      <c r="AA726" s="1"/>
      <c r="AB726" s="1"/>
      <c r="AC726" s="1"/>
      <c r="AD726" s="1"/>
      <c r="AE726" s="1"/>
      <c r="AF726" s="1"/>
      <c r="AG726" s="1"/>
      <c r="AH726" s="1"/>
      <c r="AI726" s="1"/>
      <c r="AJ726" s="1"/>
      <c r="AK726" s="1"/>
      <c r="AL726" s="1"/>
      <c r="AM726" s="1"/>
      <c r="AN726" s="1"/>
      <c r="AO726" s="1"/>
      <c r="AP726" s="1"/>
      <c r="AQ726" s="1" t="s">
        <v>6122</v>
      </c>
      <c r="AR726" s="1"/>
      <c r="AS726" s="1"/>
      <c r="AT726" s="1"/>
      <c r="AU726" s="3">
        <v>2005</v>
      </c>
      <c r="AV726" s="3">
        <v>261</v>
      </c>
      <c r="AW726" s="2"/>
      <c r="AX726" s="2"/>
      <c r="AY726" s="2"/>
      <c r="AZ726" s="1"/>
      <c r="BA726" s="2"/>
      <c r="BB726" s="3">
        <v>913</v>
      </c>
      <c r="BC726" s="3">
        <v>918</v>
      </c>
      <c r="BD726" s="2"/>
      <c r="BE726" s="1"/>
      <c r="BF726" s="1"/>
      <c r="BG726" s="1"/>
      <c r="BH726" s="1"/>
      <c r="BI726" s="1"/>
      <c r="BJ726" s="1"/>
      <c r="BK726" s="1"/>
      <c r="BL726" s="1"/>
      <c r="BM726" s="1"/>
      <c r="BN726" s="2"/>
      <c r="BO726" s="1"/>
      <c r="BP726" s="1"/>
      <c r="BQ726" s="1"/>
      <c r="BR726" s="1"/>
      <c r="BS726" s="1" t="s">
        <v>6123</v>
      </c>
      <c r="BT726" s="5">
        <f>HYPERLINK("https%3A%2F%2Fwww.webofscience.com%2Fwos%2Fwoscc%2Ffull-record%2FWOS:000243038600115","View Full Record in Web of Science")</f>
      </c>
    </row>
    <row x14ac:dyDescent="0.25" r="727" customHeight="1" ht="12.75">
      <c r="A727" s="1" t="s">
        <v>72</v>
      </c>
      <c r="B727" s="1" t="s">
        <v>6124</v>
      </c>
      <c r="C727" s="1"/>
      <c r="D727" s="1"/>
      <c r="E727" s="1"/>
      <c r="F727" s="1" t="s">
        <v>6124</v>
      </c>
      <c r="G727" s="1"/>
      <c r="H727" s="1"/>
      <c r="I727" s="1" t="s">
        <v>6125</v>
      </c>
      <c r="J727" s="1" t="s">
        <v>3022</v>
      </c>
      <c r="K727" s="1"/>
      <c r="L727" s="1"/>
      <c r="M727" s="1"/>
      <c r="N727" s="1"/>
      <c r="O727" s="1"/>
      <c r="P727" s="2"/>
      <c r="Q727" s="1"/>
      <c r="R727" s="1"/>
      <c r="S727" s="1"/>
      <c r="T727" s="1"/>
      <c r="U727" s="1"/>
      <c r="V727" s="1" t="s">
        <v>6126</v>
      </c>
      <c r="W727" s="1"/>
      <c r="X727" s="1"/>
      <c r="Y727" s="1"/>
      <c r="Z727" s="1"/>
      <c r="AA727" s="1" t="s">
        <v>6127</v>
      </c>
      <c r="AB727" s="1" t="s">
        <v>6128</v>
      </c>
      <c r="AC727" s="1"/>
      <c r="AD727" s="1"/>
      <c r="AE727" s="1"/>
      <c r="AF727" s="1"/>
      <c r="AG727" s="1"/>
      <c r="AH727" s="1"/>
      <c r="AI727" s="1"/>
      <c r="AJ727" s="1"/>
      <c r="AK727" s="1"/>
      <c r="AL727" s="1"/>
      <c r="AM727" s="1"/>
      <c r="AN727" s="1"/>
      <c r="AO727" s="1" t="s">
        <v>3025</v>
      </c>
      <c r="AP727" s="1"/>
      <c r="AQ727" s="1"/>
      <c r="AR727" s="1"/>
      <c r="AS727" s="1"/>
      <c r="AT727" s="1"/>
      <c r="AU727" s="3">
        <v>2004</v>
      </c>
      <c r="AV727" s="3">
        <v>45</v>
      </c>
      <c r="AW727" s="3">
        <v>8</v>
      </c>
      <c r="AX727" s="2"/>
      <c r="AY727" s="2"/>
      <c r="AZ727" s="1"/>
      <c r="BA727" s="2"/>
      <c r="BB727" s="3">
        <v>825</v>
      </c>
      <c r="BC727" s="3">
        <v>839</v>
      </c>
      <c r="BD727" s="2"/>
      <c r="BE727" s="1" t="s">
        <v>6129</v>
      </c>
      <c r="BF727" s="4">
        <f>HYPERLINK("http://dx.doi.org/10.1080/10407780390244425","http://dx.doi.org/10.1080/10407780390244425")</f>
      </c>
      <c r="BG727" s="1"/>
      <c r="BH727" s="1"/>
      <c r="BI727" s="1"/>
      <c r="BJ727" s="1"/>
      <c r="BK727" s="1"/>
      <c r="BL727" s="1"/>
      <c r="BM727" s="1"/>
      <c r="BN727" s="2"/>
      <c r="BO727" s="1"/>
      <c r="BP727" s="1"/>
      <c r="BQ727" s="1"/>
      <c r="BR727" s="1"/>
      <c r="BS727" s="1" t="s">
        <v>6130</v>
      </c>
      <c r="BT727" s="5">
        <f>HYPERLINK("https%3A%2F%2Fwww.webofscience.com%2Fwos%2Fwoscc%2Ffull-record%2FWOS:000221054000006","View Full Record in Web of Science")</f>
      </c>
    </row>
    <row x14ac:dyDescent="0.25" r="728" customHeight="1" ht="12.75">
      <c r="A728" s="1" t="s">
        <v>72</v>
      </c>
      <c r="B728" s="1" t="s">
        <v>6131</v>
      </c>
      <c r="C728" s="1"/>
      <c r="D728" s="1"/>
      <c r="E728" s="1"/>
      <c r="F728" s="1" t="s">
        <v>6131</v>
      </c>
      <c r="G728" s="1"/>
      <c r="H728" s="1"/>
      <c r="I728" s="1" t="s">
        <v>6132</v>
      </c>
      <c r="J728" s="1" t="s">
        <v>5303</v>
      </c>
      <c r="K728" s="1"/>
      <c r="L728" s="1"/>
      <c r="M728" s="1"/>
      <c r="N728" s="1"/>
      <c r="O728" s="1"/>
      <c r="P728" s="2"/>
      <c r="Q728" s="1"/>
      <c r="R728" s="1"/>
      <c r="S728" s="1"/>
      <c r="T728" s="1"/>
      <c r="U728" s="1"/>
      <c r="V728" s="1" t="s">
        <v>6133</v>
      </c>
      <c r="W728" s="1"/>
      <c r="X728" s="1"/>
      <c r="Y728" s="1"/>
      <c r="Z728" s="1"/>
      <c r="AA728" s="1" t="s">
        <v>5305</v>
      </c>
      <c r="AB728" s="1" t="s">
        <v>2943</v>
      </c>
      <c r="AC728" s="1"/>
      <c r="AD728" s="1"/>
      <c r="AE728" s="1"/>
      <c r="AF728" s="1"/>
      <c r="AG728" s="1"/>
      <c r="AH728" s="1"/>
      <c r="AI728" s="1"/>
      <c r="AJ728" s="1"/>
      <c r="AK728" s="1"/>
      <c r="AL728" s="1"/>
      <c r="AM728" s="1"/>
      <c r="AN728" s="1"/>
      <c r="AO728" s="1" t="s">
        <v>5306</v>
      </c>
      <c r="AP728" s="1"/>
      <c r="AQ728" s="1"/>
      <c r="AR728" s="1"/>
      <c r="AS728" s="1"/>
      <c r="AT728" s="1" t="s">
        <v>6134</v>
      </c>
      <c r="AU728" s="3">
        <v>2003</v>
      </c>
      <c r="AV728" s="3">
        <v>107</v>
      </c>
      <c r="AW728" s="3">
        <v>51</v>
      </c>
      <c r="AX728" s="2"/>
      <c r="AY728" s="2"/>
      <c r="AZ728" s="1"/>
      <c r="BA728" s="2"/>
      <c r="BB728" s="3">
        <v>11483</v>
      </c>
      <c r="BC728" s="3">
        <v>11488</v>
      </c>
      <c r="BD728" s="2"/>
      <c r="BE728" s="1" t="s">
        <v>6135</v>
      </c>
      <c r="BF728" s="4">
        <f>HYPERLINK("http://dx.doi.org/10.1021/jp030705y","http://dx.doi.org/10.1021/jp030705y")</f>
      </c>
      <c r="BG728" s="1"/>
      <c r="BH728" s="1"/>
      <c r="BI728" s="1"/>
      <c r="BJ728" s="1"/>
      <c r="BK728" s="1"/>
      <c r="BL728" s="1"/>
      <c r="BM728" s="1"/>
      <c r="BN728" s="2"/>
      <c r="BO728" s="1"/>
      <c r="BP728" s="1"/>
      <c r="BQ728" s="1"/>
      <c r="BR728" s="1"/>
      <c r="BS728" s="1" t="s">
        <v>6136</v>
      </c>
      <c r="BT728" s="5">
        <f>HYPERLINK("https%3A%2F%2Fwww.webofscience.com%2Fwos%2Fwoscc%2Ffull-record%2FWOS:000187446900027","View Full Record in Web of Science")</f>
      </c>
    </row>
    <row x14ac:dyDescent="0.25" r="729" customHeight="1" ht="12.75">
      <c r="A729" s="1" t="s">
        <v>72</v>
      </c>
      <c r="B729" s="1" t="s">
        <v>6137</v>
      </c>
      <c r="C729" s="1"/>
      <c r="D729" s="1"/>
      <c r="E729" s="1"/>
      <c r="F729" s="1" t="s">
        <v>6137</v>
      </c>
      <c r="G729" s="1"/>
      <c r="H729" s="1"/>
      <c r="I729" s="1" t="s">
        <v>6138</v>
      </c>
      <c r="J729" s="1" t="s">
        <v>1679</v>
      </c>
      <c r="K729" s="1"/>
      <c r="L729" s="1"/>
      <c r="M729" s="1"/>
      <c r="N729" s="1"/>
      <c r="O729" s="1" t="s">
        <v>6139</v>
      </c>
      <c r="P729" s="2" t="s">
        <v>6140</v>
      </c>
      <c r="Q729" s="1" t="s">
        <v>6141</v>
      </c>
      <c r="R729" s="1" t="s">
        <v>6142</v>
      </c>
      <c r="S729" s="1"/>
      <c r="T729" s="1"/>
      <c r="U729" s="1"/>
      <c r="V729" s="1"/>
      <c r="W729" s="1"/>
      <c r="X729" s="1"/>
      <c r="Y729" s="1"/>
      <c r="Z729" s="1"/>
      <c r="AA729" s="1" t="s">
        <v>6143</v>
      </c>
      <c r="AB729" s="1"/>
      <c r="AC729" s="1"/>
      <c r="AD729" s="1"/>
      <c r="AE729" s="1"/>
      <c r="AF729" s="1"/>
      <c r="AG729" s="1"/>
      <c r="AH729" s="1"/>
      <c r="AI729" s="1"/>
      <c r="AJ729" s="1"/>
      <c r="AK729" s="1"/>
      <c r="AL729" s="1"/>
      <c r="AM729" s="1"/>
      <c r="AN729" s="1"/>
      <c r="AO729" s="1" t="s">
        <v>1681</v>
      </c>
      <c r="AP729" s="1"/>
      <c r="AQ729" s="1"/>
      <c r="AR729" s="1"/>
      <c r="AS729" s="1"/>
      <c r="AT729" s="1" t="s">
        <v>292</v>
      </c>
      <c r="AU729" s="3">
        <v>2003</v>
      </c>
      <c r="AV729" s="3">
        <v>226</v>
      </c>
      <c r="AW729" s="2"/>
      <c r="AX729" s="3">
        <v>1</v>
      </c>
      <c r="AY729" s="2"/>
      <c r="AZ729" s="1"/>
      <c r="BA729" s="2" t="s">
        <v>6144</v>
      </c>
      <c r="BB729" s="2" t="s">
        <v>6145</v>
      </c>
      <c r="BC729" s="2" t="s">
        <v>6146</v>
      </c>
      <c r="BD729" s="2"/>
      <c r="BE729" s="1"/>
      <c r="BF729" s="1"/>
      <c r="BG729" s="1"/>
      <c r="BH729" s="1"/>
      <c r="BI729" s="1"/>
      <c r="BJ729" s="1"/>
      <c r="BK729" s="1"/>
      <c r="BL729" s="1"/>
      <c r="BM729" s="1"/>
      <c r="BN729" s="2"/>
      <c r="BO729" s="1"/>
      <c r="BP729" s="1"/>
      <c r="BQ729" s="1"/>
      <c r="BR729" s="1"/>
      <c r="BS729" s="1" t="s">
        <v>6147</v>
      </c>
      <c r="BT729" s="5">
        <f>HYPERLINK("https%3A%2F%2Fwww.webofscience.com%2Fwos%2Fwoscc%2Ffull-record%2FWOS:000187062400683","View Full Record in Web of Science")</f>
      </c>
    </row>
    <row x14ac:dyDescent="0.25" r="730" customHeight="1" ht="12.75">
      <c r="A730" s="1" t="s">
        <v>778</v>
      </c>
      <c r="B730" s="1" t="s">
        <v>6148</v>
      </c>
      <c r="C730" s="1"/>
      <c r="D730" s="1" t="s">
        <v>6149</v>
      </c>
      <c r="E730" s="1"/>
      <c r="F730" s="1" t="s">
        <v>6148</v>
      </c>
      <c r="G730" s="1"/>
      <c r="H730" s="1"/>
      <c r="I730" s="1" t="s">
        <v>6150</v>
      </c>
      <c r="J730" s="1" t="s">
        <v>6151</v>
      </c>
      <c r="K730" s="1" t="s">
        <v>3102</v>
      </c>
      <c r="L730" s="1"/>
      <c r="M730" s="1"/>
      <c r="N730" s="1"/>
      <c r="O730" s="1" t="s">
        <v>6152</v>
      </c>
      <c r="P730" s="2" t="s">
        <v>6153</v>
      </c>
      <c r="Q730" s="1" t="s">
        <v>6154</v>
      </c>
      <c r="R730" s="1" t="s">
        <v>6155</v>
      </c>
      <c r="S730" s="1"/>
      <c r="T730" s="1"/>
      <c r="U730" s="1"/>
      <c r="V730" s="1" t="s">
        <v>6156</v>
      </c>
      <c r="W730" s="1"/>
      <c r="X730" s="1"/>
      <c r="Y730" s="1"/>
      <c r="Z730" s="1"/>
      <c r="AA730" s="1"/>
      <c r="AB730" s="1"/>
      <c r="AC730" s="1"/>
      <c r="AD730" s="1"/>
      <c r="AE730" s="1"/>
      <c r="AF730" s="1"/>
      <c r="AG730" s="1"/>
      <c r="AH730" s="1"/>
      <c r="AI730" s="1"/>
      <c r="AJ730" s="1"/>
      <c r="AK730" s="1"/>
      <c r="AL730" s="1"/>
      <c r="AM730" s="1"/>
      <c r="AN730" s="1"/>
      <c r="AO730" s="1" t="s">
        <v>3108</v>
      </c>
      <c r="AP730" s="1"/>
      <c r="AQ730" s="1" t="s">
        <v>6157</v>
      </c>
      <c r="AR730" s="1"/>
      <c r="AS730" s="1"/>
      <c r="AT730" s="1"/>
      <c r="AU730" s="3">
        <v>2003</v>
      </c>
      <c r="AV730" s="3">
        <v>2905</v>
      </c>
      <c r="AW730" s="2"/>
      <c r="AX730" s="2"/>
      <c r="AY730" s="2"/>
      <c r="AZ730" s="1"/>
      <c r="BA730" s="2"/>
      <c r="BB730" s="3">
        <v>350</v>
      </c>
      <c r="BC730" s="3">
        <v>358</v>
      </c>
      <c r="BD730" s="2"/>
      <c r="BE730" s="1"/>
      <c r="BF730" s="1"/>
      <c r="BG730" s="1"/>
      <c r="BH730" s="1"/>
      <c r="BI730" s="1"/>
      <c r="BJ730" s="1"/>
      <c r="BK730" s="1"/>
      <c r="BL730" s="1"/>
      <c r="BM730" s="1"/>
      <c r="BN730" s="2"/>
      <c r="BO730" s="1"/>
      <c r="BP730" s="1"/>
      <c r="BQ730" s="1"/>
      <c r="BR730" s="1"/>
      <c r="BS730" s="1" t="s">
        <v>6158</v>
      </c>
      <c r="BT730" s="5">
        <f>HYPERLINK("https%3A%2F%2Fwww.webofscience.com%2Fwos%2Fwoscc%2Ffull-record%2FWOS:000188097600043","View Full Record in Web of Science")</f>
      </c>
    </row>
    <row x14ac:dyDescent="0.25" r="731" customHeight="1" ht="12.75">
      <c r="A731" s="1" t="s">
        <v>778</v>
      </c>
      <c r="B731" s="1" t="s">
        <v>743</v>
      </c>
      <c r="C731" s="1"/>
      <c r="D731" s="1" t="s">
        <v>6159</v>
      </c>
      <c r="E731" s="1"/>
      <c r="F731" s="1" t="s">
        <v>743</v>
      </c>
      <c r="G731" s="1"/>
      <c r="H731" s="1"/>
      <c r="I731" s="1" t="s">
        <v>6160</v>
      </c>
      <c r="J731" s="1" t="s">
        <v>6161</v>
      </c>
      <c r="K731" s="1" t="s">
        <v>3102</v>
      </c>
      <c r="L731" s="1"/>
      <c r="M731" s="1"/>
      <c r="N731" s="1"/>
      <c r="O731" s="1" t="s">
        <v>6162</v>
      </c>
      <c r="P731" s="2" t="s">
        <v>6163</v>
      </c>
      <c r="Q731" s="1" t="s">
        <v>6164</v>
      </c>
      <c r="R731" s="1" t="s">
        <v>6165</v>
      </c>
      <c r="S731" s="1"/>
      <c r="T731" s="1"/>
      <c r="U731" s="1"/>
      <c r="V731" s="1" t="s">
        <v>6166</v>
      </c>
      <c r="W731" s="1"/>
      <c r="X731" s="1"/>
      <c r="Y731" s="1"/>
      <c r="Z731" s="1"/>
      <c r="AA731" s="1" t="s">
        <v>747</v>
      </c>
      <c r="AB731" s="1" t="s">
        <v>748</v>
      </c>
      <c r="AC731" s="1"/>
      <c r="AD731" s="1"/>
      <c r="AE731" s="1"/>
      <c r="AF731" s="1"/>
      <c r="AG731" s="1"/>
      <c r="AH731" s="1"/>
      <c r="AI731" s="1"/>
      <c r="AJ731" s="1"/>
      <c r="AK731" s="1"/>
      <c r="AL731" s="1"/>
      <c r="AM731" s="1"/>
      <c r="AN731" s="1"/>
      <c r="AO731" s="1" t="s">
        <v>3108</v>
      </c>
      <c r="AP731" s="1"/>
      <c r="AQ731" s="1" t="s">
        <v>6167</v>
      </c>
      <c r="AR731" s="1"/>
      <c r="AS731" s="1"/>
      <c r="AT731" s="1"/>
      <c r="AU731" s="3">
        <v>2003</v>
      </c>
      <c r="AV731" s="3">
        <v>2749</v>
      </c>
      <c r="AW731" s="2"/>
      <c r="AX731" s="2"/>
      <c r="AY731" s="2"/>
      <c r="AZ731" s="1"/>
      <c r="BA731" s="2"/>
      <c r="BB731" s="3">
        <v>725</v>
      </c>
      <c r="BC731" s="3">
        <v>732</v>
      </c>
      <c r="BD731" s="2"/>
      <c r="BE731" s="1"/>
      <c r="BF731" s="1"/>
      <c r="BG731" s="1"/>
      <c r="BH731" s="1"/>
      <c r="BI731" s="1"/>
      <c r="BJ731" s="1"/>
      <c r="BK731" s="1"/>
      <c r="BL731" s="1"/>
      <c r="BM731" s="1"/>
      <c r="BN731" s="2"/>
      <c r="BO731" s="1"/>
      <c r="BP731" s="1"/>
      <c r="BQ731" s="1"/>
      <c r="BR731" s="1"/>
      <c r="BS731" s="1" t="s">
        <v>6168</v>
      </c>
      <c r="BT731" s="5">
        <f>HYPERLINK("https%3A%2F%2Fwww.webofscience.com%2Fwos%2Fwoscc%2Ffull-record%2FWOS:000185178400096","View Full Record in Web of Science")</f>
      </c>
    </row>
    <row x14ac:dyDescent="0.25" r="732" customHeight="1" ht="12.75">
      <c r="A732" s="1" t="s">
        <v>72</v>
      </c>
      <c r="B732" s="1" t="s">
        <v>6169</v>
      </c>
      <c r="C732" s="1"/>
      <c r="D732" s="1"/>
      <c r="E732" s="1"/>
      <c r="F732" s="1" t="s">
        <v>6169</v>
      </c>
      <c r="G732" s="1"/>
      <c r="H732" s="1"/>
      <c r="I732" s="1" t="s">
        <v>6170</v>
      </c>
      <c r="J732" s="1" t="s">
        <v>897</v>
      </c>
      <c r="K732" s="1"/>
      <c r="L732" s="1"/>
      <c r="M732" s="1"/>
      <c r="N732" s="1"/>
      <c r="O732" s="1"/>
      <c r="P732" s="2"/>
      <c r="Q732" s="1"/>
      <c r="R732" s="1"/>
      <c r="S732" s="1"/>
      <c r="T732" s="1"/>
      <c r="U732" s="1"/>
      <c r="V732" s="1" t="s">
        <v>6171</v>
      </c>
      <c r="W732" s="1"/>
      <c r="X732" s="1"/>
      <c r="Y732" s="1"/>
      <c r="Z732" s="1"/>
      <c r="AA732" s="1"/>
      <c r="AB732" s="1" t="s">
        <v>6172</v>
      </c>
      <c r="AC732" s="1"/>
      <c r="AD732" s="1"/>
      <c r="AE732" s="1"/>
      <c r="AF732" s="1"/>
      <c r="AG732" s="1"/>
      <c r="AH732" s="1"/>
      <c r="AI732" s="1"/>
      <c r="AJ732" s="1"/>
      <c r="AK732" s="1"/>
      <c r="AL732" s="1"/>
      <c r="AM732" s="1"/>
      <c r="AN732" s="1"/>
      <c r="AO732" s="1" t="s">
        <v>900</v>
      </c>
      <c r="AP732" s="1"/>
      <c r="AQ732" s="1"/>
      <c r="AR732" s="1"/>
      <c r="AS732" s="1"/>
      <c r="AT732" s="1" t="s">
        <v>204</v>
      </c>
      <c r="AU732" s="3">
        <v>2002</v>
      </c>
      <c r="AV732" s="3">
        <v>47</v>
      </c>
      <c r="AW732" s="3">
        <v>4</v>
      </c>
      <c r="AX732" s="2"/>
      <c r="AY732" s="2"/>
      <c r="AZ732" s="1"/>
      <c r="BA732" s="2"/>
      <c r="BB732" s="3">
        <v>349</v>
      </c>
      <c r="BC732" s="3">
        <v>359</v>
      </c>
      <c r="BD732" s="2"/>
      <c r="BE732" s="1"/>
      <c r="BF732" s="1"/>
      <c r="BG732" s="1"/>
      <c r="BH732" s="1"/>
      <c r="BI732" s="1"/>
      <c r="BJ732" s="1"/>
      <c r="BK732" s="1"/>
      <c r="BL732" s="1"/>
      <c r="BM732" s="1"/>
      <c r="BN732" s="2"/>
      <c r="BO732" s="1"/>
      <c r="BP732" s="1"/>
      <c r="BQ732" s="1"/>
      <c r="BR732" s="1"/>
      <c r="BS732" s="1" t="s">
        <v>6173</v>
      </c>
      <c r="BT732" s="5">
        <f>HYPERLINK("https%3A%2F%2Fwww.webofscience.com%2Fwos%2Fwoscc%2Ffull-record%2FWOS:000180026700005","View Full Record in Web of Science")</f>
      </c>
    </row>
    <row x14ac:dyDescent="0.25" r="733" customHeight="1" ht="12.75">
      <c r="A733" s="1" t="s">
        <v>72</v>
      </c>
      <c r="B733" s="1" t="s">
        <v>6174</v>
      </c>
      <c r="C733" s="1"/>
      <c r="D733" s="1"/>
      <c r="E733" s="1"/>
      <c r="F733" s="1" t="s">
        <v>6174</v>
      </c>
      <c r="G733" s="1"/>
      <c r="H733" s="1"/>
      <c r="I733" s="1" t="s">
        <v>6175</v>
      </c>
      <c r="J733" s="1" t="s">
        <v>6176</v>
      </c>
      <c r="K733" s="1"/>
      <c r="L733" s="1"/>
      <c r="M733" s="1"/>
      <c r="N733" s="1"/>
      <c r="O733" s="1"/>
      <c r="P733" s="2"/>
      <c r="Q733" s="1"/>
      <c r="R733" s="1"/>
      <c r="S733" s="1"/>
      <c r="T733" s="1"/>
      <c r="U733" s="1"/>
      <c r="V733" s="1" t="s">
        <v>6177</v>
      </c>
      <c r="W733" s="1"/>
      <c r="X733" s="1"/>
      <c r="Y733" s="1"/>
      <c r="Z733" s="1"/>
      <c r="AA733" s="1" t="s">
        <v>1626</v>
      </c>
      <c r="AB733" s="1" t="s">
        <v>1627</v>
      </c>
      <c r="AC733" s="1"/>
      <c r="AD733" s="1"/>
      <c r="AE733" s="1"/>
      <c r="AF733" s="1"/>
      <c r="AG733" s="1"/>
      <c r="AH733" s="1"/>
      <c r="AI733" s="1"/>
      <c r="AJ733" s="1"/>
      <c r="AK733" s="1"/>
      <c r="AL733" s="1"/>
      <c r="AM733" s="1"/>
      <c r="AN733" s="1"/>
      <c r="AO733" s="1" t="s">
        <v>6178</v>
      </c>
      <c r="AP733" s="1"/>
      <c r="AQ733" s="1"/>
      <c r="AR733" s="1"/>
      <c r="AS733" s="1"/>
      <c r="AT733" s="1" t="s">
        <v>605</v>
      </c>
      <c r="AU733" s="3">
        <v>2001</v>
      </c>
      <c r="AV733" s="3">
        <v>12</v>
      </c>
      <c r="AW733" s="3">
        <v>2</v>
      </c>
      <c r="AX733" s="2"/>
      <c r="AY733" s="2"/>
      <c r="AZ733" s="1"/>
      <c r="BA733" s="2"/>
      <c r="BB733" s="3">
        <v>147</v>
      </c>
      <c r="BC733" s="3">
        <v>159</v>
      </c>
      <c r="BD733" s="2"/>
      <c r="BE733" s="1" t="s">
        <v>6179</v>
      </c>
      <c r="BF733" s="4">
        <f>HYPERLINK("http://dx.doi.org/10.1002/1099-095X(200103)12:2&lt;147::AID-ENV451&gt;3.3.CO;2-V","http://dx.doi.org/10.1002/1099-095X(200103)12:2&lt;147::AID-ENV451&gt;3.3.CO;2-V")</f>
      </c>
      <c r="BG733" s="1"/>
      <c r="BH733" s="1"/>
      <c r="BI733" s="1"/>
      <c r="BJ733" s="1"/>
      <c r="BK733" s="1"/>
      <c r="BL733" s="1"/>
      <c r="BM733" s="1"/>
      <c r="BN733" s="2"/>
      <c r="BO733" s="1"/>
      <c r="BP733" s="1"/>
      <c r="BQ733" s="1"/>
      <c r="BR733" s="1"/>
      <c r="BS733" s="1" t="s">
        <v>6180</v>
      </c>
      <c r="BT733" s="5">
        <f>HYPERLINK("https%3A%2F%2Fwww.webofscience.com%2Fwos%2Fwoscc%2Ffull-record%2FWOS:000167597800004","View Full Record in Web of Science")</f>
      </c>
    </row>
    <row x14ac:dyDescent="0.25" r="734" customHeight="1" ht="12.75">
      <c r="A734" s="1" t="s">
        <v>72</v>
      </c>
      <c r="B734" s="1" t="s">
        <v>6181</v>
      </c>
      <c r="C734" s="1"/>
      <c r="D734" s="1"/>
      <c r="E734" s="1"/>
      <c r="F734" s="1" t="s">
        <v>6181</v>
      </c>
      <c r="G734" s="1"/>
      <c r="H734" s="1"/>
      <c r="I734" s="1" t="s">
        <v>6182</v>
      </c>
      <c r="J734" s="1" t="s">
        <v>6183</v>
      </c>
      <c r="K734" s="1"/>
      <c r="L734" s="1"/>
      <c r="M734" s="1"/>
      <c r="N734" s="1"/>
      <c r="O734" s="1"/>
      <c r="P734" s="2"/>
      <c r="Q734" s="1"/>
      <c r="R734" s="1"/>
      <c r="S734" s="1"/>
      <c r="T734" s="1"/>
      <c r="U734" s="1"/>
      <c r="V734" s="1" t="s">
        <v>6184</v>
      </c>
      <c r="W734" s="1"/>
      <c r="X734" s="1"/>
      <c r="Y734" s="1"/>
      <c r="Z734" s="1"/>
      <c r="AA734" s="1"/>
      <c r="AB734" s="1" t="s">
        <v>6185</v>
      </c>
      <c r="AC734" s="1"/>
      <c r="AD734" s="1"/>
      <c r="AE734" s="1"/>
      <c r="AF734" s="1"/>
      <c r="AG734" s="1"/>
      <c r="AH734" s="1"/>
      <c r="AI734" s="1"/>
      <c r="AJ734" s="1"/>
      <c r="AK734" s="1"/>
      <c r="AL734" s="1"/>
      <c r="AM734" s="1"/>
      <c r="AN734" s="1"/>
      <c r="AO734" s="1" t="s">
        <v>6186</v>
      </c>
      <c r="AP734" s="1"/>
      <c r="AQ734" s="1"/>
      <c r="AR734" s="1"/>
      <c r="AS734" s="1"/>
      <c r="AT734" s="1"/>
      <c r="AU734" s="3">
        <v>2001</v>
      </c>
      <c r="AV734" s="3">
        <v>34</v>
      </c>
      <c r="AW734" s="3">
        <v>2</v>
      </c>
      <c r="AX734" s="2"/>
      <c r="AY734" s="2"/>
      <c r="AZ734" s="1"/>
      <c r="BA734" s="2"/>
      <c r="BB734" s="3">
        <v>117</v>
      </c>
      <c r="BC734" s="3">
        <v>122</v>
      </c>
      <c r="BD734" s="2"/>
      <c r="BE734" s="1"/>
      <c r="BF734" s="1"/>
      <c r="BG734" s="1"/>
      <c r="BH734" s="1"/>
      <c r="BI734" s="1"/>
      <c r="BJ734" s="1"/>
      <c r="BK734" s="1"/>
      <c r="BL734" s="1"/>
      <c r="BM734" s="1"/>
      <c r="BN734" s="3">
        <v>11715203</v>
      </c>
      <c r="BO734" s="1"/>
      <c r="BP734" s="1"/>
      <c r="BQ734" s="1"/>
      <c r="BR734" s="1"/>
      <c r="BS734" s="1" t="s">
        <v>6187</v>
      </c>
      <c r="BT734" s="5">
        <f>HYPERLINK("https%3A%2F%2Fwww.webofscience.com%2Fwos%2Fwoscc%2Ffull-record%2FWOS:000171382700011","View Full Record in Web of Science")</f>
      </c>
    </row>
    <row x14ac:dyDescent="0.25" r="735" customHeight="1" ht="12.75">
      <c r="A735" s="1" t="s">
        <v>72</v>
      </c>
      <c r="B735" s="1" t="s">
        <v>6188</v>
      </c>
      <c r="C735" s="1"/>
      <c r="D735" s="1"/>
      <c r="E735" s="1"/>
      <c r="F735" s="1" t="s">
        <v>6188</v>
      </c>
      <c r="G735" s="1"/>
      <c r="H735" s="1"/>
      <c r="I735" s="1" t="s">
        <v>6189</v>
      </c>
      <c r="J735" s="1" t="s">
        <v>1548</v>
      </c>
      <c r="K735" s="1"/>
      <c r="L735" s="1"/>
      <c r="M735" s="1"/>
      <c r="N735" s="1"/>
      <c r="O735" s="1"/>
      <c r="P735" s="2"/>
      <c r="Q735" s="1"/>
      <c r="R735" s="1"/>
      <c r="S735" s="1"/>
      <c r="T735" s="1"/>
      <c r="U735" s="1"/>
      <c r="V735" s="1" t="s">
        <v>6190</v>
      </c>
      <c r="W735" s="1"/>
      <c r="X735" s="1"/>
      <c r="Y735" s="1"/>
      <c r="Z735" s="1"/>
      <c r="AA735" s="1" t="s">
        <v>6191</v>
      </c>
      <c r="AB735" s="1" t="s">
        <v>6192</v>
      </c>
      <c r="AC735" s="1"/>
      <c r="AD735" s="1"/>
      <c r="AE735" s="1"/>
      <c r="AF735" s="1"/>
      <c r="AG735" s="1"/>
      <c r="AH735" s="1"/>
      <c r="AI735" s="1"/>
      <c r="AJ735" s="1"/>
      <c r="AK735" s="1"/>
      <c r="AL735" s="1"/>
      <c r="AM735" s="1"/>
      <c r="AN735" s="1"/>
      <c r="AO735" s="1" t="s">
        <v>1552</v>
      </c>
      <c r="AP735" s="1" t="s">
        <v>1553</v>
      </c>
      <c r="AQ735" s="1"/>
      <c r="AR735" s="1"/>
      <c r="AS735" s="1"/>
      <c r="AT735" s="1" t="s">
        <v>103</v>
      </c>
      <c r="AU735" s="3">
        <v>2001</v>
      </c>
      <c r="AV735" s="3">
        <v>63</v>
      </c>
      <c r="AW735" s="3">
        <v>1</v>
      </c>
      <c r="AX735" s="3">
        <v>1</v>
      </c>
      <c r="AY735" s="2"/>
      <c r="AZ735" s="1"/>
      <c r="BA735" s="2"/>
      <c r="BB735" s="2"/>
      <c r="BC735" s="2"/>
      <c r="BD735" s="3">
        <v>11303</v>
      </c>
      <c r="BE735" s="1" t="s">
        <v>6193</v>
      </c>
      <c r="BF735" s="4">
        <f>HYPERLINK("http://dx.doi.org/10.1103/PhysRevE.63.011303","http://dx.doi.org/10.1103/PhysRevE.63.011303")</f>
      </c>
      <c r="BG735" s="1"/>
      <c r="BH735" s="1"/>
      <c r="BI735" s="1"/>
      <c r="BJ735" s="1"/>
      <c r="BK735" s="1"/>
      <c r="BL735" s="1"/>
      <c r="BM735" s="1"/>
      <c r="BN735" s="2"/>
      <c r="BO735" s="1"/>
      <c r="BP735" s="1"/>
      <c r="BQ735" s="1"/>
      <c r="BR735" s="1"/>
      <c r="BS735" s="1" t="s">
        <v>6194</v>
      </c>
      <c r="BT735" s="5">
        <f>HYPERLINK("https%3A%2F%2Fwww.webofscience.com%2Fwos%2Fwoscc%2Ffull-record%2FWOS:000166404900031","View Full Record in Web of Science")</f>
      </c>
    </row>
    <row x14ac:dyDescent="0.25" r="736" customHeight="1" ht="12.75">
      <c r="A736" s="1" t="s">
        <v>72</v>
      </c>
      <c r="B736" s="1" t="s">
        <v>6195</v>
      </c>
      <c r="C736" s="1"/>
      <c r="D736" s="1"/>
      <c r="E736" s="1"/>
      <c r="F736" s="1" t="s">
        <v>6195</v>
      </c>
      <c r="G736" s="1"/>
      <c r="H736" s="1"/>
      <c r="I736" s="1" t="s">
        <v>6196</v>
      </c>
      <c r="J736" s="1" t="s">
        <v>6197</v>
      </c>
      <c r="K736" s="1"/>
      <c r="L736" s="1"/>
      <c r="M736" s="1"/>
      <c r="N736" s="1"/>
      <c r="O736" s="1"/>
      <c r="P736" s="2"/>
      <c r="Q736" s="1"/>
      <c r="R736" s="1"/>
      <c r="S736" s="1"/>
      <c r="T736" s="1"/>
      <c r="U736" s="1"/>
      <c r="V736" s="1" t="s">
        <v>6198</v>
      </c>
      <c r="W736" s="1"/>
      <c r="X736" s="1"/>
      <c r="Y736" s="1"/>
      <c r="Z736" s="1"/>
      <c r="AA736" s="1" t="s">
        <v>6199</v>
      </c>
      <c r="AB736" s="1" t="s">
        <v>1627</v>
      </c>
      <c r="AC736" s="1"/>
      <c r="AD736" s="1"/>
      <c r="AE736" s="1"/>
      <c r="AF736" s="1"/>
      <c r="AG736" s="1"/>
      <c r="AH736" s="1"/>
      <c r="AI736" s="1"/>
      <c r="AJ736" s="1"/>
      <c r="AK736" s="1"/>
      <c r="AL736" s="1"/>
      <c r="AM736" s="1"/>
      <c r="AN736" s="1"/>
      <c r="AO736" s="1" t="s">
        <v>6200</v>
      </c>
      <c r="AP736" s="1"/>
      <c r="AQ736" s="1"/>
      <c r="AR736" s="1"/>
      <c r="AS736" s="1"/>
      <c r="AT736" s="1"/>
      <c r="AU736" s="3">
        <v>2001</v>
      </c>
      <c r="AV736" s="3">
        <v>10</v>
      </c>
      <c r="AW736" s="3">
        <v>2</v>
      </c>
      <c r="AX736" s="2"/>
      <c r="AY736" s="2"/>
      <c r="AZ736" s="1"/>
      <c r="BA736" s="2"/>
      <c r="BB736" s="3">
        <v>165</v>
      </c>
      <c r="BC736" s="3">
        <v>171</v>
      </c>
      <c r="BD736" s="2"/>
      <c r="BE736" s="1" t="s">
        <v>6201</v>
      </c>
      <c r="BF736" s="4">
        <f>HYPERLINK("http://dx.doi.org/10.1007/s005210170008","http://dx.doi.org/10.1007/s005210170008")</f>
      </c>
      <c r="BG736" s="1"/>
      <c r="BH736" s="1"/>
      <c r="BI736" s="1"/>
      <c r="BJ736" s="1"/>
      <c r="BK736" s="1"/>
      <c r="BL736" s="1"/>
      <c r="BM736" s="1"/>
      <c r="BN736" s="2"/>
      <c r="BO736" s="1"/>
      <c r="BP736" s="1"/>
      <c r="BQ736" s="1"/>
      <c r="BR736" s="1"/>
      <c r="BS736" s="1" t="s">
        <v>6202</v>
      </c>
      <c r="BT736" s="5">
        <f>HYPERLINK("https%3A%2F%2Fwww.webofscience.com%2Fwos%2Fwoscc%2Ffull-record%2FWOS:000169203900008","View Full Record in Web of Science")</f>
      </c>
    </row>
    <row x14ac:dyDescent="0.25" r="737" customHeight="1" ht="12.75">
      <c r="A737" s="1" t="s">
        <v>72</v>
      </c>
      <c r="B737" s="1" t="s">
        <v>6203</v>
      </c>
      <c r="C737" s="1"/>
      <c r="D737" s="1"/>
      <c r="E737" s="1"/>
      <c r="F737" s="1" t="s">
        <v>6203</v>
      </c>
      <c r="G737" s="1"/>
      <c r="H737" s="1"/>
      <c r="I737" s="1" t="s">
        <v>6204</v>
      </c>
      <c r="J737" s="1" t="s">
        <v>6205</v>
      </c>
      <c r="K737" s="1"/>
      <c r="L737" s="1"/>
      <c r="M737" s="1"/>
      <c r="N737" s="1"/>
      <c r="O737" s="1"/>
      <c r="P737" s="2"/>
      <c r="Q737" s="1"/>
      <c r="R737" s="1"/>
      <c r="S737" s="1"/>
      <c r="T737" s="1"/>
      <c r="U737" s="1"/>
      <c r="V737" s="1" t="s">
        <v>6206</v>
      </c>
      <c r="W737" s="1"/>
      <c r="X737" s="1"/>
      <c r="Y737" s="1"/>
      <c r="Z737" s="1"/>
      <c r="AA737" s="1"/>
      <c r="AB737" s="1"/>
      <c r="AC737" s="1"/>
      <c r="AD737" s="1"/>
      <c r="AE737" s="1"/>
      <c r="AF737" s="1"/>
      <c r="AG737" s="1"/>
      <c r="AH737" s="1"/>
      <c r="AI737" s="1"/>
      <c r="AJ737" s="1"/>
      <c r="AK737" s="1"/>
      <c r="AL737" s="1"/>
      <c r="AM737" s="1"/>
      <c r="AN737" s="1"/>
      <c r="AO737" s="1" t="s">
        <v>6207</v>
      </c>
      <c r="AP737" s="1" t="s">
        <v>6208</v>
      </c>
      <c r="AQ737" s="1"/>
      <c r="AR737" s="1"/>
      <c r="AS737" s="1"/>
      <c r="AT737" s="1" t="s">
        <v>103</v>
      </c>
      <c r="AU737" s="3">
        <v>2000</v>
      </c>
      <c r="AV737" s="3">
        <v>104</v>
      </c>
      <c r="AW737" s="3">
        <v>1</v>
      </c>
      <c r="AX737" s="2"/>
      <c r="AY737" s="2"/>
      <c r="AZ737" s="1"/>
      <c r="BA737" s="2"/>
      <c r="BB737" s="3">
        <v>49</v>
      </c>
      <c r="BC737" s="3">
        <v>56</v>
      </c>
      <c r="BD737" s="2"/>
      <c r="BE737" s="1" t="s">
        <v>6209</v>
      </c>
      <c r="BF737" s="4">
        <f>HYPERLINK("http://dx.doi.org/10.1016/S0009-3084(99)00115-2","http://dx.doi.org/10.1016/S0009-3084(99)00115-2")</f>
      </c>
      <c r="BG737" s="1"/>
      <c r="BH737" s="1"/>
      <c r="BI737" s="1"/>
      <c r="BJ737" s="1"/>
      <c r="BK737" s="1"/>
      <c r="BL737" s="1"/>
      <c r="BM737" s="1"/>
      <c r="BN737" s="3">
        <v>10660211</v>
      </c>
      <c r="BO737" s="1"/>
      <c r="BP737" s="1"/>
      <c r="BQ737" s="1"/>
      <c r="BR737" s="1"/>
      <c r="BS737" s="1" t="s">
        <v>6210</v>
      </c>
      <c r="BT737" s="5">
        <f>HYPERLINK("https%3A%2F%2Fwww.webofscience.com%2Fwos%2Fwoscc%2Ffull-record%2FWOS:000084565300005","View Full Record in Web of Science")</f>
      </c>
    </row>
    <row x14ac:dyDescent="0.25" r="738" customHeight="1" ht="12.75">
      <c r="A738" s="1" t="s">
        <v>72</v>
      </c>
      <c r="B738" s="1" t="s">
        <v>6083</v>
      </c>
      <c r="C738" s="1"/>
      <c r="D738" s="1"/>
      <c r="E738" s="1"/>
      <c r="F738" s="1" t="s">
        <v>6083</v>
      </c>
      <c r="G738" s="1"/>
      <c r="H738" s="1"/>
      <c r="I738" s="1" t="s">
        <v>6211</v>
      </c>
      <c r="J738" s="1" t="s">
        <v>565</v>
      </c>
      <c r="K738" s="1"/>
      <c r="L738" s="1"/>
      <c r="M738" s="1"/>
      <c r="N738" s="1"/>
      <c r="O738" s="1"/>
      <c r="P738" s="2"/>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t="s">
        <v>594</v>
      </c>
      <c r="AP738" s="1"/>
      <c r="AQ738" s="1"/>
      <c r="AR738" s="1"/>
      <c r="AS738" s="1"/>
      <c r="AT738" s="1" t="s">
        <v>169</v>
      </c>
      <c r="AU738" s="3">
        <v>1997</v>
      </c>
      <c r="AV738" s="2"/>
      <c r="AW738" s="3">
        <v>51</v>
      </c>
      <c r="AX738" s="2"/>
      <c r="AY738" s="2"/>
      <c r="AZ738" s="1"/>
      <c r="BA738" s="2"/>
      <c r="BB738" s="3">
        <v>139</v>
      </c>
      <c r="BC738" s="3">
        <v>141</v>
      </c>
      <c r="BD738" s="2"/>
      <c r="BE738" s="1"/>
      <c r="BF738" s="1"/>
      <c r="BG738" s="1"/>
      <c r="BH738" s="1"/>
      <c r="BI738" s="1"/>
      <c r="BJ738" s="1"/>
      <c r="BK738" s="1"/>
      <c r="BL738" s="1"/>
      <c r="BM738" s="1"/>
      <c r="BN738" s="2"/>
      <c r="BO738" s="1"/>
      <c r="BP738" s="1"/>
      <c r="BQ738" s="1"/>
      <c r="BR738" s="1"/>
      <c r="BS738" s="1" t="s">
        <v>6212</v>
      </c>
      <c r="BT738" s="5">
        <f>HYPERLINK("https%3A%2F%2Fwww.webofscience.com%2Fwos%2Fwoscc%2Ffull-record%2FWOS:000072162100010","View Full Record in Web of Science")</f>
      </c>
    </row>
    <row x14ac:dyDescent="0.25" r="739" customHeight="1" ht="12.75">
      <c r="A739" s="1" t="s">
        <v>72</v>
      </c>
      <c r="B739" s="1" t="s">
        <v>2502</v>
      </c>
      <c r="C739" s="1"/>
      <c r="D739" s="1"/>
      <c r="E739" s="1"/>
      <c r="F739" s="1" t="s">
        <v>2502</v>
      </c>
      <c r="G739" s="1"/>
      <c r="H739" s="1"/>
      <c r="I739" s="1" t="s">
        <v>6213</v>
      </c>
      <c r="J739" s="1" t="s">
        <v>1679</v>
      </c>
      <c r="K739" s="1"/>
      <c r="L739" s="1"/>
      <c r="M739" s="1"/>
      <c r="N739" s="1"/>
      <c r="O739" s="1"/>
      <c r="P739" s="2"/>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t="s">
        <v>1681</v>
      </c>
      <c r="AP739" s="1"/>
      <c r="AQ739" s="1"/>
      <c r="AR739" s="1"/>
      <c r="AS739" s="1"/>
      <c r="AT739" s="1" t="s">
        <v>6214</v>
      </c>
      <c r="AU739" s="3">
        <v>1997</v>
      </c>
      <c r="AV739" s="3">
        <v>213</v>
      </c>
      <c r="AW739" s="2"/>
      <c r="AX739" s="3">
        <v>1</v>
      </c>
      <c r="AY739" s="2"/>
      <c r="AZ739" s="1"/>
      <c r="BA739" s="2"/>
      <c r="BB739" s="3">
        <v>248</v>
      </c>
      <c r="BC739" s="2" t="s">
        <v>6215</v>
      </c>
      <c r="BD739" s="2"/>
      <c r="BE739" s="1"/>
      <c r="BF739" s="1"/>
      <c r="BG739" s="1"/>
      <c r="BH739" s="1"/>
      <c r="BI739" s="1"/>
      <c r="BJ739" s="1"/>
      <c r="BK739" s="1"/>
      <c r="BL739" s="1"/>
      <c r="BM739" s="1"/>
      <c r="BN739" s="2"/>
      <c r="BO739" s="1"/>
      <c r="BP739" s="1"/>
      <c r="BQ739" s="1"/>
      <c r="BR739" s="1"/>
      <c r="BS739" s="1" t="s">
        <v>6216</v>
      </c>
      <c r="BT739" s="5">
        <f>HYPERLINK("https%3A%2F%2Fwww.webofscience.com%2Fwos%2Fwoscc%2Ffull-record%2FWOS:A1997WP18502489","View Full Record in Web of Science")</f>
      </c>
    </row>
    <row x14ac:dyDescent="0.25" r="740" customHeight="1" ht="12.75">
      <c r="A740" s="1" t="s">
        <v>72</v>
      </c>
      <c r="B740" s="1" t="s">
        <v>6217</v>
      </c>
      <c r="C740" s="1"/>
      <c r="D740" s="1"/>
      <c r="E740" s="1"/>
      <c r="F740" s="1" t="s">
        <v>6217</v>
      </c>
      <c r="G740" s="1"/>
      <c r="H740" s="1"/>
      <c r="I740" s="1" t="s">
        <v>6218</v>
      </c>
      <c r="J740" s="1" t="s">
        <v>6219</v>
      </c>
      <c r="K740" s="1"/>
      <c r="L740" s="1"/>
      <c r="M740" s="1"/>
      <c r="N740" s="1"/>
      <c r="O740" s="1"/>
      <c r="P740" s="2"/>
      <c r="Q740" s="1"/>
      <c r="R740" s="1"/>
      <c r="S740" s="1"/>
      <c r="T740" s="1"/>
      <c r="U740" s="1"/>
      <c r="V740" s="1" t="s">
        <v>6220</v>
      </c>
      <c r="W740" s="1"/>
      <c r="X740" s="1"/>
      <c r="Y740" s="1"/>
      <c r="Z740" s="1"/>
      <c r="AA740" s="1"/>
      <c r="AB740" s="1" t="s">
        <v>6221</v>
      </c>
      <c r="AC740" s="1"/>
      <c r="AD740" s="1"/>
      <c r="AE740" s="1"/>
      <c r="AF740" s="1"/>
      <c r="AG740" s="1"/>
      <c r="AH740" s="1"/>
      <c r="AI740" s="1"/>
      <c r="AJ740" s="1"/>
      <c r="AK740" s="1"/>
      <c r="AL740" s="1"/>
      <c r="AM740" s="1"/>
      <c r="AN740" s="1"/>
      <c r="AO740" s="1" t="s">
        <v>6222</v>
      </c>
      <c r="AP740" s="1"/>
      <c r="AQ740" s="1"/>
      <c r="AR740" s="1"/>
      <c r="AS740" s="1"/>
      <c r="AT740" s="1" t="s">
        <v>6223</v>
      </c>
      <c r="AU740" s="3">
        <v>1995</v>
      </c>
      <c r="AV740" s="3">
        <v>200</v>
      </c>
      <c r="AW740" s="3">
        <v>6</v>
      </c>
      <c r="AX740" s="2"/>
      <c r="AY740" s="2"/>
      <c r="AZ740" s="1"/>
      <c r="BA740" s="2"/>
      <c r="BB740" s="3">
        <v>483</v>
      </c>
      <c r="BC740" s="3">
        <v>490</v>
      </c>
      <c r="BD740" s="2"/>
      <c r="BE740" s="1" t="s">
        <v>6224</v>
      </c>
      <c r="BF740" s="4">
        <f>HYPERLINK("http://dx.doi.org/10.1007/BF02162497","http://dx.doi.org/10.1007/BF02162497")</f>
      </c>
      <c r="BG740" s="1"/>
      <c r="BH740" s="1"/>
      <c r="BI740" s="1"/>
      <c r="BJ740" s="1"/>
      <c r="BK740" s="1"/>
      <c r="BL740" s="1"/>
      <c r="BM740" s="1"/>
      <c r="BN740" s="2"/>
      <c r="BO740" s="1"/>
      <c r="BP740" s="1"/>
      <c r="BQ740" s="1"/>
      <c r="BR740" s="1"/>
      <c r="BS740" s="1" t="s">
        <v>6225</v>
      </c>
      <c r="BT740" s="5">
        <f>HYPERLINK("https%3A%2F%2Fwww.webofscience.com%2Fwos%2Fwoscc%2Ffull-record%2FWOS:A1995TA03900003","View Full Record in Web of Science")</f>
      </c>
    </row>
    <row x14ac:dyDescent="0.25" r="741" customHeight="1" ht="12.75">
      <c r="A741" s="1" t="s">
        <v>72</v>
      </c>
      <c r="B741" s="1" t="s">
        <v>6226</v>
      </c>
      <c r="C741" s="1"/>
      <c r="D741" s="1"/>
      <c r="E741" s="1"/>
      <c r="F741" s="1" t="s">
        <v>6226</v>
      </c>
      <c r="G741" s="1"/>
      <c r="H741" s="1"/>
      <c r="I741" s="1" t="s">
        <v>6227</v>
      </c>
      <c r="J741" s="1" t="s">
        <v>3743</v>
      </c>
      <c r="K741" s="1"/>
      <c r="L741" s="1"/>
      <c r="M741" s="1"/>
      <c r="N741" s="1"/>
      <c r="O741" s="1"/>
      <c r="P741" s="2"/>
      <c r="Q741" s="1"/>
      <c r="R741" s="1"/>
      <c r="S741" s="1"/>
      <c r="T741" s="1"/>
      <c r="U741" s="1"/>
      <c r="V741" s="1" t="s">
        <v>6228</v>
      </c>
      <c r="W741" s="1"/>
      <c r="X741" s="1"/>
      <c r="Y741" s="1"/>
      <c r="Z741" s="1"/>
      <c r="AA741" s="1"/>
      <c r="AB741" s="1"/>
      <c r="AC741" s="1"/>
      <c r="AD741" s="1"/>
      <c r="AE741" s="1"/>
      <c r="AF741" s="1"/>
      <c r="AG741" s="1"/>
      <c r="AH741" s="1"/>
      <c r="AI741" s="1"/>
      <c r="AJ741" s="1"/>
      <c r="AK741" s="1"/>
      <c r="AL741" s="1"/>
      <c r="AM741" s="1"/>
      <c r="AN741" s="1"/>
      <c r="AO741" s="1" t="s">
        <v>3746</v>
      </c>
      <c r="AP741" s="1" t="s">
        <v>6229</v>
      </c>
      <c r="AQ741" s="1"/>
      <c r="AR741" s="1"/>
      <c r="AS741" s="1"/>
      <c r="AT741" s="1" t="s">
        <v>192</v>
      </c>
      <c r="AU741" s="3">
        <v>1993</v>
      </c>
      <c r="AV741" s="3">
        <v>71</v>
      </c>
      <c r="AW741" s="3">
        <v>3</v>
      </c>
      <c r="AX741" s="2"/>
      <c r="AY741" s="2"/>
      <c r="AZ741" s="1"/>
      <c r="BA741" s="2"/>
      <c r="BB741" s="3">
        <v>263</v>
      </c>
      <c r="BC741" s="3">
        <v>267</v>
      </c>
      <c r="BD741" s="2"/>
      <c r="BE741" s="1" t="s">
        <v>6230</v>
      </c>
      <c r="BF741" s="4">
        <f>HYPERLINK("http://dx.doi.org/10.1016/1010-6030(93)85008-V","http://dx.doi.org/10.1016/1010-6030(93)85008-V")</f>
      </c>
      <c r="BG741" s="1"/>
      <c r="BH741" s="1"/>
      <c r="BI741" s="1"/>
      <c r="BJ741" s="1"/>
      <c r="BK741" s="1"/>
      <c r="BL741" s="1"/>
      <c r="BM741" s="1"/>
      <c r="BN741" s="2"/>
      <c r="BO741" s="1"/>
      <c r="BP741" s="1"/>
      <c r="BQ741" s="1"/>
      <c r="BR741" s="1"/>
      <c r="BS741" s="1" t="s">
        <v>6231</v>
      </c>
      <c r="BT741" s="5">
        <f>HYPERLINK("https%3A%2F%2Fwww.webofscience.com%2Fwos%2Fwoscc%2Ffull-record%2FWOS:A1993LE10400008","View Full Record in Web of Science")</f>
      </c>
    </row>
    <row x14ac:dyDescent="0.25" r="742" customHeight="1" ht="12.75">
      <c r="A742" s="1" t="s">
        <v>72</v>
      </c>
      <c r="B742" s="1" t="s">
        <v>6232</v>
      </c>
      <c r="C742" s="1"/>
      <c r="D742" s="1"/>
      <c r="E742" s="1"/>
      <c r="F742" s="1" t="s">
        <v>6232</v>
      </c>
      <c r="G742" s="1"/>
      <c r="H742" s="1"/>
      <c r="I742" s="1" t="s">
        <v>6233</v>
      </c>
      <c r="J742" s="1" t="s">
        <v>3238</v>
      </c>
      <c r="K742" s="1"/>
      <c r="L742" s="1"/>
      <c r="M742" s="1"/>
      <c r="N742" s="1"/>
      <c r="O742" s="1"/>
      <c r="P742" s="2"/>
      <c r="Q742" s="1"/>
      <c r="R742" s="1"/>
      <c r="S742" s="1"/>
      <c r="T742" s="1"/>
      <c r="U742" s="1"/>
      <c r="V742" s="1" t="s">
        <v>6234</v>
      </c>
      <c r="W742" s="1"/>
      <c r="X742" s="1"/>
      <c r="Y742" s="1"/>
      <c r="Z742" s="1"/>
      <c r="AA742" s="1" t="s">
        <v>1626</v>
      </c>
      <c r="AB742" s="1" t="s">
        <v>1627</v>
      </c>
      <c r="AC742" s="1"/>
      <c r="AD742" s="1"/>
      <c r="AE742" s="1"/>
      <c r="AF742" s="1"/>
      <c r="AG742" s="1"/>
      <c r="AH742" s="1"/>
      <c r="AI742" s="1"/>
      <c r="AJ742" s="1"/>
      <c r="AK742" s="1"/>
      <c r="AL742" s="1"/>
      <c r="AM742" s="1"/>
      <c r="AN742" s="1"/>
      <c r="AO742" s="1" t="s">
        <v>3239</v>
      </c>
      <c r="AP742" s="1" t="s">
        <v>6235</v>
      </c>
      <c r="AQ742" s="1"/>
      <c r="AR742" s="1"/>
      <c r="AS742" s="1"/>
      <c r="AT742" s="1" t="s">
        <v>6236</v>
      </c>
      <c r="AU742" s="3">
        <v>1991</v>
      </c>
      <c r="AV742" s="3">
        <v>43</v>
      </c>
      <c r="AW742" s="3">
        <v>10</v>
      </c>
      <c r="AX742" s="2"/>
      <c r="AY742" s="2"/>
      <c r="AZ742" s="1"/>
      <c r="BA742" s="2"/>
      <c r="BB742" s="3">
        <v>5683</v>
      </c>
      <c r="BC742" s="3">
        <v>5688</v>
      </c>
      <c r="BD742" s="2"/>
      <c r="BE742" s="1" t="s">
        <v>6237</v>
      </c>
      <c r="BF742" s="4">
        <f>HYPERLINK("http://dx.doi.org/10.1103/PhysRevA.43.5683","http://dx.doi.org/10.1103/PhysRevA.43.5683")</f>
      </c>
      <c r="BG742" s="1"/>
      <c r="BH742" s="1"/>
      <c r="BI742" s="1"/>
      <c r="BJ742" s="1"/>
      <c r="BK742" s="1"/>
      <c r="BL742" s="1"/>
      <c r="BM742" s="1"/>
      <c r="BN742" s="3">
        <v>9904882</v>
      </c>
      <c r="BO742" s="1"/>
      <c r="BP742" s="1"/>
      <c r="BQ742" s="1"/>
      <c r="BR742" s="1"/>
      <c r="BS742" s="1" t="s">
        <v>6238</v>
      </c>
      <c r="BT742" s="5">
        <f>HYPERLINK("https%3A%2F%2Fwww.webofscience.com%2Fwos%2Fwoscc%2Ffull-record%2FWOS:A1991FN05300053","View Full Record in Web of Science")</f>
      </c>
    </row>
    <row x14ac:dyDescent="0.25" r="743" customHeight="1" ht="12.75">
      <c r="A743" s="1" t="s">
        <v>72</v>
      </c>
      <c r="B743" s="1" t="s">
        <v>6239</v>
      </c>
      <c r="C743" s="1"/>
      <c r="D743" s="1"/>
      <c r="E743" s="1"/>
      <c r="F743" s="1" t="s">
        <v>6239</v>
      </c>
      <c r="G743" s="1"/>
      <c r="H743" s="1"/>
      <c r="I743" s="1" t="s">
        <v>6240</v>
      </c>
      <c r="J743" s="1" t="s">
        <v>6241</v>
      </c>
      <c r="K743" s="1"/>
      <c r="L743" s="1"/>
      <c r="M743" s="1"/>
      <c r="N743" s="1"/>
      <c r="O743" s="1"/>
      <c r="P743" s="2"/>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t="s">
        <v>6242</v>
      </c>
      <c r="AP743" s="1"/>
      <c r="AQ743" s="1"/>
      <c r="AR743" s="1"/>
      <c r="AS743" s="1"/>
      <c r="AT743" s="1" t="s">
        <v>6243</v>
      </c>
      <c r="AU743" s="3">
        <v>1986</v>
      </c>
      <c r="AV743" s="3">
        <v>23</v>
      </c>
      <c r="AW743" s="3">
        <v>2</v>
      </c>
      <c r="AX743" s="2"/>
      <c r="AY743" s="2"/>
      <c r="AZ743" s="1"/>
      <c r="BA743" s="2"/>
      <c r="BB743" s="3">
        <v>271</v>
      </c>
      <c r="BC743" s="3">
        <v>280</v>
      </c>
      <c r="BD743" s="2"/>
      <c r="BE743" s="1" t="s">
        <v>6244</v>
      </c>
      <c r="BF743" s="4">
        <f>HYPERLINK("http://dx.doi.org/10.1016/S0166-9834(00)81297-X","http://dx.doi.org/10.1016/S0166-9834(00)81297-X")</f>
      </c>
      <c r="BG743" s="1"/>
      <c r="BH743" s="1"/>
      <c r="BI743" s="1"/>
      <c r="BJ743" s="1"/>
      <c r="BK743" s="1"/>
      <c r="BL743" s="1"/>
      <c r="BM743" s="1"/>
      <c r="BN743" s="2"/>
      <c r="BO743" s="1"/>
      <c r="BP743" s="1"/>
      <c r="BQ743" s="1"/>
      <c r="BR743" s="1"/>
      <c r="BS743" s="1" t="s">
        <v>6245</v>
      </c>
      <c r="BT743" s="5">
        <f>HYPERLINK("https%3A%2F%2Fwww.webofscience.com%2Fwos%2Fwoscc%2Ffull-record%2FWOS:A1986C951400004","View Full Record in Web of Science")</f>
      </c>
    </row>
    <row x14ac:dyDescent="0.25" r="744" customHeight="1" ht="12.75">
      <c r="A744" s="1" t="s">
        <v>72</v>
      </c>
      <c r="B744" s="1" t="s">
        <v>6246</v>
      </c>
      <c r="C744" s="1"/>
      <c r="D744" s="1"/>
      <c r="E744" s="1"/>
      <c r="F744" s="1" t="s">
        <v>6246</v>
      </c>
      <c r="G744" s="1"/>
      <c r="H744" s="1"/>
      <c r="I744" s="1" t="s">
        <v>6247</v>
      </c>
      <c r="J744" s="1" t="s">
        <v>5488</v>
      </c>
      <c r="K744" s="1"/>
      <c r="L744" s="1"/>
      <c r="M744" s="1"/>
      <c r="N744" s="1"/>
      <c r="O744" s="1"/>
      <c r="P744" s="2"/>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t="s">
        <v>5491</v>
      </c>
      <c r="AP744" s="1"/>
      <c r="AQ744" s="1"/>
      <c r="AR744" s="1"/>
      <c r="AS744" s="1"/>
      <c r="AT744" s="1"/>
      <c r="AU744" s="3">
        <v>1984</v>
      </c>
      <c r="AV744" s="3">
        <v>22</v>
      </c>
      <c r="AW744" s="3">
        <v>6</v>
      </c>
      <c r="AX744" s="2"/>
      <c r="AY744" s="2"/>
      <c r="AZ744" s="1"/>
      <c r="BA744" s="2"/>
      <c r="BB744" s="3">
        <v>385</v>
      </c>
      <c r="BC744" s="3">
        <v>385</v>
      </c>
      <c r="BD744" s="2"/>
      <c r="BE744" s="1" t="s">
        <v>6248</v>
      </c>
      <c r="BF744" s="4">
        <f>HYPERLINK("http://dx.doi.org/10.1119/1.2341586","http://dx.doi.org/10.1119/1.2341586")</f>
      </c>
      <c r="BG744" s="1"/>
      <c r="BH744" s="1"/>
      <c r="BI744" s="1"/>
      <c r="BJ744" s="1"/>
      <c r="BK744" s="1"/>
      <c r="BL744" s="1"/>
      <c r="BM744" s="1"/>
      <c r="BN744" s="2"/>
      <c r="BO744" s="1"/>
      <c r="BP744" s="1"/>
      <c r="BQ744" s="1"/>
      <c r="BR744" s="1"/>
      <c r="BS744" s="1" t="s">
        <v>6249</v>
      </c>
      <c r="BT744" s="5">
        <f>HYPERLINK("https%3A%2F%2Fwww.webofscience.com%2Fwos%2Fwoscc%2Ffull-record%2FWOS:A1984TF16000014","View Full Record in Web of Science")</f>
      </c>
    </row>
    <row x14ac:dyDescent="0.25" r="745" customHeight="1" ht="12.75">
      <c r="A745" s="1" t="s">
        <v>72</v>
      </c>
      <c r="B745" s="1" t="s">
        <v>6250</v>
      </c>
      <c r="C745" s="1"/>
      <c r="D745" s="1"/>
      <c r="E745" s="1"/>
      <c r="F745" s="1" t="s">
        <v>6250</v>
      </c>
      <c r="G745" s="1"/>
      <c r="H745" s="1"/>
      <c r="I745" s="1" t="s">
        <v>6251</v>
      </c>
      <c r="J745" s="1" t="s">
        <v>5459</v>
      </c>
      <c r="K745" s="1"/>
      <c r="L745" s="1"/>
      <c r="M745" s="1"/>
      <c r="N745" s="1"/>
      <c r="O745" s="1"/>
      <c r="P745" s="2"/>
      <c r="Q745" s="1"/>
      <c r="R745" s="1"/>
      <c r="S745" s="1"/>
      <c r="T745" s="1"/>
      <c r="U745" s="1"/>
      <c r="V745" s="1"/>
      <c r="W745" s="1"/>
      <c r="X745" s="1"/>
      <c r="Y745" s="1"/>
      <c r="Z745" s="1"/>
      <c r="AA745" s="1" t="s">
        <v>6252</v>
      </c>
      <c r="AB745" s="1"/>
      <c r="AC745" s="1"/>
      <c r="AD745" s="1"/>
      <c r="AE745" s="1"/>
      <c r="AF745" s="1"/>
      <c r="AG745" s="1"/>
      <c r="AH745" s="1"/>
      <c r="AI745" s="1"/>
      <c r="AJ745" s="1"/>
      <c r="AK745" s="1"/>
      <c r="AL745" s="1"/>
      <c r="AM745" s="1"/>
      <c r="AN745" s="1"/>
      <c r="AO745" s="1" t="s">
        <v>5460</v>
      </c>
      <c r="AP745" s="1"/>
      <c r="AQ745" s="1"/>
      <c r="AR745" s="1"/>
      <c r="AS745" s="1"/>
      <c r="AT745" s="1"/>
      <c r="AU745" s="3">
        <v>1982</v>
      </c>
      <c r="AV745" s="3">
        <v>18</v>
      </c>
      <c r="AW745" s="3">
        <v>2</v>
      </c>
      <c r="AX745" s="2"/>
      <c r="AY745" s="2"/>
      <c r="AZ745" s="1"/>
      <c r="BA745" s="2"/>
      <c r="BB745" s="3">
        <v>137</v>
      </c>
      <c r="BC745" s="3">
        <v>150</v>
      </c>
      <c r="BD745" s="2"/>
      <c r="BE745" s="1" t="s">
        <v>6253</v>
      </c>
      <c r="BF745" s="4">
        <f>HYPERLINK("http://dx.doi.org/10.1016/0047-2670(82)80016-6","http://dx.doi.org/10.1016/0047-2670(82)80016-6")</f>
      </c>
      <c r="BG745" s="1"/>
      <c r="BH745" s="1"/>
      <c r="BI745" s="1"/>
      <c r="BJ745" s="1"/>
      <c r="BK745" s="1"/>
      <c r="BL745" s="1"/>
      <c r="BM745" s="1"/>
      <c r="BN745" s="2"/>
      <c r="BO745" s="1"/>
      <c r="BP745" s="1"/>
      <c r="BQ745" s="1"/>
      <c r="BR745" s="1"/>
      <c r="BS745" s="1" t="s">
        <v>6254</v>
      </c>
      <c r="BT745" s="5">
        <f>HYPERLINK("https%3A%2F%2Fwww.webofscience.com%2Fwos%2Fwoscc%2Ffull-record%2FWOS:A1982NN51200005","View Full Record in Web of Science")</f>
      </c>
    </row>
    <row x14ac:dyDescent="0.25" r="746" customHeight="1" ht="12.75">
      <c r="A746" s="1" t="s">
        <v>72</v>
      </c>
      <c r="B746" s="1" t="s">
        <v>6255</v>
      </c>
      <c r="C746" s="1"/>
      <c r="D746" s="1"/>
      <c r="E746" s="1"/>
      <c r="F746" s="1" t="s">
        <v>6255</v>
      </c>
      <c r="G746" s="1"/>
      <c r="H746" s="1"/>
      <c r="I746" s="1" t="s">
        <v>6256</v>
      </c>
      <c r="J746" s="1" t="s">
        <v>2255</v>
      </c>
      <c r="K746" s="1"/>
      <c r="L746" s="1"/>
      <c r="M746" s="1"/>
      <c r="N746" s="1"/>
      <c r="O746" s="1"/>
      <c r="P746" s="2"/>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t="s">
        <v>2259</v>
      </c>
      <c r="AP746" s="1" t="s">
        <v>2260</v>
      </c>
      <c r="AQ746" s="1"/>
      <c r="AR746" s="1"/>
      <c r="AS746" s="1"/>
      <c r="AT746" s="1"/>
      <c r="AU746" s="3">
        <v>1981</v>
      </c>
      <c r="AV746" s="3">
        <v>26</v>
      </c>
      <c r="AW746" s="3">
        <v>10</v>
      </c>
      <c r="AX746" s="2"/>
      <c r="AY746" s="2"/>
      <c r="AZ746" s="1"/>
      <c r="BA746" s="2"/>
      <c r="BB746" s="3">
        <v>1377</v>
      </c>
      <c r="BC746" s="3">
        <v>1382</v>
      </c>
      <c r="BD746" s="2"/>
      <c r="BE746" s="1" t="s">
        <v>6257</v>
      </c>
      <c r="BF746" s="4">
        <f>HYPERLINK("http://dx.doi.org/10.1016/0013-4686(81)90005-0","http://dx.doi.org/10.1016/0013-4686(81)90005-0")</f>
      </c>
      <c r="BG746" s="1"/>
      <c r="BH746" s="1"/>
      <c r="BI746" s="1"/>
      <c r="BJ746" s="1"/>
      <c r="BK746" s="1"/>
      <c r="BL746" s="1"/>
      <c r="BM746" s="1"/>
      <c r="BN746" s="2"/>
      <c r="BO746" s="1"/>
      <c r="BP746" s="1"/>
      <c r="BQ746" s="1"/>
      <c r="BR746" s="1"/>
      <c r="BS746" s="1" t="s">
        <v>6258</v>
      </c>
      <c r="BT746" s="5">
        <f>HYPERLINK("https%3A%2F%2Fwww.webofscience.com%2Fwos%2Fwoscc%2Ffull-record%2FWOS:A1981MK87500003","View Full Record in Web of Science")</f>
      </c>
    </row>
    <row x14ac:dyDescent="0.25" r="747" customHeight="1" ht="12.75">
      <c r="A747" s="1" t="s">
        <v>72</v>
      </c>
      <c r="B747" s="1" t="s">
        <v>2565</v>
      </c>
      <c r="C747" s="1"/>
      <c r="D747" s="1"/>
      <c r="E747" s="1"/>
      <c r="F747" s="1" t="s">
        <v>2565</v>
      </c>
      <c r="G747" s="1"/>
      <c r="H747" s="1"/>
      <c r="I747" s="1" t="s">
        <v>6259</v>
      </c>
      <c r="J747" s="1" t="s">
        <v>1763</v>
      </c>
      <c r="K747" s="1"/>
      <c r="L747" s="1"/>
      <c r="M747" s="1"/>
      <c r="N747" s="1"/>
      <c r="O747" s="1"/>
      <c r="P747" s="2"/>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t="s">
        <v>1764</v>
      </c>
      <c r="AP747" s="1"/>
      <c r="AQ747" s="1"/>
      <c r="AR747" s="1"/>
      <c r="AS747" s="1"/>
      <c r="AT747" s="1"/>
      <c r="AU747" s="3">
        <v>1980</v>
      </c>
      <c r="AV747" s="3">
        <v>81</v>
      </c>
      <c r="AW747" s="3">
        <v>2</v>
      </c>
      <c r="AX747" s="2"/>
      <c r="AY747" s="2"/>
      <c r="AZ747" s="1"/>
      <c r="BA747" s="2"/>
      <c r="BB747" s="3">
        <v>330</v>
      </c>
      <c r="BC747" s="3">
        <v>334</v>
      </c>
      <c r="BD747" s="2"/>
      <c r="BE747" s="1" t="s">
        <v>6260</v>
      </c>
      <c r="BF747" s="4">
        <f>HYPERLINK("http://dx.doi.org/10.1016/S0008-6215(00)85664-5","http://dx.doi.org/10.1016/S0008-6215(00)85664-5")</f>
      </c>
      <c r="BG747" s="1"/>
      <c r="BH747" s="1"/>
      <c r="BI747" s="1"/>
      <c r="BJ747" s="1"/>
      <c r="BK747" s="1"/>
      <c r="BL747" s="1"/>
      <c r="BM747" s="1"/>
      <c r="BN747" s="2"/>
      <c r="BO747" s="1"/>
      <c r="BP747" s="1"/>
      <c r="BQ747" s="1"/>
      <c r="BR747" s="1"/>
      <c r="BS747" s="1" t="s">
        <v>6261</v>
      </c>
      <c r="BT747" s="5">
        <f>HYPERLINK("https%3A%2F%2Fwww.webofscience.com%2Fwos%2Fwoscc%2Ffull-record%2FWOS:A1980JX58600013","View Full Record in Web of Science")</f>
      </c>
    </row>
    <row x14ac:dyDescent="0.25" r="748" customHeight="1" ht="12.75">
      <c r="A748" s="1" t="s">
        <v>72</v>
      </c>
      <c r="B748" s="1" t="s">
        <v>5462</v>
      </c>
      <c r="C748" s="1"/>
      <c r="D748" s="1"/>
      <c r="E748" s="1"/>
      <c r="F748" s="1" t="s">
        <v>5462</v>
      </c>
      <c r="G748" s="1"/>
      <c r="H748" s="1"/>
      <c r="I748" s="1" t="s">
        <v>6262</v>
      </c>
      <c r="J748" s="1" t="s">
        <v>6263</v>
      </c>
      <c r="K748" s="1"/>
      <c r="L748" s="1"/>
      <c r="M748" s="1"/>
      <c r="N748" s="1"/>
      <c r="O748" s="1"/>
      <c r="P748" s="2"/>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t="s">
        <v>6264</v>
      </c>
      <c r="AP748" s="1"/>
      <c r="AQ748" s="1"/>
      <c r="AR748" s="1"/>
      <c r="AS748" s="1"/>
      <c r="AT748" s="1"/>
      <c r="AU748" s="3">
        <v>1979</v>
      </c>
      <c r="AV748" s="3">
        <v>17</v>
      </c>
      <c r="AW748" s="3">
        <v>6</v>
      </c>
      <c r="AX748" s="2"/>
      <c r="AY748" s="2"/>
      <c r="AZ748" s="1"/>
      <c r="BA748" s="2"/>
      <c r="BB748" s="3">
        <v>1645</v>
      </c>
      <c r="BC748" s="3">
        <v>1653</v>
      </c>
      <c r="BD748" s="2"/>
      <c r="BE748" s="1" t="s">
        <v>6265</v>
      </c>
      <c r="BF748" s="4">
        <f>HYPERLINK("http://dx.doi.org/10.1002/pol.1979.170170608","http://dx.doi.org/10.1002/pol.1979.170170608")</f>
      </c>
      <c r="BG748" s="1"/>
      <c r="BH748" s="1"/>
      <c r="BI748" s="1"/>
      <c r="BJ748" s="1"/>
      <c r="BK748" s="1"/>
      <c r="BL748" s="1"/>
      <c r="BM748" s="1"/>
      <c r="BN748" s="2"/>
      <c r="BO748" s="1"/>
      <c r="BP748" s="1"/>
      <c r="BQ748" s="1"/>
      <c r="BR748" s="1"/>
      <c r="BS748" s="1" t="s">
        <v>6266</v>
      </c>
      <c r="BT748" s="5">
        <f>HYPERLINK("https%3A%2F%2Fwww.webofscience.com%2Fwos%2Fwoscc%2Ffull-record%2FWOS:A1979GW49300008","View Full Record in Web of Science")</f>
      </c>
    </row>
    <row x14ac:dyDescent="0.25" r="749" customHeight="1" ht="12.75">
      <c r="A749" s="1" t="s">
        <v>72</v>
      </c>
      <c r="B749" s="1" t="s">
        <v>6267</v>
      </c>
      <c r="C749" s="1"/>
      <c r="D749" s="1"/>
      <c r="E749" s="1"/>
      <c r="F749" s="1" t="s">
        <v>6267</v>
      </c>
      <c r="G749" s="1"/>
      <c r="H749" s="1"/>
      <c r="I749" s="1" t="s">
        <v>6268</v>
      </c>
      <c r="J749" s="1" t="s">
        <v>4720</v>
      </c>
      <c r="K749" s="1"/>
      <c r="L749" s="1"/>
      <c r="M749" s="1"/>
      <c r="N749" s="1"/>
      <c r="O749" s="1"/>
      <c r="P749" s="2"/>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t="s">
        <v>4721</v>
      </c>
      <c r="AP749" s="1"/>
      <c r="AQ749" s="1"/>
      <c r="AR749" s="1"/>
      <c r="AS749" s="1"/>
      <c r="AT749" s="1"/>
      <c r="AU749" s="3">
        <v>1979</v>
      </c>
      <c r="AV749" s="3">
        <v>12</v>
      </c>
      <c r="AW749" s="3">
        <v>4</v>
      </c>
      <c r="AX749" s="2"/>
      <c r="AY749" s="2"/>
      <c r="AZ749" s="1"/>
      <c r="BA749" s="2"/>
      <c r="BB749" s="3">
        <v>537</v>
      </c>
      <c r="BC749" s="3">
        <v>537</v>
      </c>
      <c r="BD749" s="2"/>
      <c r="BE749" s="1"/>
      <c r="BF749" s="1"/>
      <c r="BG749" s="1"/>
      <c r="BH749" s="1"/>
      <c r="BI749" s="1"/>
      <c r="BJ749" s="1"/>
      <c r="BK749" s="1"/>
      <c r="BL749" s="1"/>
      <c r="BM749" s="1"/>
      <c r="BN749" s="2"/>
      <c r="BO749" s="1"/>
      <c r="BP749" s="1"/>
      <c r="BQ749" s="1"/>
      <c r="BR749" s="1"/>
      <c r="BS749" s="1" t="s">
        <v>6269</v>
      </c>
      <c r="BT749" s="5">
        <f>HYPERLINK("https%3A%2F%2Fwww.webofscience.com%2Fwos%2Fwoscc%2Ffull-record%2FWOS:A1979HW63700227","View Full Record in Web of Science")</f>
      </c>
    </row>
    <row x14ac:dyDescent="0.25" r="750" customHeight="1" ht="12.75">
      <c r="A750" s="1" t="s">
        <v>72</v>
      </c>
      <c r="B750" s="1" t="s">
        <v>6270</v>
      </c>
      <c r="C750" s="1"/>
      <c r="D750" s="1"/>
      <c r="E750" s="1"/>
      <c r="F750" s="1" t="s">
        <v>6271</v>
      </c>
      <c r="G750" s="1"/>
      <c r="H750" s="1"/>
      <c r="I750" s="1" t="s">
        <v>6272</v>
      </c>
      <c r="J750" s="1" t="s">
        <v>6273</v>
      </c>
      <c r="K750" s="1"/>
      <c r="L750" s="1"/>
      <c r="M750" s="1"/>
      <c r="N750" s="1"/>
      <c r="O750" s="1"/>
      <c r="P750" s="2"/>
      <c r="Q750" s="1"/>
      <c r="R750" s="1"/>
      <c r="S750" s="1"/>
      <c r="T750" s="1"/>
      <c r="U750" s="1"/>
      <c r="V750" s="1" t="s">
        <v>6274</v>
      </c>
      <c r="W750" s="1"/>
      <c r="X750" s="1"/>
      <c r="Y750" s="1"/>
      <c r="Z750" s="1"/>
      <c r="AA750" s="1" t="s">
        <v>6275</v>
      </c>
      <c r="AB750" s="1" t="s">
        <v>6276</v>
      </c>
      <c r="AC750" s="1"/>
      <c r="AD750" s="1"/>
      <c r="AE750" s="1"/>
      <c r="AF750" s="1"/>
      <c r="AG750" s="1"/>
      <c r="AH750" s="1"/>
      <c r="AI750" s="1"/>
      <c r="AJ750" s="1"/>
      <c r="AK750" s="1"/>
      <c r="AL750" s="1"/>
      <c r="AM750" s="1"/>
      <c r="AN750" s="1"/>
      <c r="AO750" s="1"/>
      <c r="AP750" s="1" t="s">
        <v>6277</v>
      </c>
      <c r="AQ750" s="1"/>
      <c r="AR750" s="1"/>
      <c r="AS750" s="1"/>
      <c r="AT750" s="1" t="s">
        <v>6278</v>
      </c>
      <c r="AU750" s="3">
        <v>2024</v>
      </c>
      <c r="AV750" s="3">
        <v>15</v>
      </c>
      <c r="AW750" s="2"/>
      <c r="AX750" s="2"/>
      <c r="AY750" s="2"/>
      <c r="AZ750" s="1"/>
      <c r="BA750" s="2"/>
      <c r="BB750" s="2"/>
      <c r="BC750" s="2"/>
      <c r="BD750" s="3">
        <v>1505873</v>
      </c>
      <c r="BE750" s="1" t="s">
        <v>6279</v>
      </c>
      <c r="BF750" s="4">
        <f>HYPERLINK("http://dx.doi.org/10.3389/fphar.2024.1505873","http://dx.doi.org/10.3389/fphar.2024.1505873")</f>
      </c>
      <c r="BG750" s="1"/>
      <c r="BH750" s="1"/>
      <c r="BI750" s="1"/>
      <c r="BJ750" s="1"/>
      <c r="BK750" s="1"/>
      <c r="BL750" s="1"/>
      <c r="BM750" s="1"/>
      <c r="BN750" s="3">
        <v>39640491</v>
      </c>
      <c r="BO750" s="1"/>
      <c r="BP750" s="1"/>
      <c r="BQ750" s="1"/>
      <c r="BR750" s="1"/>
      <c r="BS750" s="1" t="s">
        <v>6280</v>
      </c>
      <c r="BT750" s="5">
        <f>HYPERLINK("https%3A%2F%2Fwww.webofscience.com%2Fwos%2Fwoscc%2Ffull-record%2FWOS:001370079700001","View Full Record in Web of Science")</f>
      </c>
    </row>
    <row x14ac:dyDescent="0.25" r="751" customHeight="1" ht="12.75">
      <c r="A751" s="1" t="s">
        <v>72</v>
      </c>
      <c r="B751" s="1" t="s">
        <v>73</v>
      </c>
      <c r="C751" s="1"/>
      <c r="D751" s="1"/>
      <c r="E751" s="1"/>
      <c r="F751" s="1" t="s">
        <v>74</v>
      </c>
      <c r="G751" s="1"/>
      <c r="H751" s="1"/>
      <c r="I751" s="1" t="s">
        <v>6281</v>
      </c>
      <c r="J751" s="1" t="s">
        <v>6282</v>
      </c>
      <c r="K751" s="1"/>
      <c r="L751" s="1"/>
      <c r="M751" s="1"/>
      <c r="N751" s="1"/>
      <c r="O751" s="1"/>
      <c r="P751" s="2"/>
      <c r="Q751" s="1"/>
      <c r="R751" s="1"/>
      <c r="S751" s="1"/>
      <c r="T751" s="1"/>
      <c r="U751" s="1"/>
      <c r="V751" s="1" t="s">
        <v>6283</v>
      </c>
      <c r="W751" s="1"/>
      <c r="X751" s="1"/>
      <c r="Y751" s="1"/>
      <c r="Z751" s="1"/>
      <c r="AA751" s="1"/>
      <c r="AB751" s="1"/>
      <c r="AC751" s="1"/>
      <c r="AD751" s="1"/>
      <c r="AE751" s="1"/>
      <c r="AF751" s="1"/>
      <c r="AG751" s="1"/>
      <c r="AH751" s="1"/>
      <c r="AI751" s="1"/>
      <c r="AJ751" s="1"/>
      <c r="AK751" s="1"/>
      <c r="AL751" s="1"/>
      <c r="AM751" s="1"/>
      <c r="AN751" s="1"/>
      <c r="AO751" s="1"/>
      <c r="AP751" s="1" t="s">
        <v>6284</v>
      </c>
      <c r="AQ751" s="1"/>
      <c r="AR751" s="1"/>
      <c r="AS751" s="1"/>
      <c r="AT751" s="1" t="s">
        <v>6285</v>
      </c>
      <c r="AU751" s="3">
        <v>2024</v>
      </c>
      <c r="AV751" s="2"/>
      <c r="AW751" s="2"/>
      <c r="AX751" s="2"/>
      <c r="AY751" s="2"/>
      <c r="AZ751" s="1"/>
      <c r="BA751" s="2"/>
      <c r="BB751" s="2"/>
      <c r="BC751" s="2"/>
      <c r="BD751" s="2"/>
      <c r="BE751" s="1" t="s">
        <v>6286</v>
      </c>
      <c r="BF751" s="4">
        <f>HYPERLINK("http://dx.doi.org/10.1017/lar.2024.63","http://dx.doi.org/10.1017/lar.2024.63")</f>
      </c>
      <c r="BG751" s="1"/>
      <c r="BH751" s="1" t="s">
        <v>6287</v>
      </c>
      <c r="BI751" s="1"/>
      <c r="BJ751" s="1"/>
      <c r="BK751" s="1"/>
      <c r="BL751" s="1"/>
      <c r="BM751" s="1"/>
      <c r="BN751" s="2"/>
      <c r="BO751" s="1"/>
      <c r="BP751" s="1"/>
      <c r="BQ751" s="1"/>
      <c r="BR751" s="1"/>
      <c r="BS751" s="1" t="s">
        <v>6288</v>
      </c>
      <c r="BT751" s="5">
        <f>HYPERLINK("https%3A%2F%2Fwww.webofscience.com%2Fwos%2Fwoscc%2Ffull-record%2FWOS:001360833400001","View Full Record in Web of Science")</f>
      </c>
    </row>
    <row x14ac:dyDescent="0.25" r="752" customHeight="1" ht="12.75">
      <c r="A752" s="1" t="s">
        <v>72</v>
      </c>
      <c r="B752" s="1" t="s">
        <v>6289</v>
      </c>
      <c r="C752" s="1"/>
      <c r="D752" s="1"/>
      <c r="E752" s="1"/>
      <c r="F752" s="1" t="s">
        <v>6290</v>
      </c>
      <c r="G752" s="1"/>
      <c r="H752" s="1"/>
      <c r="I752" s="1" t="s">
        <v>6291</v>
      </c>
      <c r="J752" s="1" t="s">
        <v>6292</v>
      </c>
      <c r="K752" s="1"/>
      <c r="L752" s="1"/>
      <c r="M752" s="1"/>
      <c r="N752" s="1"/>
      <c r="O752" s="1"/>
      <c r="P752" s="2"/>
      <c r="Q752" s="1"/>
      <c r="R752" s="1"/>
      <c r="S752" s="1"/>
      <c r="T752" s="1"/>
      <c r="U752" s="1"/>
      <c r="V752" s="1" t="s">
        <v>6293</v>
      </c>
      <c r="W752" s="1"/>
      <c r="X752" s="1"/>
      <c r="Y752" s="1"/>
      <c r="Z752" s="1"/>
      <c r="AA752" s="1" t="s">
        <v>201</v>
      </c>
      <c r="AB752" s="1" t="s">
        <v>1152</v>
      </c>
      <c r="AC752" s="1"/>
      <c r="AD752" s="1"/>
      <c r="AE752" s="1"/>
      <c r="AF752" s="1"/>
      <c r="AG752" s="1"/>
      <c r="AH752" s="1"/>
      <c r="AI752" s="1"/>
      <c r="AJ752" s="1"/>
      <c r="AK752" s="1"/>
      <c r="AL752" s="1"/>
      <c r="AM752" s="1"/>
      <c r="AN752" s="1"/>
      <c r="AO752" s="1" t="s">
        <v>6294</v>
      </c>
      <c r="AP752" s="1" t="s">
        <v>6295</v>
      </c>
      <c r="AQ752" s="1"/>
      <c r="AR752" s="1"/>
      <c r="AS752" s="1"/>
      <c r="AT752" s="1" t="s">
        <v>6296</v>
      </c>
      <c r="AU752" s="3">
        <v>2024</v>
      </c>
      <c r="AV752" s="3">
        <v>2024</v>
      </c>
      <c r="AW752" s="2"/>
      <c r="AX752" s="2"/>
      <c r="AY752" s="2"/>
      <c r="AZ752" s="1"/>
      <c r="BA752" s="2"/>
      <c r="BB752" s="2"/>
      <c r="BC752" s="2"/>
      <c r="BD752" s="3">
        <v>7908506</v>
      </c>
      <c r="BE752" s="1" t="s">
        <v>6297</v>
      </c>
      <c r="BF752" s="4">
        <f>HYPERLINK("http://dx.doi.org/10.1155/2024/7908506","http://dx.doi.org/10.1155/2024/7908506")</f>
      </c>
      <c r="BG752" s="1"/>
      <c r="BH752" s="1"/>
      <c r="BI752" s="1"/>
      <c r="BJ752" s="1"/>
      <c r="BK752" s="1"/>
      <c r="BL752" s="1"/>
      <c r="BM752" s="1"/>
      <c r="BN752" s="2"/>
      <c r="BO752" s="1"/>
      <c r="BP752" s="1"/>
      <c r="BQ752" s="1"/>
      <c r="BR752" s="1"/>
      <c r="BS752" s="1" t="s">
        <v>6298</v>
      </c>
      <c r="BT752" s="5">
        <f>HYPERLINK("https%3A%2F%2Fwww.webofscience.com%2Fwos%2Fwoscc%2Ffull-record%2FWOS:001263632800001","View Full Record in Web of Science")</f>
      </c>
    </row>
    <row x14ac:dyDescent="0.25" r="753" customHeight="1" ht="12.75">
      <c r="A753" s="1" t="s">
        <v>72</v>
      </c>
      <c r="B753" s="1" t="s">
        <v>6299</v>
      </c>
      <c r="C753" s="1"/>
      <c r="D753" s="1"/>
      <c r="E753" s="1"/>
      <c r="F753" s="1" t="s">
        <v>6300</v>
      </c>
      <c r="G753" s="1"/>
      <c r="H753" s="1"/>
      <c r="I753" s="1" t="s">
        <v>6301</v>
      </c>
      <c r="J753" s="1" t="s">
        <v>6302</v>
      </c>
      <c r="K753" s="1"/>
      <c r="L753" s="1"/>
      <c r="M753" s="1"/>
      <c r="N753" s="1"/>
      <c r="O753" s="1"/>
      <c r="P753" s="2"/>
      <c r="Q753" s="1"/>
      <c r="R753" s="1"/>
      <c r="S753" s="1"/>
      <c r="T753" s="1"/>
      <c r="U753" s="1"/>
      <c r="V753" s="1" t="s">
        <v>6303</v>
      </c>
      <c r="W753" s="1"/>
      <c r="X753" s="1"/>
      <c r="Y753" s="1"/>
      <c r="Z753" s="1"/>
      <c r="AA753" s="1"/>
      <c r="AB753" s="1"/>
      <c r="AC753" s="1"/>
      <c r="AD753" s="1"/>
      <c r="AE753" s="1"/>
      <c r="AF753" s="1"/>
      <c r="AG753" s="1"/>
      <c r="AH753" s="1"/>
      <c r="AI753" s="1"/>
      <c r="AJ753" s="1"/>
      <c r="AK753" s="1"/>
      <c r="AL753" s="1"/>
      <c r="AM753" s="1"/>
      <c r="AN753" s="1"/>
      <c r="AO753" s="1" t="s">
        <v>6304</v>
      </c>
      <c r="AP753" s="1"/>
      <c r="AQ753" s="1"/>
      <c r="AR753" s="1"/>
      <c r="AS753" s="1"/>
      <c r="AT753" s="1" t="s">
        <v>757</v>
      </c>
      <c r="AU753" s="3">
        <v>2024</v>
      </c>
      <c r="AV753" s="2"/>
      <c r="AW753" s="3">
        <v>21</v>
      </c>
      <c r="AX753" s="2"/>
      <c r="AY753" s="2"/>
      <c r="AZ753" s="1"/>
      <c r="BA753" s="2"/>
      <c r="BB753" s="3">
        <v>367</v>
      </c>
      <c r="BC753" s="3">
        <v>392</v>
      </c>
      <c r="BD753" s="2"/>
      <c r="BE753" s="1" t="s">
        <v>6305</v>
      </c>
      <c r="BF753" s="4">
        <f>HYPERLINK("http://dx.doi.org/10.5354/2735-7473.2024.75186","http://dx.doi.org/10.5354/2735-7473.2024.75186")</f>
      </c>
      <c r="BG753" s="1"/>
      <c r="BH753" s="1"/>
      <c r="BI753" s="1"/>
      <c r="BJ753" s="1"/>
      <c r="BK753" s="1"/>
      <c r="BL753" s="1"/>
      <c r="BM753" s="1"/>
      <c r="BN753" s="2"/>
      <c r="BO753" s="1"/>
      <c r="BP753" s="1"/>
      <c r="BQ753" s="1"/>
      <c r="BR753" s="1"/>
      <c r="BS753" s="1" t="s">
        <v>6306</v>
      </c>
      <c r="BT753" s="5">
        <f>HYPERLINK("https%3A%2F%2Fwww.webofscience.com%2Fwos%2Fwoscc%2Ffull-record%2FWOS:001266117000012","View Full Record in Web of Science")</f>
      </c>
    </row>
    <row x14ac:dyDescent="0.25" r="754" customHeight="1" ht="12.75">
      <c r="A754" s="1" t="s">
        <v>303</v>
      </c>
      <c r="B754" s="1" t="s">
        <v>6307</v>
      </c>
      <c r="C754" s="1"/>
      <c r="D754" s="1"/>
      <c r="E754" s="1" t="s">
        <v>305</v>
      </c>
      <c r="F754" s="1" t="s">
        <v>6308</v>
      </c>
      <c r="G754" s="1"/>
      <c r="H754" s="1"/>
      <c r="I754" s="1" t="s">
        <v>6309</v>
      </c>
      <c r="J754" s="1" t="s">
        <v>6310</v>
      </c>
      <c r="K754" s="1" t="s">
        <v>6311</v>
      </c>
      <c r="L754" s="1"/>
      <c r="M754" s="1"/>
      <c r="N754" s="1"/>
      <c r="O754" s="1" t="s">
        <v>6312</v>
      </c>
      <c r="P754" s="2" t="s">
        <v>6313</v>
      </c>
      <c r="Q754" s="1" t="s">
        <v>6314</v>
      </c>
      <c r="R754" s="1" t="s">
        <v>6315</v>
      </c>
      <c r="S754" s="1" t="s">
        <v>6316</v>
      </c>
      <c r="T754" s="1"/>
      <c r="U754" s="1"/>
      <c r="V754" s="1" t="s">
        <v>6317</v>
      </c>
      <c r="W754" s="1"/>
      <c r="X754" s="1"/>
      <c r="Y754" s="1"/>
      <c r="Z754" s="1"/>
      <c r="AA754" s="1"/>
      <c r="AB754" s="1" t="s">
        <v>6318</v>
      </c>
      <c r="AC754" s="1"/>
      <c r="AD754" s="1"/>
      <c r="AE754" s="1"/>
      <c r="AF754" s="1"/>
      <c r="AG754" s="1"/>
      <c r="AH754" s="1"/>
      <c r="AI754" s="1"/>
      <c r="AJ754" s="1"/>
      <c r="AK754" s="1"/>
      <c r="AL754" s="1"/>
      <c r="AM754" s="1"/>
      <c r="AN754" s="1"/>
      <c r="AO754" s="1"/>
      <c r="AP754" s="1"/>
      <c r="AQ754" s="1" t="s">
        <v>6319</v>
      </c>
      <c r="AR754" s="1"/>
      <c r="AS754" s="1"/>
      <c r="AT754" s="1"/>
      <c r="AU754" s="3">
        <v>2024</v>
      </c>
      <c r="AV754" s="2"/>
      <c r="AW754" s="2"/>
      <c r="AX754" s="2"/>
      <c r="AY754" s="2"/>
      <c r="AZ754" s="1"/>
      <c r="BA754" s="2"/>
      <c r="BB754" s="2"/>
      <c r="BC754" s="2"/>
      <c r="BD754" s="2"/>
      <c r="BE754" s="1" t="s">
        <v>6320</v>
      </c>
      <c r="BF754" s="4">
        <f>HYPERLINK("http://dx.doi.org/10.1109/MEMEA60663.2024.10596716","http://dx.doi.org/10.1109/MEMEA60663.2024.10596716")</f>
      </c>
      <c r="BG754" s="1"/>
      <c r="BH754" s="1"/>
      <c r="BI754" s="1"/>
      <c r="BJ754" s="1"/>
      <c r="BK754" s="1"/>
      <c r="BL754" s="1"/>
      <c r="BM754" s="1"/>
      <c r="BN754" s="2"/>
      <c r="BO754" s="1"/>
      <c r="BP754" s="1"/>
      <c r="BQ754" s="1"/>
      <c r="BR754" s="1"/>
      <c r="BS754" s="1" t="s">
        <v>6321</v>
      </c>
      <c r="BT754" s="5">
        <f>HYPERLINK("https%3A%2F%2Fwww.webofscience.com%2Fwos%2Fwoscc%2Ffull-record%2FWOS:001292762200010","View Full Record in Web of Science")</f>
      </c>
    </row>
    <row x14ac:dyDescent="0.25" r="755" customHeight="1" ht="12.75">
      <c r="A755" s="1" t="s">
        <v>72</v>
      </c>
      <c r="B755" s="1" t="s">
        <v>6322</v>
      </c>
      <c r="C755" s="1"/>
      <c r="D755" s="1"/>
      <c r="E755" s="1"/>
      <c r="F755" s="1" t="s">
        <v>6323</v>
      </c>
      <c r="G755" s="1"/>
      <c r="H755" s="1"/>
      <c r="I755" s="1" t="s">
        <v>6324</v>
      </c>
      <c r="J755" s="1" t="s">
        <v>239</v>
      </c>
      <c r="K755" s="1"/>
      <c r="L755" s="1"/>
      <c r="M755" s="1"/>
      <c r="N755" s="1"/>
      <c r="O755" s="1"/>
      <c r="P755" s="2"/>
      <c r="Q755" s="1"/>
      <c r="R755" s="1"/>
      <c r="S755" s="1"/>
      <c r="T755" s="1"/>
      <c r="U755" s="1"/>
      <c r="V755" s="1" t="s">
        <v>6325</v>
      </c>
      <c r="W755" s="1"/>
      <c r="X755" s="1"/>
      <c r="Y755" s="1"/>
      <c r="Z755" s="1"/>
      <c r="AA755" s="1" t="s">
        <v>6326</v>
      </c>
      <c r="AB755" s="1" t="s">
        <v>6327</v>
      </c>
      <c r="AC755" s="1"/>
      <c r="AD755" s="1"/>
      <c r="AE755" s="1"/>
      <c r="AF755" s="1"/>
      <c r="AG755" s="1"/>
      <c r="AH755" s="1"/>
      <c r="AI755" s="1"/>
      <c r="AJ755" s="1"/>
      <c r="AK755" s="1"/>
      <c r="AL755" s="1"/>
      <c r="AM755" s="1"/>
      <c r="AN755" s="1"/>
      <c r="AO755" s="1" t="s">
        <v>243</v>
      </c>
      <c r="AP755" s="1"/>
      <c r="AQ755" s="1"/>
      <c r="AR755" s="1"/>
      <c r="AS755" s="1"/>
      <c r="AT755" s="1"/>
      <c r="AU755" s="3">
        <v>2024</v>
      </c>
      <c r="AV755" s="3">
        <v>23</v>
      </c>
      <c r="AW755" s="3">
        <v>11</v>
      </c>
      <c r="AX755" s="2"/>
      <c r="AY755" s="2"/>
      <c r="AZ755" s="1"/>
      <c r="BA755" s="2"/>
      <c r="BB755" s="2"/>
      <c r="BC755" s="2"/>
      <c r="BD755" s="2" t="s">
        <v>6328</v>
      </c>
      <c r="BE755" s="1" t="s">
        <v>6329</v>
      </c>
      <c r="BF755" s="4">
        <f>HYPERLINK("http://dx.doi.org/10.5867/medwave.2023.11.2787","http://dx.doi.org/10.5867/medwave.2023.11.2787")</f>
      </c>
      <c r="BG755" s="1"/>
      <c r="BH755" s="1"/>
      <c r="BI755" s="1"/>
      <c r="BJ755" s="1"/>
      <c r="BK755" s="1"/>
      <c r="BL755" s="1"/>
      <c r="BM755" s="1"/>
      <c r="BN755" s="3">
        <v>38117982</v>
      </c>
      <c r="BO755" s="1"/>
      <c r="BP755" s="1"/>
      <c r="BQ755" s="1"/>
      <c r="BR755" s="1"/>
      <c r="BS755" s="1" t="s">
        <v>6330</v>
      </c>
      <c r="BT755" s="5">
        <f>HYPERLINK("https%3A%2F%2Fwww.webofscience.com%2Fwos%2Fwoscc%2Ffull-record%2FWOS:001144648300001","View Full Record in Web of Science")</f>
      </c>
    </row>
    <row x14ac:dyDescent="0.25" r="756" customHeight="1" ht="12.75">
      <c r="A756" s="1" t="s">
        <v>72</v>
      </c>
      <c r="B756" s="1" t="s">
        <v>6331</v>
      </c>
      <c r="C756" s="1"/>
      <c r="D756" s="1"/>
      <c r="E756" s="1"/>
      <c r="F756" s="1" t="s">
        <v>6332</v>
      </c>
      <c r="G756" s="1"/>
      <c r="H756" s="1"/>
      <c r="I756" s="1" t="s">
        <v>6333</v>
      </c>
      <c r="J756" s="1" t="s">
        <v>1061</v>
      </c>
      <c r="K756" s="1"/>
      <c r="L756" s="1"/>
      <c r="M756" s="1"/>
      <c r="N756" s="1"/>
      <c r="O756" s="1"/>
      <c r="P756" s="2"/>
      <c r="Q756" s="1"/>
      <c r="R756" s="1"/>
      <c r="S756" s="1"/>
      <c r="T756" s="1"/>
      <c r="U756" s="1"/>
      <c r="V756" s="1" t="s">
        <v>6334</v>
      </c>
      <c r="W756" s="1"/>
      <c r="X756" s="1"/>
      <c r="Y756" s="1"/>
      <c r="Z756" s="1"/>
      <c r="AA756" s="1"/>
      <c r="AB756" s="1"/>
      <c r="AC756" s="1"/>
      <c r="AD756" s="1"/>
      <c r="AE756" s="1"/>
      <c r="AF756" s="1"/>
      <c r="AG756" s="1"/>
      <c r="AH756" s="1"/>
      <c r="AI756" s="1"/>
      <c r="AJ756" s="1"/>
      <c r="AK756" s="1"/>
      <c r="AL756" s="1"/>
      <c r="AM756" s="1"/>
      <c r="AN756" s="1"/>
      <c r="AO756" s="1" t="s">
        <v>1063</v>
      </c>
      <c r="AP756" s="1" t="s">
        <v>1064</v>
      </c>
      <c r="AQ756" s="1"/>
      <c r="AR756" s="1"/>
      <c r="AS756" s="1"/>
      <c r="AT756" s="1"/>
      <c r="AU756" s="3">
        <v>2024</v>
      </c>
      <c r="AV756" s="3">
        <v>16</v>
      </c>
      <c r="AW756" s="3">
        <v>1</v>
      </c>
      <c r="AX756" s="2"/>
      <c r="AY756" s="2"/>
      <c r="AZ756" s="1"/>
      <c r="BA756" s="2"/>
      <c r="BB756" s="3">
        <v>6</v>
      </c>
      <c r="BC756" s="3">
        <v>27</v>
      </c>
      <c r="BD756" s="2"/>
      <c r="BE756" s="1" t="s">
        <v>6335</v>
      </c>
      <c r="BF756" s="4">
        <f>HYPERLINK("http://dx.doi.org/10.53689/ea.v16i1.220","http://dx.doi.org/10.53689/ea.v16i1.220")</f>
      </c>
      <c r="BG756" s="1"/>
      <c r="BH756" s="1"/>
      <c r="BI756" s="1"/>
      <c r="BJ756" s="1"/>
      <c r="BK756" s="1"/>
      <c r="BL756" s="1"/>
      <c r="BM756" s="1"/>
      <c r="BN756" s="2"/>
      <c r="BO756" s="1"/>
      <c r="BP756" s="1"/>
      <c r="BQ756" s="1"/>
      <c r="BR756" s="1"/>
      <c r="BS756" s="1" t="s">
        <v>6336</v>
      </c>
      <c r="BT756" s="5">
        <f>HYPERLINK("https%3A%2F%2Fwww.webofscience.com%2Fwos%2Fwoscc%2Ffull-record%2FWOS:001290259300002","View Full Record in Web of Science")</f>
      </c>
    </row>
    <row x14ac:dyDescent="0.25" r="757" customHeight="1" ht="12.75">
      <c r="A757" s="1" t="s">
        <v>72</v>
      </c>
      <c r="B757" s="1" t="s">
        <v>6337</v>
      </c>
      <c r="C757" s="1"/>
      <c r="D757" s="1"/>
      <c r="E757" s="1"/>
      <c r="F757" s="1" t="s">
        <v>6338</v>
      </c>
      <c r="G757" s="1"/>
      <c r="H757" s="1"/>
      <c r="I757" s="1" t="s">
        <v>6339</v>
      </c>
      <c r="J757" s="1" t="s">
        <v>6340</v>
      </c>
      <c r="K757" s="1"/>
      <c r="L757" s="1"/>
      <c r="M757" s="1"/>
      <c r="N757" s="1"/>
      <c r="O757" s="1"/>
      <c r="P757" s="2"/>
      <c r="Q757" s="1"/>
      <c r="R757" s="1"/>
      <c r="S757" s="1"/>
      <c r="T757" s="1"/>
      <c r="U757" s="1"/>
      <c r="V757" s="1" t="s">
        <v>6341</v>
      </c>
      <c r="W757" s="1"/>
      <c r="X757" s="1"/>
      <c r="Y757" s="1"/>
      <c r="Z757" s="1"/>
      <c r="AA757" s="1"/>
      <c r="AB757" s="1"/>
      <c r="AC757" s="1"/>
      <c r="AD757" s="1"/>
      <c r="AE757" s="1"/>
      <c r="AF757" s="1"/>
      <c r="AG757" s="1"/>
      <c r="AH757" s="1"/>
      <c r="AI757" s="1"/>
      <c r="AJ757" s="1"/>
      <c r="AK757" s="1"/>
      <c r="AL757" s="1"/>
      <c r="AM757" s="1"/>
      <c r="AN757" s="1"/>
      <c r="AO757" s="1" t="s">
        <v>6342</v>
      </c>
      <c r="AP757" s="1" t="s">
        <v>6343</v>
      </c>
      <c r="AQ757" s="1"/>
      <c r="AR757" s="1"/>
      <c r="AS757" s="1"/>
      <c r="AT757" s="1"/>
      <c r="AU757" s="3">
        <v>2024</v>
      </c>
      <c r="AV757" s="3">
        <v>61</v>
      </c>
      <c r="AW757" s="3">
        <v>1</v>
      </c>
      <c r="AX757" s="2"/>
      <c r="AY757" s="2"/>
      <c r="AZ757" s="1"/>
      <c r="BA757" s="2"/>
      <c r="BB757" s="2"/>
      <c r="BC757" s="2"/>
      <c r="BD757" s="2" t="s">
        <v>6344</v>
      </c>
      <c r="BE757" s="1" t="s">
        <v>6345</v>
      </c>
      <c r="BF757" s="4">
        <f>HYPERLINK("http://dx.doi.org/10.5209/poso.87859","http://dx.doi.org/10.5209/poso.87859")</f>
      </c>
      <c r="BG757" s="1"/>
      <c r="BH757" s="1"/>
      <c r="BI757" s="1"/>
      <c r="BJ757" s="1"/>
      <c r="BK757" s="1"/>
      <c r="BL757" s="1"/>
      <c r="BM757" s="1"/>
      <c r="BN757" s="2"/>
      <c r="BO757" s="1"/>
      <c r="BP757" s="1"/>
      <c r="BQ757" s="1"/>
      <c r="BR757" s="1"/>
      <c r="BS757" s="1" t="s">
        <v>6346</v>
      </c>
      <c r="BT757" s="5">
        <f>HYPERLINK("https%3A%2F%2Fwww.webofscience.com%2Fwos%2Fwoscc%2Ffull-record%2FWOS:001218441000002","View Full Record in Web of Science")</f>
      </c>
    </row>
    <row x14ac:dyDescent="0.25" r="758" customHeight="1" ht="12.75">
      <c r="A758" s="1" t="s">
        <v>72</v>
      </c>
      <c r="B758" s="1" t="s">
        <v>6347</v>
      </c>
      <c r="C758" s="1"/>
      <c r="D758" s="1"/>
      <c r="E758" s="1"/>
      <c r="F758" s="1" t="s">
        <v>6348</v>
      </c>
      <c r="G758" s="1"/>
      <c r="H758" s="1"/>
      <c r="I758" s="1" t="s">
        <v>6349</v>
      </c>
      <c r="J758" s="1" t="s">
        <v>2668</v>
      </c>
      <c r="K758" s="1"/>
      <c r="L758" s="1"/>
      <c r="M758" s="1"/>
      <c r="N758" s="1"/>
      <c r="O758" s="1"/>
      <c r="P758" s="2"/>
      <c r="Q758" s="1"/>
      <c r="R758" s="1"/>
      <c r="S758" s="1"/>
      <c r="T758" s="1"/>
      <c r="U758" s="1"/>
      <c r="V758" s="1" t="s">
        <v>6350</v>
      </c>
      <c r="W758" s="1"/>
      <c r="X758" s="1"/>
      <c r="Y758" s="1"/>
      <c r="Z758" s="1"/>
      <c r="AA758" s="1"/>
      <c r="AB758" s="1"/>
      <c r="AC758" s="1"/>
      <c r="AD758" s="1"/>
      <c r="AE758" s="1"/>
      <c r="AF758" s="1"/>
      <c r="AG758" s="1"/>
      <c r="AH758" s="1"/>
      <c r="AI758" s="1"/>
      <c r="AJ758" s="1"/>
      <c r="AK758" s="1"/>
      <c r="AL758" s="1"/>
      <c r="AM758" s="1"/>
      <c r="AN758" s="1"/>
      <c r="AO758" s="1" t="s">
        <v>2670</v>
      </c>
      <c r="AP758" s="1"/>
      <c r="AQ758" s="1"/>
      <c r="AR758" s="1"/>
      <c r="AS758" s="1"/>
      <c r="AT758" s="1" t="s">
        <v>538</v>
      </c>
      <c r="AU758" s="3">
        <v>2024</v>
      </c>
      <c r="AV758" s="2"/>
      <c r="AW758" s="3">
        <v>60</v>
      </c>
      <c r="AX758" s="2"/>
      <c r="AY758" s="2"/>
      <c r="AZ758" s="1"/>
      <c r="BA758" s="2"/>
      <c r="BB758" s="3">
        <v>136</v>
      </c>
      <c r="BC758" s="3">
        <v>153</v>
      </c>
      <c r="BD758" s="2"/>
      <c r="BE758" s="1"/>
      <c r="BF758" s="1"/>
      <c r="BG758" s="1"/>
      <c r="BH758" s="1"/>
      <c r="BI758" s="1"/>
      <c r="BJ758" s="1"/>
      <c r="BK758" s="1"/>
      <c r="BL758" s="1"/>
      <c r="BM758" s="1"/>
      <c r="BN758" s="2"/>
      <c r="BO758" s="1"/>
      <c r="BP758" s="1"/>
      <c r="BQ758" s="1"/>
      <c r="BR758" s="1"/>
      <c r="BS758" s="1" t="s">
        <v>6351</v>
      </c>
      <c r="BT758" s="5">
        <f>HYPERLINK("https%3A%2F%2Fwww.webofscience.com%2Fwos%2Fwoscc%2Ffull-record%2FWOS:001146602200004","View Full Record in Web of Science")</f>
      </c>
    </row>
    <row x14ac:dyDescent="0.25" r="759" customHeight="1" ht="12.75">
      <c r="A759" s="1" t="s">
        <v>72</v>
      </c>
      <c r="B759" s="1" t="s">
        <v>6352</v>
      </c>
      <c r="C759" s="1"/>
      <c r="D759" s="1"/>
      <c r="E759" s="1"/>
      <c r="F759" s="1" t="s">
        <v>6353</v>
      </c>
      <c r="G759" s="1"/>
      <c r="H759" s="1"/>
      <c r="I759" s="1" t="s">
        <v>6354</v>
      </c>
      <c r="J759" s="1" t="s">
        <v>6355</v>
      </c>
      <c r="K759" s="1"/>
      <c r="L759" s="1"/>
      <c r="M759" s="1"/>
      <c r="N759" s="1"/>
      <c r="O759" s="1"/>
      <c r="P759" s="2"/>
      <c r="Q759" s="1"/>
      <c r="R759" s="1"/>
      <c r="S759" s="1"/>
      <c r="T759" s="1"/>
      <c r="U759" s="1"/>
      <c r="V759" s="1" t="s">
        <v>6356</v>
      </c>
      <c r="W759" s="1"/>
      <c r="X759" s="1"/>
      <c r="Y759" s="1"/>
      <c r="Z759" s="1"/>
      <c r="AA759" s="1"/>
      <c r="AB759" s="1" t="s">
        <v>2752</v>
      </c>
      <c r="AC759" s="1"/>
      <c r="AD759" s="1"/>
      <c r="AE759" s="1"/>
      <c r="AF759" s="1"/>
      <c r="AG759" s="1"/>
      <c r="AH759" s="1"/>
      <c r="AI759" s="1"/>
      <c r="AJ759" s="1"/>
      <c r="AK759" s="1"/>
      <c r="AL759" s="1"/>
      <c r="AM759" s="1"/>
      <c r="AN759" s="1"/>
      <c r="AO759" s="1"/>
      <c r="AP759" s="1" t="s">
        <v>6357</v>
      </c>
      <c r="AQ759" s="1"/>
      <c r="AR759" s="1"/>
      <c r="AS759" s="1"/>
      <c r="AT759" s="1" t="s">
        <v>126</v>
      </c>
      <c r="AU759" s="3">
        <v>2023</v>
      </c>
      <c r="AV759" s="3">
        <v>11</v>
      </c>
      <c r="AW759" s="3">
        <v>7</v>
      </c>
      <c r="AX759" s="2"/>
      <c r="AY759" s="2"/>
      <c r="AZ759" s="1"/>
      <c r="BA759" s="2"/>
      <c r="BB759" s="2"/>
      <c r="BC759" s="2"/>
      <c r="BD759" s="3">
        <v>346</v>
      </c>
      <c r="BE759" s="1" t="s">
        <v>6358</v>
      </c>
      <c r="BF759" s="4">
        <f>HYPERLINK("http://dx.doi.org/10.3390/systems11070346","http://dx.doi.org/10.3390/systems11070346")</f>
      </c>
      <c r="BG759" s="1"/>
      <c r="BH759" s="1"/>
      <c r="BI759" s="1"/>
      <c r="BJ759" s="1"/>
      <c r="BK759" s="1"/>
      <c r="BL759" s="1"/>
      <c r="BM759" s="1"/>
      <c r="BN759" s="2"/>
      <c r="BO759" s="1"/>
      <c r="BP759" s="1"/>
      <c r="BQ759" s="1"/>
      <c r="BR759" s="1"/>
      <c r="BS759" s="1" t="s">
        <v>6359</v>
      </c>
      <c r="BT759" s="5">
        <f>HYPERLINK("https%3A%2F%2Fwww.webofscience.com%2Fwos%2Fwoscc%2Ffull-record%2FWOS:001038834300001","View Full Record in Web of Science")</f>
      </c>
    </row>
    <row x14ac:dyDescent="0.25" r="760" customHeight="1" ht="12.75">
      <c r="A760" s="1" t="s">
        <v>72</v>
      </c>
      <c r="B760" s="1" t="s">
        <v>6360</v>
      </c>
      <c r="C760" s="1"/>
      <c r="D760" s="1"/>
      <c r="E760" s="1"/>
      <c r="F760" s="1" t="s">
        <v>6361</v>
      </c>
      <c r="G760" s="1"/>
      <c r="H760" s="1"/>
      <c r="I760" s="1" t="s">
        <v>6362</v>
      </c>
      <c r="J760" s="1" t="s">
        <v>2277</v>
      </c>
      <c r="K760" s="1"/>
      <c r="L760" s="1"/>
      <c r="M760" s="1"/>
      <c r="N760" s="1"/>
      <c r="O760" s="1"/>
      <c r="P760" s="2"/>
      <c r="Q760" s="1"/>
      <c r="R760" s="1"/>
      <c r="S760" s="1"/>
      <c r="T760" s="1"/>
      <c r="U760" s="1"/>
      <c r="V760" s="1" t="s">
        <v>6363</v>
      </c>
      <c r="W760" s="1"/>
      <c r="X760" s="1"/>
      <c r="Y760" s="1"/>
      <c r="Z760" s="1"/>
      <c r="AA760" s="1" t="s">
        <v>6364</v>
      </c>
      <c r="AB760" s="1" t="s">
        <v>2279</v>
      </c>
      <c r="AC760" s="1"/>
      <c r="AD760" s="1"/>
      <c r="AE760" s="1"/>
      <c r="AF760" s="1"/>
      <c r="AG760" s="1"/>
      <c r="AH760" s="1"/>
      <c r="AI760" s="1"/>
      <c r="AJ760" s="1"/>
      <c r="AK760" s="1"/>
      <c r="AL760" s="1"/>
      <c r="AM760" s="1"/>
      <c r="AN760" s="1"/>
      <c r="AO760" s="1" t="s">
        <v>2280</v>
      </c>
      <c r="AP760" s="1" t="s">
        <v>3451</v>
      </c>
      <c r="AQ760" s="1"/>
      <c r="AR760" s="1"/>
      <c r="AS760" s="1"/>
      <c r="AT760" s="1" t="s">
        <v>292</v>
      </c>
      <c r="AU760" s="3">
        <v>2022</v>
      </c>
      <c r="AV760" s="3">
        <v>128</v>
      </c>
      <c r="AW760" s="2"/>
      <c r="AX760" s="2"/>
      <c r="AY760" s="2"/>
      <c r="AZ760" s="1"/>
      <c r="BA760" s="2"/>
      <c r="BB760" s="3">
        <v>335</v>
      </c>
      <c r="BC760" s="3">
        <v>347</v>
      </c>
      <c r="BD760" s="2"/>
      <c r="BE760" s="1" t="s">
        <v>6365</v>
      </c>
      <c r="BF760" s="4">
        <f>HYPERLINK("http://dx.doi.org/10.1016/j.fsi.2022.08.002","http://dx.doi.org/10.1016/j.fsi.2022.08.002")</f>
      </c>
      <c r="BG760" s="1"/>
      <c r="BH760" s="1" t="s">
        <v>1091</v>
      </c>
      <c r="BI760" s="1"/>
      <c r="BJ760" s="1"/>
      <c r="BK760" s="1"/>
      <c r="BL760" s="1"/>
      <c r="BM760" s="1"/>
      <c r="BN760" s="3">
        <v>35963560</v>
      </c>
      <c r="BO760" s="1"/>
      <c r="BP760" s="1"/>
      <c r="BQ760" s="1"/>
      <c r="BR760" s="1"/>
      <c r="BS760" s="1" t="s">
        <v>6366</v>
      </c>
      <c r="BT760" s="5">
        <f>HYPERLINK("https%3A%2F%2Fwww.webofscience.com%2Fwos%2Fwoscc%2Ffull-record%2FWOS:000879254700006","View Full Record in Web of Science")</f>
      </c>
    </row>
    <row x14ac:dyDescent="0.25" r="761" customHeight="1" ht="12.75">
      <c r="A761" s="1" t="s">
        <v>72</v>
      </c>
      <c r="B761" s="1" t="s">
        <v>5616</v>
      </c>
      <c r="C761" s="1"/>
      <c r="D761" s="1"/>
      <c r="E761" s="1"/>
      <c r="F761" s="1" t="s">
        <v>5617</v>
      </c>
      <c r="G761" s="1"/>
      <c r="H761" s="1"/>
      <c r="I761" s="1" t="s">
        <v>6367</v>
      </c>
      <c r="J761" s="1" t="s">
        <v>6368</v>
      </c>
      <c r="K761" s="1"/>
      <c r="L761" s="1"/>
      <c r="M761" s="1"/>
      <c r="N761" s="1"/>
      <c r="O761" s="1"/>
      <c r="P761" s="2"/>
      <c r="Q761" s="1"/>
      <c r="R761" s="1"/>
      <c r="S761" s="1"/>
      <c r="T761" s="1"/>
      <c r="U761" s="1"/>
      <c r="V761" s="1" t="s">
        <v>6369</v>
      </c>
      <c r="W761" s="1"/>
      <c r="X761" s="1"/>
      <c r="Y761" s="1"/>
      <c r="Z761" s="1"/>
      <c r="AA761" s="1" t="s">
        <v>5620</v>
      </c>
      <c r="AB761" s="1" t="s">
        <v>5621</v>
      </c>
      <c r="AC761" s="1"/>
      <c r="AD761" s="1"/>
      <c r="AE761" s="1"/>
      <c r="AF761" s="1"/>
      <c r="AG761" s="1"/>
      <c r="AH761" s="1"/>
      <c r="AI761" s="1"/>
      <c r="AJ761" s="1"/>
      <c r="AK761" s="1"/>
      <c r="AL761" s="1"/>
      <c r="AM761" s="1"/>
      <c r="AN761" s="1"/>
      <c r="AO761" s="1"/>
      <c r="AP761" s="1" t="s">
        <v>6370</v>
      </c>
      <c r="AQ761" s="1"/>
      <c r="AR761" s="1"/>
      <c r="AS761" s="1"/>
      <c r="AT761" s="1" t="s">
        <v>683</v>
      </c>
      <c r="AU761" s="3">
        <v>2022</v>
      </c>
      <c r="AV761" s="3">
        <v>19</v>
      </c>
      <c r="AW761" s="3">
        <v>10</v>
      </c>
      <c r="AX761" s="2"/>
      <c r="AY761" s="2"/>
      <c r="AZ761" s="1"/>
      <c r="BA761" s="2"/>
      <c r="BB761" s="2"/>
      <c r="BC761" s="2"/>
      <c r="BD761" s="3">
        <v>5834</v>
      </c>
      <c r="BE761" s="1" t="s">
        <v>6371</v>
      </c>
      <c r="BF761" s="4">
        <f>HYPERLINK("http://dx.doi.org/10.3390/ijerph19105834","http://dx.doi.org/10.3390/ijerph19105834")</f>
      </c>
      <c r="BG761" s="1"/>
      <c r="BH761" s="1"/>
      <c r="BI761" s="1"/>
      <c r="BJ761" s="1"/>
      <c r="BK761" s="1"/>
      <c r="BL761" s="1"/>
      <c r="BM761" s="1"/>
      <c r="BN761" s="3">
        <v>35627373</v>
      </c>
      <c r="BO761" s="1"/>
      <c r="BP761" s="1"/>
      <c r="BQ761" s="1"/>
      <c r="BR761" s="1"/>
      <c r="BS761" s="1" t="s">
        <v>6372</v>
      </c>
      <c r="BT761" s="5">
        <f>HYPERLINK("https%3A%2F%2Fwww.webofscience.com%2Fwos%2Fwoscc%2Ffull-record%2FWOS:000801776000001","View Full Record in Web of Science")</f>
      </c>
    </row>
    <row x14ac:dyDescent="0.25" r="762" customHeight="1" ht="12.75">
      <c r="A762" s="1" t="s">
        <v>72</v>
      </c>
      <c r="B762" s="1" t="s">
        <v>6373</v>
      </c>
      <c r="C762" s="1"/>
      <c r="D762" s="1"/>
      <c r="E762" s="1"/>
      <c r="F762" s="1" t="s">
        <v>6374</v>
      </c>
      <c r="G762" s="1"/>
      <c r="H762" s="1"/>
      <c r="I762" s="1" t="s">
        <v>6375</v>
      </c>
      <c r="J762" s="1" t="s">
        <v>6376</v>
      </c>
      <c r="K762" s="1"/>
      <c r="L762" s="1"/>
      <c r="M762" s="1"/>
      <c r="N762" s="1"/>
      <c r="O762" s="1"/>
      <c r="P762" s="2"/>
      <c r="Q762" s="1"/>
      <c r="R762" s="1"/>
      <c r="S762" s="1"/>
      <c r="T762" s="1"/>
      <c r="U762" s="1"/>
      <c r="V762" s="1" t="s">
        <v>6377</v>
      </c>
      <c r="W762" s="1"/>
      <c r="X762" s="1"/>
      <c r="Y762" s="1"/>
      <c r="Z762" s="1"/>
      <c r="AA762" s="1" t="s">
        <v>6378</v>
      </c>
      <c r="AB762" s="1" t="s">
        <v>6379</v>
      </c>
      <c r="AC762" s="1"/>
      <c r="AD762" s="1"/>
      <c r="AE762" s="1"/>
      <c r="AF762" s="1"/>
      <c r="AG762" s="1"/>
      <c r="AH762" s="1"/>
      <c r="AI762" s="1"/>
      <c r="AJ762" s="1"/>
      <c r="AK762" s="1"/>
      <c r="AL762" s="1"/>
      <c r="AM762" s="1"/>
      <c r="AN762" s="1"/>
      <c r="AO762" s="1" t="s">
        <v>6380</v>
      </c>
      <c r="AP762" s="1" t="s">
        <v>6381</v>
      </c>
      <c r="AQ762" s="1"/>
      <c r="AR762" s="1"/>
      <c r="AS762" s="1"/>
      <c r="AT762" s="1" t="s">
        <v>683</v>
      </c>
      <c r="AU762" s="3">
        <v>2022</v>
      </c>
      <c r="AV762" s="3">
        <v>56</v>
      </c>
      <c r="AW762" s="3">
        <v>3</v>
      </c>
      <c r="AX762" s="2"/>
      <c r="AY762" s="2"/>
      <c r="AZ762" s="1"/>
      <c r="BA762" s="2"/>
      <c r="BB762" s="3">
        <v>833</v>
      </c>
      <c r="BC762" s="3">
        <v>850</v>
      </c>
      <c r="BD762" s="2"/>
      <c r="BE762" s="1" t="s">
        <v>6382</v>
      </c>
      <c r="BF762" s="4">
        <f>HYPERLINK("http://dx.doi.org/10.1007/s00226-022-01380-3","http://dx.doi.org/10.1007/s00226-022-01380-3")</f>
      </c>
      <c r="BG762" s="1"/>
      <c r="BH762" s="1" t="s">
        <v>2697</v>
      </c>
      <c r="BI762" s="1"/>
      <c r="BJ762" s="1"/>
      <c r="BK762" s="1"/>
      <c r="BL762" s="1"/>
      <c r="BM762" s="1"/>
      <c r="BN762" s="2"/>
      <c r="BO762" s="1"/>
      <c r="BP762" s="1"/>
      <c r="BQ762" s="1"/>
      <c r="BR762" s="1"/>
      <c r="BS762" s="1" t="s">
        <v>6383</v>
      </c>
      <c r="BT762" s="5">
        <f>HYPERLINK("https%3A%2F%2Fwww.webofscience.com%2Fwos%2Fwoscc%2Ffull-record%2FWOS:000783691700002","View Full Record in Web of Science")</f>
      </c>
    </row>
    <row x14ac:dyDescent="0.25" r="763" customHeight="1" ht="12.75">
      <c r="A763" s="1" t="s">
        <v>72</v>
      </c>
      <c r="B763" s="1" t="s">
        <v>6384</v>
      </c>
      <c r="C763" s="1"/>
      <c r="D763" s="1"/>
      <c r="E763" s="1"/>
      <c r="F763" s="1" t="s">
        <v>6385</v>
      </c>
      <c r="G763" s="1"/>
      <c r="H763" s="1"/>
      <c r="I763" s="1" t="s">
        <v>6386</v>
      </c>
      <c r="J763" s="1" t="s">
        <v>6387</v>
      </c>
      <c r="K763" s="1"/>
      <c r="L763" s="1"/>
      <c r="M763" s="1"/>
      <c r="N763" s="1"/>
      <c r="O763" s="1"/>
      <c r="P763" s="2"/>
      <c r="Q763" s="1"/>
      <c r="R763" s="1"/>
      <c r="S763" s="1"/>
      <c r="T763" s="1"/>
      <c r="U763" s="1"/>
      <c r="V763" s="1" t="s">
        <v>6388</v>
      </c>
      <c r="W763" s="1"/>
      <c r="X763" s="1"/>
      <c r="Y763" s="1"/>
      <c r="Z763" s="1"/>
      <c r="AA763" s="1"/>
      <c r="AB763" s="1"/>
      <c r="AC763" s="1"/>
      <c r="AD763" s="1"/>
      <c r="AE763" s="1"/>
      <c r="AF763" s="1"/>
      <c r="AG763" s="1"/>
      <c r="AH763" s="1"/>
      <c r="AI763" s="1"/>
      <c r="AJ763" s="1"/>
      <c r="AK763" s="1"/>
      <c r="AL763" s="1"/>
      <c r="AM763" s="1"/>
      <c r="AN763" s="1"/>
      <c r="AO763" s="1" t="s">
        <v>6389</v>
      </c>
      <c r="AP763" s="1" t="s">
        <v>6390</v>
      </c>
      <c r="AQ763" s="1"/>
      <c r="AR763" s="1"/>
      <c r="AS763" s="1"/>
      <c r="AT763" s="1" t="s">
        <v>169</v>
      </c>
      <c r="AU763" s="3">
        <v>2021</v>
      </c>
      <c r="AV763" s="3">
        <v>74</v>
      </c>
      <c r="AW763" s="3">
        <v>9</v>
      </c>
      <c r="AX763" s="2"/>
      <c r="AY763" s="2"/>
      <c r="AZ763" s="1"/>
      <c r="BA763" s="2"/>
      <c r="BB763" s="3">
        <v>823</v>
      </c>
      <c r="BC763" s="3">
        <v>834</v>
      </c>
      <c r="BD763" s="2"/>
      <c r="BE763" s="1" t="s">
        <v>6391</v>
      </c>
      <c r="BF763" s="4">
        <f>HYPERLINK("http://dx.doi.org/10.37554/es-20210422-3447-14","http://dx.doi.org/10.37554/es-20210422-3447-14")</f>
      </c>
      <c r="BG763" s="1"/>
      <c r="BH763" s="1"/>
      <c r="BI763" s="1"/>
      <c r="BJ763" s="1"/>
      <c r="BK763" s="1"/>
      <c r="BL763" s="1"/>
      <c r="BM763" s="1"/>
      <c r="BN763" s="3">
        <v>34726618</v>
      </c>
      <c r="BO763" s="1"/>
      <c r="BP763" s="1"/>
      <c r="BQ763" s="1"/>
      <c r="BR763" s="1"/>
      <c r="BS763" s="1" t="s">
        <v>6392</v>
      </c>
      <c r="BT763" s="5">
        <f>HYPERLINK("https%3A%2F%2Fwww.webofscience.com%2Fwos%2Fwoscc%2Ffull-record%2FWOS:000714392600003","View Full Record in Web of Science")</f>
      </c>
    </row>
    <row x14ac:dyDescent="0.25" r="764" customHeight="1" ht="12.75">
      <c r="A764" s="1" t="s">
        <v>72</v>
      </c>
      <c r="B764" s="1" t="s">
        <v>2773</v>
      </c>
      <c r="C764" s="1"/>
      <c r="D764" s="1"/>
      <c r="E764" s="1"/>
      <c r="F764" s="1" t="s">
        <v>2774</v>
      </c>
      <c r="G764" s="1"/>
      <c r="H764" s="1"/>
      <c r="I764" s="1" t="s">
        <v>6393</v>
      </c>
      <c r="J764" s="1" t="s">
        <v>6394</v>
      </c>
      <c r="K764" s="1"/>
      <c r="L764" s="1"/>
      <c r="M764" s="1"/>
      <c r="N764" s="1"/>
      <c r="O764" s="1"/>
      <c r="P764" s="2"/>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t="s">
        <v>6395</v>
      </c>
      <c r="AP764" s="1" t="s">
        <v>6396</v>
      </c>
      <c r="AQ764" s="1"/>
      <c r="AR764" s="1"/>
      <c r="AS764" s="1"/>
      <c r="AT764" s="1" t="s">
        <v>158</v>
      </c>
      <c r="AU764" s="3">
        <v>2021</v>
      </c>
      <c r="AV764" s="3">
        <v>16</v>
      </c>
      <c r="AW764" s="3">
        <v>39</v>
      </c>
      <c r="AX764" s="2"/>
      <c r="AY764" s="2"/>
      <c r="AZ764" s="1"/>
      <c r="BA764" s="2"/>
      <c r="BB764" s="3">
        <v>15</v>
      </c>
      <c r="BC764" s="3">
        <v>22</v>
      </c>
      <c r="BD764" s="2"/>
      <c r="BE764" s="1" t="s">
        <v>6397</v>
      </c>
      <c r="BF764" s="4">
        <f>HYPERLINK("http://dx.doi.org/10.15648/hc.39.2021.2950","http://dx.doi.org/10.15648/hc.39.2021.2950")</f>
      </c>
      <c r="BG764" s="1"/>
      <c r="BH764" s="1"/>
      <c r="BI764" s="1"/>
      <c r="BJ764" s="1"/>
      <c r="BK764" s="1"/>
      <c r="BL764" s="1"/>
      <c r="BM764" s="1"/>
      <c r="BN764" s="2"/>
      <c r="BO764" s="1"/>
      <c r="BP764" s="1"/>
      <c r="BQ764" s="1"/>
      <c r="BR764" s="1"/>
      <c r="BS764" s="1" t="s">
        <v>6398</v>
      </c>
      <c r="BT764" s="5">
        <f>HYPERLINK("https%3A%2F%2Fwww.webofscience.com%2Fwos%2Fwoscc%2Ffull-record%2FWOS:000756721200002","View Full Record in Web of Science")</f>
      </c>
    </row>
    <row x14ac:dyDescent="0.25" r="765" customHeight="1" ht="12.75">
      <c r="A765" s="1" t="s">
        <v>72</v>
      </c>
      <c r="B765" s="1" t="s">
        <v>6399</v>
      </c>
      <c r="C765" s="1"/>
      <c r="D765" s="1"/>
      <c r="E765" s="1"/>
      <c r="F765" s="1" t="s">
        <v>6400</v>
      </c>
      <c r="G765" s="1"/>
      <c r="H765" s="1"/>
      <c r="I765" s="1" t="s">
        <v>6401</v>
      </c>
      <c r="J765" s="1" t="s">
        <v>6402</v>
      </c>
      <c r="K765" s="1"/>
      <c r="L765" s="1"/>
      <c r="M765" s="1"/>
      <c r="N765" s="1"/>
      <c r="O765" s="1"/>
      <c r="P765" s="2"/>
      <c r="Q765" s="1"/>
      <c r="R765" s="1"/>
      <c r="S765" s="1"/>
      <c r="T765" s="1"/>
      <c r="U765" s="1"/>
      <c r="V765" s="1" t="s">
        <v>6403</v>
      </c>
      <c r="W765" s="1"/>
      <c r="X765" s="1"/>
      <c r="Y765" s="1"/>
      <c r="Z765" s="1"/>
      <c r="AA765" s="1"/>
      <c r="AB765" s="1"/>
      <c r="AC765" s="1"/>
      <c r="AD765" s="1"/>
      <c r="AE765" s="1"/>
      <c r="AF765" s="1"/>
      <c r="AG765" s="1"/>
      <c r="AH765" s="1"/>
      <c r="AI765" s="1"/>
      <c r="AJ765" s="1"/>
      <c r="AK765" s="1"/>
      <c r="AL765" s="1"/>
      <c r="AM765" s="1"/>
      <c r="AN765" s="1"/>
      <c r="AO765" s="1" t="s">
        <v>6404</v>
      </c>
      <c r="AP765" s="1"/>
      <c r="AQ765" s="1"/>
      <c r="AR765" s="1"/>
      <c r="AS765" s="1"/>
      <c r="AT765" s="1" t="s">
        <v>158</v>
      </c>
      <c r="AU765" s="3">
        <v>2021</v>
      </c>
      <c r="AV765" s="3">
        <v>12</v>
      </c>
      <c r="AW765" s="3">
        <v>2</v>
      </c>
      <c r="AX765" s="2"/>
      <c r="AY765" s="2"/>
      <c r="AZ765" s="1"/>
      <c r="BA765" s="2"/>
      <c r="BB765" s="3">
        <v>35</v>
      </c>
      <c r="BC765" s="3">
        <v>57</v>
      </c>
      <c r="BD765" s="2"/>
      <c r="BE765" s="1"/>
      <c r="BF765" s="1"/>
      <c r="BG765" s="1"/>
      <c r="BH765" s="1"/>
      <c r="BI765" s="1"/>
      <c r="BJ765" s="1"/>
      <c r="BK765" s="1"/>
      <c r="BL765" s="1"/>
      <c r="BM765" s="1"/>
      <c r="BN765" s="2"/>
      <c r="BO765" s="1"/>
      <c r="BP765" s="1"/>
      <c r="BQ765" s="1"/>
      <c r="BR765" s="1"/>
      <c r="BS765" s="1" t="s">
        <v>6405</v>
      </c>
      <c r="BT765" s="5">
        <f>HYPERLINK("https%3A%2F%2Fwww.webofscience.com%2Fwos%2Fwoscc%2Ffull-record%2FWOS:000719345900003","View Full Record in Web of Science")</f>
      </c>
    </row>
    <row x14ac:dyDescent="0.25" r="766" customHeight="1" ht="12.75">
      <c r="A766" s="1" t="s">
        <v>72</v>
      </c>
      <c r="B766" s="1" t="s">
        <v>6406</v>
      </c>
      <c r="C766" s="1"/>
      <c r="D766" s="1"/>
      <c r="E766" s="1"/>
      <c r="F766" s="1" t="s">
        <v>6407</v>
      </c>
      <c r="G766" s="1"/>
      <c r="H766" s="1"/>
      <c r="I766" s="1" t="s">
        <v>6408</v>
      </c>
      <c r="J766" s="1" t="s">
        <v>6409</v>
      </c>
      <c r="K766" s="1"/>
      <c r="L766" s="1"/>
      <c r="M766" s="1"/>
      <c r="N766" s="1"/>
      <c r="O766" s="1"/>
      <c r="P766" s="2"/>
      <c r="Q766" s="1"/>
      <c r="R766" s="1"/>
      <c r="S766" s="1"/>
      <c r="T766" s="1"/>
      <c r="U766" s="1"/>
      <c r="V766" s="1" t="s">
        <v>6410</v>
      </c>
      <c r="W766" s="1"/>
      <c r="X766" s="1"/>
      <c r="Y766" s="1"/>
      <c r="Z766" s="1"/>
      <c r="AA766" s="1" t="s">
        <v>6411</v>
      </c>
      <c r="AB766" s="1" t="s">
        <v>6412</v>
      </c>
      <c r="AC766" s="1"/>
      <c r="AD766" s="1"/>
      <c r="AE766" s="1"/>
      <c r="AF766" s="1"/>
      <c r="AG766" s="1"/>
      <c r="AH766" s="1"/>
      <c r="AI766" s="1"/>
      <c r="AJ766" s="1"/>
      <c r="AK766" s="1"/>
      <c r="AL766" s="1"/>
      <c r="AM766" s="1"/>
      <c r="AN766" s="1"/>
      <c r="AO766" s="1"/>
      <c r="AP766" s="1" t="s">
        <v>6413</v>
      </c>
      <c r="AQ766" s="1"/>
      <c r="AR766" s="1"/>
      <c r="AS766" s="1"/>
      <c r="AT766" s="1" t="s">
        <v>683</v>
      </c>
      <c r="AU766" s="3">
        <v>2021</v>
      </c>
      <c r="AV766" s="3">
        <v>13</v>
      </c>
      <c r="AW766" s="3">
        <v>9</v>
      </c>
      <c r="AX766" s="2"/>
      <c r="AY766" s="2"/>
      <c r="AZ766" s="1"/>
      <c r="BA766" s="2"/>
      <c r="BB766" s="2"/>
      <c r="BC766" s="2"/>
      <c r="BD766" s="3">
        <v>1502</v>
      </c>
      <c r="BE766" s="1" t="s">
        <v>6414</v>
      </c>
      <c r="BF766" s="4">
        <f>HYPERLINK("http://dx.doi.org/10.3390/polym13091502","http://dx.doi.org/10.3390/polym13091502")</f>
      </c>
      <c r="BG766" s="1"/>
      <c r="BH766" s="1"/>
      <c r="BI766" s="1"/>
      <c r="BJ766" s="1"/>
      <c r="BK766" s="1"/>
      <c r="BL766" s="1"/>
      <c r="BM766" s="1"/>
      <c r="BN766" s="3">
        <v>34066956</v>
      </c>
      <c r="BO766" s="1"/>
      <c r="BP766" s="1"/>
      <c r="BQ766" s="1"/>
      <c r="BR766" s="1"/>
      <c r="BS766" s="1" t="s">
        <v>6415</v>
      </c>
      <c r="BT766" s="5">
        <f>HYPERLINK("https%3A%2F%2Fwww.webofscience.com%2Fwos%2Fwoscc%2Ffull-record%2FWOS:000650705600001","View Full Record in Web of Science")</f>
      </c>
    </row>
    <row x14ac:dyDescent="0.25" r="767" customHeight="1" ht="12.75">
      <c r="A767" s="1" t="s">
        <v>267</v>
      </c>
      <c r="B767" s="1" t="s">
        <v>6416</v>
      </c>
      <c r="C767" s="1"/>
      <c r="D767" s="1" t="s">
        <v>6417</v>
      </c>
      <c r="E767" s="1"/>
      <c r="F767" s="1" t="s">
        <v>6418</v>
      </c>
      <c r="G767" s="1"/>
      <c r="H767" s="1"/>
      <c r="I767" s="1" t="s">
        <v>6419</v>
      </c>
      <c r="J767" s="1" t="s">
        <v>6420</v>
      </c>
      <c r="K767" s="1"/>
      <c r="L767" s="1"/>
      <c r="M767" s="1"/>
      <c r="N767" s="1"/>
      <c r="O767" s="1"/>
      <c r="P767" s="2"/>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t="s">
        <v>6421</v>
      </c>
      <c r="AR767" s="1"/>
      <c r="AS767" s="1"/>
      <c r="AT767" s="1"/>
      <c r="AU767" s="3">
        <v>2021</v>
      </c>
      <c r="AV767" s="2"/>
      <c r="AW767" s="2"/>
      <c r="AX767" s="2"/>
      <c r="AY767" s="2"/>
      <c r="AZ767" s="1"/>
      <c r="BA767" s="2"/>
      <c r="BB767" s="3">
        <v>529</v>
      </c>
      <c r="BC767" s="3">
        <v>544</v>
      </c>
      <c r="BD767" s="2"/>
      <c r="BE767" s="1"/>
      <c r="BF767" s="1"/>
      <c r="BG767" s="1" t="s">
        <v>6422</v>
      </c>
      <c r="BH767" s="1"/>
      <c r="BI767" s="1"/>
      <c r="BJ767" s="1"/>
      <c r="BK767" s="1"/>
      <c r="BL767" s="1"/>
      <c r="BM767" s="1"/>
      <c r="BN767" s="2"/>
      <c r="BO767" s="1"/>
      <c r="BP767" s="1"/>
      <c r="BQ767" s="1"/>
      <c r="BR767" s="1"/>
      <c r="BS767" s="1" t="s">
        <v>6423</v>
      </c>
      <c r="BT767" s="5">
        <f>HYPERLINK("https%3A%2F%2Fwww.webofscience.com%2Fwos%2Fwoscc%2Ffull-record%2FWOS:000762354000029","View Full Record in Web of Science")</f>
      </c>
    </row>
    <row x14ac:dyDescent="0.25" r="768" customHeight="1" ht="12.75">
      <c r="A768" s="1" t="s">
        <v>72</v>
      </c>
      <c r="B768" s="1" t="s">
        <v>4832</v>
      </c>
      <c r="C768" s="1"/>
      <c r="D768" s="1"/>
      <c r="E768" s="1"/>
      <c r="F768" s="1" t="s">
        <v>4833</v>
      </c>
      <c r="G768" s="1"/>
      <c r="H768" s="1"/>
      <c r="I768" s="1" t="s">
        <v>6424</v>
      </c>
      <c r="J768" s="1" t="s">
        <v>4815</v>
      </c>
      <c r="K768" s="1"/>
      <c r="L768" s="1"/>
      <c r="M768" s="1"/>
      <c r="N768" s="1"/>
      <c r="O768" s="1"/>
      <c r="P768" s="2"/>
      <c r="Q768" s="1"/>
      <c r="R768" s="1"/>
      <c r="S768" s="1"/>
      <c r="T768" s="1"/>
      <c r="U768" s="1"/>
      <c r="V768" s="1" t="s">
        <v>6425</v>
      </c>
      <c r="W768" s="1"/>
      <c r="X768" s="1"/>
      <c r="Y768" s="1"/>
      <c r="Z768" s="1"/>
      <c r="AA768" s="1" t="s">
        <v>1836</v>
      </c>
      <c r="AB768" s="1"/>
      <c r="AC768" s="1"/>
      <c r="AD768" s="1"/>
      <c r="AE768" s="1"/>
      <c r="AF768" s="1"/>
      <c r="AG768" s="1"/>
      <c r="AH768" s="1"/>
      <c r="AI768" s="1"/>
      <c r="AJ768" s="1"/>
      <c r="AK768" s="1"/>
      <c r="AL768" s="1"/>
      <c r="AM768" s="1"/>
      <c r="AN768" s="1"/>
      <c r="AO768" s="1" t="s">
        <v>4817</v>
      </c>
      <c r="AP768" s="1" t="s">
        <v>4818</v>
      </c>
      <c r="AQ768" s="1"/>
      <c r="AR768" s="1"/>
      <c r="AS768" s="1"/>
      <c r="AT768" s="1" t="s">
        <v>204</v>
      </c>
      <c r="AU768" s="3">
        <v>2020</v>
      </c>
      <c r="AV768" s="3">
        <v>35</v>
      </c>
      <c r="AW768" s="3">
        <v>2</v>
      </c>
      <c r="AX768" s="2"/>
      <c r="AY768" s="2"/>
      <c r="AZ768" s="1"/>
      <c r="BA768" s="2"/>
      <c r="BB768" s="3">
        <v>262</v>
      </c>
      <c r="BC768" s="3">
        <v>293</v>
      </c>
      <c r="BD768" s="2"/>
      <c r="BE768" s="1"/>
      <c r="BF768" s="1"/>
      <c r="BG768" s="1"/>
      <c r="BH768" s="1"/>
      <c r="BI768" s="1"/>
      <c r="BJ768" s="1"/>
      <c r="BK768" s="1"/>
      <c r="BL768" s="1"/>
      <c r="BM768" s="1"/>
      <c r="BN768" s="2"/>
      <c r="BO768" s="1"/>
      <c r="BP768" s="1"/>
      <c r="BQ768" s="1"/>
      <c r="BR768" s="1"/>
      <c r="BS768" s="1" t="s">
        <v>6426</v>
      </c>
      <c r="BT768" s="5">
        <f>HYPERLINK("https%3A%2F%2Fwww.webofscience.com%2Fwos%2Fwoscc%2Ffull-record%2FWOS:000729698700015","View Full Record in Web of Science")</f>
      </c>
    </row>
    <row x14ac:dyDescent="0.25" r="769" customHeight="1" ht="12.75">
      <c r="A769" s="1" t="s">
        <v>72</v>
      </c>
      <c r="B769" s="1" t="s">
        <v>2291</v>
      </c>
      <c r="C769" s="1"/>
      <c r="D769" s="1"/>
      <c r="E769" s="1"/>
      <c r="F769" s="1" t="s">
        <v>4466</v>
      </c>
      <c r="G769" s="1"/>
      <c r="H769" s="1"/>
      <c r="I769" s="1" t="s">
        <v>6427</v>
      </c>
      <c r="J769" s="1" t="s">
        <v>3322</v>
      </c>
      <c r="K769" s="1"/>
      <c r="L769" s="1"/>
      <c r="M769" s="1"/>
      <c r="N769" s="1"/>
      <c r="O769" s="1"/>
      <c r="P769" s="2"/>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t="s">
        <v>3323</v>
      </c>
      <c r="AP769" s="1" t="s">
        <v>3324</v>
      </c>
      <c r="AQ769" s="1"/>
      <c r="AR769" s="1"/>
      <c r="AS769" s="1"/>
      <c r="AT769" s="1" t="s">
        <v>204</v>
      </c>
      <c r="AU769" s="3">
        <v>2020</v>
      </c>
      <c r="AV769" s="3">
        <v>21</v>
      </c>
      <c r="AW769" s="3">
        <v>34</v>
      </c>
      <c r="AX769" s="2"/>
      <c r="AY769" s="2"/>
      <c r="AZ769" s="1"/>
      <c r="BA769" s="2"/>
      <c r="BB769" s="3">
        <v>235</v>
      </c>
      <c r="BC769" s="3">
        <v>243</v>
      </c>
      <c r="BD769" s="2"/>
      <c r="BE769" s="1"/>
      <c r="BF769" s="1"/>
      <c r="BG769" s="1"/>
      <c r="BH769" s="1"/>
      <c r="BI769" s="1"/>
      <c r="BJ769" s="1"/>
      <c r="BK769" s="1"/>
      <c r="BL769" s="1"/>
      <c r="BM769" s="1"/>
      <c r="BN769" s="2"/>
      <c r="BO769" s="1"/>
      <c r="BP769" s="1"/>
      <c r="BQ769" s="1"/>
      <c r="BR769" s="1"/>
      <c r="BS769" s="1" t="s">
        <v>6428</v>
      </c>
      <c r="BT769" s="5">
        <f>HYPERLINK("https%3A%2F%2Fwww.webofscience.com%2Fwos%2Fwoscc%2Ffull-record%2FWOS:000746905300015","View Full Record in Web of Science")</f>
      </c>
    </row>
    <row x14ac:dyDescent="0.25" r="770" customHeight="1" ht="12.75">
      <c r="A770" s="1" t="s">
        <v>72</v>
      </c>
      <c r="B770" s="1" t="s">
        <v>6429</v>
      </c>
      <c r="C770" s="1"/>
      <c r="D770" s="1"/>
      <c r="E770" s="1"/>
      <c r="F770" s="1" t="s">
        <v>6430</v>
      </c>
      <c r="G770" s="1"/>
      <c r="H770" s="1"/>
      <c r="I770" s="1" t="s">
        <v>6431</v>
      </c>
      <c r="J770" s="1" t="s">
        <v>4815</v>
      </c>
      <c r="K770" s="1"/>
      <c r="L770" s="1"/>
      <c r="M770" s="1"/>
      <c r="N770" s="1"/>
      <c r="O770" s="1"/>
      <c r="P770" s="2"/>
      <c r="Q770" s="1"/>
      <c r="R770" s="1"/>
      <c r="S770" s="1"/>
      <c r="T770" s="1"/>
      <c r="U770" s="1"/>
      <c r="V770" s="1" t="s">
        <v>6432</v>
      </c>
      <c r="W770" s="1"/>
      <c r="X770" s="1"/>
      <c r="Y770" s="1"/>
      <c r="Z770" s="1"/>
      <c r="AA770" s="1"/>
      <c r="AB770" s="1"/>
      <c r="AC770" s="1"/>
      <c r="AD770" s="1"/>
      <c r="AE770" s="1"/>
      <c r="AF770" s="1"/>
      <c r="AG770" s="1"/>
      <c r="AH770" s="1"/>
      <c r="AI770" s="1"/>
      <c r="AJ770" s="1"/>
      <c r="AK770" s="1"/>
      <c r="AL770" s="1"/>
      <c r="AM770" s="1"/>
      <c r="AN770" s="1"/>
      <c r="AO770" s="1" t="s">
        <v>4817</v>
      </c>
      <c r="AP770" s="1" t="s">
        <v>4818</v>
      </c>
      <c r="AQ770" s="1"/>
      <c r="AR770" s="1"/>
      <c r="AS770" s="1"/>
      <c r="AT770" s="1" t="s">
        <v>757</v>
      </c>
      <c r="AU770" s="3">
        <v>2020</v>
      </c>
      <c r="AV770" s="3">
        <v>35</v>
      </c>
      <c r="AW770" s="3">
        <v>1</v>
      </c>
      <c r="AX770" s="2"/>
      <c r="AY770" s="2"/>
      <c r="AZ770" s="1"/>
      <c r="BA770" s="2"/>
      <c r="BB770" s="3">
        <v>340</v>
      </c>
      <c r="BC770" s="3">
        <v>366</v>
      </c>
      <c r="BD770" s="2"/>
      <c r="BE770" s="1"/>
      <c r="BF770" s="1"/>
      <c r="BG770" s="1"/>
      <c r="BH770" s="1"/>
      <c r="BI770" s="1"/>
      <c r="BJ770" s="1"/>
      <c r="BK770" s="1"/>
      <c r="BL770" s="1"/>
      <c r="BM770" s="1"/>
      <c r="BN770" s="2"/>
      <c r="BO770" s="1"/>
      <c r="BP770" s="1"/>
      <c r="BQ770" s="1"/>
      <c r="BR770" s="1"/>
      <c r="BS770" s="1" t="s">
        <v>6433</v>
      </c>
      <c r="BT770" s="5">
        <f>HYPERLINK("https%3A%2F%2Fwww.webofscience.com%2Fwos%2Fwoscc%2Ffull-record%2FWOS:000583662500014","View Full Record in Web of Science")</f>
      </c>
    </row>
    <row x14ac:dyDescent="0.25" r="771" customHeight="1" ht="12.75">
      <c r="A771" s="1" t="s">
        <v>72</v>
      </c>
      <c r="B771" s="1" t="s">
        <v>6434</v>
      </c>
      <c r="C771" s="1"/>
      <c r="D771" s="1"/>
      <c r="E771" s="1"/>
      <c r="F771" s="1" t="s">
        <v>6435</v>
      </c>
      <c r="G771" s="1"/>
      <c r="H771" s="1"/>
      <c r="I771" s="1" t="s">
        <v>6436</v>
      </c>
      <c r="J771" s="1" t="s">
        <v>1061</v>
      </c>
      <c r="K771" s="1"/>
      <c r="L771" s="1"/>
      <c r="M771" s="1"/>
      <c r="N771" s="1"/>
      <c r="O771" s="1"/>
      <c r="P771" s="2"/>
      <c r="Q771" s="1"/>
      <c r="R771" s="1"/>
      <c r="S771" s="1"/>
      <c r="T771" s="1"/>
      <c r="U771" s="1"/>
      <c r="V771" s="1" t="s">
        <v>6437</v>
      </c>
      <c r="W771" s="1"/>
      <c r="X771" s="1"/>
      <c r="Y771" s="1"/>
      <c r="Z771" s="1"/>
      <c r="AA771" s="1"/>
      <c r="AB771" s="1"/>
      <c r="AC771" s="1"/>
      <c r="AD771" s="1"/>
      <c r="AE771" s="1"/>
      <c r="AF771" s="1"/>
      <c r="AG771" s="1"/>
      <c r="AH771" s="1"/>
      <c r="AI771" s="1"/>
      <c r="AJ771" s="1"/>
      <c r="AK771" s="1"/>
      <c r="AL771" s="1"/>
      <c r="AM771" s="1"/>
      <c r="AN771" s="1"/>
      <c r="AO771" s="1" t="s">
        <v>1063</v>
      </c>
      <c r="AP771" s="1" t="s">
        <v>1064</v>
      </c>
      <c r="AQ771" s="1"/>
      <c r="AR771" s="1"/>
      <c r="AS771" s="1"/>
      <c r="AT771" s="1"/>
      <c r="AU771" s="3">
        <v>2020</v>
      </c>
      <c r="AV771" s="3">
        <v>12</v>
      </c>
      <c r="AW771" s="3">
        <v>1</v>
      </c>
      <c r="AX771" s="2"/>
      <c r="AY771" s="2"/>
      <c r="AZ771" s="1"/>
      <c r="BA771" s="2"/>
      <c r="BB771" s="3">
        <v>5</v>
      </c>
      <c r="BC771" s="3">
        <v>19</v>
      </c>
      <c r="BD771" s="2"/>
      <c r="BE771" s="1"/>
      <c r="BF771" s="1"/>
      <c r="BG771" s="1"/>
      <c r="BH771" s="1"/>
      <c r="BI771" s="1"/>
      <c r="BJ771" s="1"/>
      <c r="BK771" s="1"/>
      <c r="BL771" s="1"/>
      <c r="BM771" s="1"/>
      <c r="BN771" s="2"/>
      <c r="BO771" s="1"/>
      <c r="BP771" s="1"/>
      <c r="BQ771" s="1"/>
      <c r="BR771" s="1"/>
      <c r="BS771" s="1" t="s">
        <v>6438</v>
      </c>
      <c r="BT771" s="5">
        <f>HYPERLINK("https%3A%2F%2Fwww.webofscience.com%2Fwos%2Fwoscc%2Ffull-record%2FWOS:000629183500001","View Full Record in Web of Science")</f>
      </c>
    </row>
    <row x14ac:dyDescent="0.25" r="772" customHeight="1" ht="12.75">
      <c r="A772" s="1" t="s">
        <v>267</v>
      </c>
      <c r="B772" s="1" t="s">
        <v>295</v>
      </c>
      <c r="C772" s="1"/>
      <c r="D772" s="1" t="s">
        <v>296</v>
      </c>
      <c r="E772" s="1"/>
      <c r="F772" s="1" t="s">
        <v>297</v>
      </c>
      <c r="G772" s="1"/>
      <c r="H772" s="1"/>
      <c r="I772" s="1" t="s">
        <v>6439</v>
      </c>
      <c r="J772" s="1" t="s">
        <v>299</v>
      </c>
      <c r="K772" s="1" t="s">
        <v>300</v>
      </c>
      <c r="L772" s="1"/>
      <c r="M772" s="1"/>
      <c r="N772" s="1"/>
      <c r="O772" s="1"/>
      <c r="P772" s="2"/>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t="s">
        <v>301</v>
      </c>
      <c r="AR772" s="1"/>
      <c r="AS772" s="1"/>
      <c r="AT772" s="1"/>
      <c r="AU772" s="3">
        <v>2020</v>
      </c>
      <c r="AV772" s="3">
        <v>8</v>
      </c>
      <c r="AW772" s="2"/>
      <c r="AX772" s="2"/>
      <c r="AY772" s="2"/>
      <c r="AZ772" s="1"/>
      <c r="BA772" s="2"/>
      <c r="BB772" s="3">
        <v>155</v>
      </c>
      <c r="BC772" s="3">
        <v>158</v>
      </c>
      <c r="BD772" s="2"/>
      <c r="BE772" s="1"/>
      <c r="BF772" s="1"/>
      <c r="BG772" s="1"/>
      <c r="BH772" s="1"/>
      <c r="BI772" s="1"/>
      <c r="BJ772" s="1"/>
      <c r="BK772" s="1"/>
      <c r="BL772" s="1"/>
      <c r="BM772" s="1"/>
      <c r="BN772" s="2"/>
      <c r="BO772" s="1"/>
      <c r="BP772" s="1"/>
      <c r="BQ772" s="1"/>
      <c r="BR772" s="1"/>
      <c r="BS772" s="1" t="s">
        <v>6440</v>
      </c>
      <c r="BT772" s="5">
        <f>HYPERLINK("https%3A%2F%2Fwww.webofscience.com%2Fwos%2Fwoscc%2Ffull-record%2FWOS:000608865900038","View Full Record in Web of Science")</f>
      </c>
    </row>
    <row x14ac:dyDescent="0.25" r="773" customHeight="1" ht="12.75">
      <c r="A773" s="1" t="s">
        <v>72</v>
      </c>
      <c r="B773" s="1" t="s">
        <v>4333</v>
      </c>
      <c r="C773" s="1"/>
      <c r="D773" s="1"/>
      <c r="E773" s="1"/>
      <c r="F773" s="1" t="s">
        <v>4334</v>
      </c>
      <c r="G773" s="1"/>
      <c r="H773" s="1"/>
      <c r="I773" s="1" t="s">
        <v>6441</v>
      </c>
      <c r="J773" s="1" t="s">
        <v>1926</v>
      </c>
      <c r="K773" s="1"/>
      <c r="L773" s="1"/>
      <c r="M773" s="1"/>
      <c r="N773" s="1"/>
      <c r="O773" s="1"/>
      <c r="P773" s="2"/>
      <c r="Q773" s="1"/>
      <c r="R773" s="1"/>
      <c r="S773" s="1"/>
      <c r="T773" s="1"/>
      <c r="U773" s="1"/>
      <c r="V773" s="1" t="s">
        <v>6442</v>
      </c>
      <c r="W773" s="1"/>
      <c r="X773" s="1"/>
      <c r="Y773" s="1"/>
      <c r="Z773" s="1"/>
      <c r="AA773" s="1"/>
      <c r="AB773" s="1"/>
      <c r="AC773" s="1"/>
      <c r="AD773" s="1"/>
      <c r="AE773" s="1"/>
      <c r="AF773" s="1"/>
      <c r="AG773" s="1"/>
      <c r="AH773" s="1"/>
      <c r="AI773" s="1"/>
      <c r="AJ773" s="1"/>
      <c r="AK773" s="1"/>
      <c r="AL773" s="1"/>
      <c r="AM773" s="1"/>
      <c r="AN773" s="1"/>
      <c r="AO773" s="1" t="s">
        <v>1928</v>
      </c>
      <c r="AP773" s="1"/>
      <c r="AQ773" s="1"/>
      <c r="AR773" s="1"/>
      <c r="AS773" s="1"/>
      <c r="AT773" s="1" t="s">
        <v>103</v>
      </c>
      <c r="AU773" s="3">
        <v>2020</v>
      </c>
      <c r="AV773" s="3">
        <v>49</v>
      </c>
      <c r="AW773" s="2"/>
      <c r="AX773" s="2"/>
      <c r="AY773" s="2"/>
      <c r="AZ773" s="1"/>
      <c r="BA773" s="2"/>
      <c r="BB773" s="3">
        <v>3223</v>
      </c>
      <c r="BC773" s="3">
        <v>3241</v>
      </c>
      <c r="BD773" s="2"/>
      <c r="BE773" s="1"/>
      <c r="BF773" s="1"/>
      <c r="BG773" s="1"/>
      <c r="BH773" s="1"/>
      <c r="BI773" s="1"/>
      <c r="BJ773" s="1"/>
      <c r="BK773" s="1"/>
      <c r="BL773" s="1"/>
      <c r="BM773" s="1"/>
      <c r="BN773" s="2"/>
      <c r="BO773" s="1"/>
      <c r="BP773" s="1"/>
      <c r="BQ773" s="1"/>
      <c r="BR773" s="1"/>
      <c r="BS773" s="1" t="s">
        <v>6443</v>
      </c>
      <c r="BT773" s="5">
        <f>HYPERLINK("https%3A%2F%2Fwww.webofscience.com%2Fwos%2Fwoscc%2Ffull-record%2FWOS:000614864700012","View Full Record in Web of Science")</f>
      </c>
    </row>
    <row x14ac:dyDescent="0.25" r="774" customHeight="1" ht="12.75">
      <c r="A774" s="1" t="s">
        <v>267</v>
      </c>
      <c r="B774" s="1" t="s">
        <v>6444</v>
      </c>
      <c r="C774" s="1"/>
      <c r="D774" s="1"/>
      <c r="E774" s="1" t="s">
        <v>370</v>
      </c>
      <c r="F774" s="1" t="s">
        <v>6445</v>
      </c>
      <c r="G774" s="1"/>
      <c r="H774" s="1"/>
      <c r="I774" s="1" t="s">
        <v>6446</v>
      </c>
      <c r="J774" s="1" t="s">
        <v>3439</v>
      </c>
      <c r="K774" s="1"/>
      <c r="L774" s="1"/>
      <c r="M774" s="1"/>
      <c r="N774" s="1"/>
      <c r="O774" s="1"/>
      <c r="P774" s="2"/>
      <c r="Q774" s="1"/>
      <c r="R774" s="1"/>
      <c r="S774" s="1"/>
      <c r="T774" s="1"/>
      <c r="U774" s="1"/>
      <c r="V774" s="1" t="s">
        <v>6447</v>
      </c>
      <c r="W774" s="1"/>
      <c r="X774" s="1"/>
      <c r="Y774" s="1"/>
      <c r="Z774" s="1"/>
      <c r="AA774" s="1"/>
      <c r="AB774" s="1"/>
      <c r="AC774" s="1"/>
      <c r="AD774" s="1"/>
      <c r="AE774" s="1"/>
      <c r="AF774" s="1"/>
      <c r="AG774" s="1"/>
      <c r="AH774" s="1"/>
      <c r="AI774" s="1"/>
      <c r="AJ774" s="1"/>
      <c r="AK774" s="1"/>
      <c r="AL774" s="1"/>
      <c r="AM774" s="1"/>
      <c r="AN774" s="1"/>
      <c r="AO774" s="1"/>
      <c r="AP774" s="1"/>
      <c r="AQ774" s="1" t="s">
        <v>3441</v>
      </c>
      <c r="AR774" s="1"/>
      <c r="AS774" s="1"/>
      <c r="AT774" s="1"/>
      <c r="AU774" s="3">
        <v>2020</v>
      </c>
      <c r="AV774" s="2"/>
      <c r="AW774" s="2"/>
      <c r="AX774" s="2"/>
      <c r="AY774" s="2"/>
      <c r="AZ774" s="1"/>
      <c r="BA774" s="2"/>
      <c r="BB774" s="3">
        <v>30</v>
      </c>
      <c r="BC774" s="3">
        <v>44</v>
      </c>
      <c r="BD774" s="2"/>
      <c r="BE774" s="1"/>
      <c r="BF774" s="1"/>
      <c r="BG774" s="1"/>
      <c r="BH774" s="1"/>
      <c r="BI774" s="1"/>
      <c r="BJ774" s="1"/>
      <c r="BK774" s="1"/>
      <c r="BL774" s="1"/>
      <c r="BM774" s="1"/>
      <c r="BN774" s="2"/>
      <c r="BO774" s="1"/>
      <c r="BP774" s="1"/>
      <c r="BQ774" s="1"/>
      <c r="BR774" s="1"/>
      <c r="BS774" s="1" t="s">
        <v>6448</v>
      </c>
      <c r="BT774" s="5">
        <f>HYPERLINK("https%3A%2F%2Fwww.webofscience.com%2Fwos%2Fwoscc%2Ffull-record%2FWOS:000608874800003","View Full Record in Web of Science")</f>
      </c>
    </row>
    <row x14ac:dyDescent="0.25" r="775" customHeight="1" ht="12.75">
      <c r="A775" s="1" t="s">
        <v>303</v>
      </c>
      <c r="B775" s="1" t="s">
        <v>6449</v>
      </c>
      <c r="C775" s="1"/>
      <c r="D775" s="1"/>
      <c r="E775" s="1" t="s">
        <v>305</v>
      </c>
      <c r="F775" s="1" t="s">
        <v>6450</v>
      </c>
      <c r="G775" s="1"/>
      <c r="H775" s="1"/>
      <c r="I775" s="1" t="s">
        <v>6451</v>
      </c>
      <c r="J775" s="1" t="s">
        <v>2070</v>
      </c>
      <c r="K775" s="1"/>
      <c r="L775" s="1"/>
      <c r="M775" s="1"/>
      <c r="N775" s="1"/>
      <c r="O775" s="1" t="s">
        <v>2071</v>
      </c>
      <c r="P775" s="2" t="s">
        <v>2072</v>
      </c>
      <c r="Q775" s="1" t="s">
        <v>2073</v>
      </c>
      <c r="R775" s="1" t="s">
        <v>2074</v>
      </c>
      <c r="S775" s="1"/>
      <c r="T775" s="1"/>
      <c r="U775" s="1"/>
      <c r="V775" s="1" t="s">
        <v>6452</v>
      </c>
      <c r="W775" s="1"/>
      <c r="X775" s="1"/>
      <c r="Y775" s="1"/>
      <c r="Z775" s="1"/>
      <c r="AA775" s="1" t="s">
        <v>6453</v>
      </c>
      <c r="AB775" s="1" t="s">
        <v>1099</v>
      </c>
      <c r="AC775" s="1"/>
      <c r="AD775" s="1"/>
      <c r="AE775" s="1"/>
      <c r="AF775" s="1"/>
      <c r="AG775" s="1"/>
      <c r="AH775" s="1"/>
      <c r="AI775" s="1"/>
      <c r="AJ775" s="1"/>
      <c r="AK775" s="1"/>
      <c r="AL775" s="1"/>
      <c r="AM775" s="1"/>
      <c r="AN775" s="1"/>
      <c r="AO775" s="1"/>
      <c r="AP775" s="1"/>
      <c r="AQ775" s="1" t="s">
        <v>2076</v>
      </c>
      <c r="AR775" s="1"/>
      <c r="AS775" s="1"/>
      <c r="AT775" s="1"/>
      <c r="AU775" s="3">
        <v>2019</v>
      </c>
      <c r="AV775" s="2"/>
      <c r="AW775" s="2"/>
      <c r="AX775" s="2"/>
      <c r="AY775" s="2"/>
      <c r="AZ775" s="1"/>
      <c r="BA775" s="2"/>
      <c r="BB775" s="2"/>
      <c r="BC775" s="2"/>
      <c r="BD775" s="2"/>
      <c r="BE775" s="1"/>
      <c r="BF775" s="1"/>
      <c r="BG775" s="1"/>
      <c r="BH775" s="1"/>
      <c r="BI775" s="1"/>
      <c r="BJ775" s="1"/>
      <c r="BK775" s="1"/>
      <c r="BL775" s="1"/>
      <c r="BM775" s="1"/>
      <c r="BN775" s="2"/>
      <c r="BO775" s="1"/>
      <c r="BP775" s="1"/>
      <c r="BQ775" s="1"/>
      <c r="BR775" s="1"/>
      <c r="BS775" s="1" t="s">
        <v>6454</v>
      </c>
      <c r="BT775" s="5">
        <f>HYPERLINK("https%3A%2F%2Fwww.webofscience.com%2Fwos%2Fwoscc%2Ffull-record%2FWOS:000542919100147","View Full Record in Web of Science")</f>
      </c>
    </row>
    <row x14ac:dyDescent="0.25" r="776" customHeight="1" ht="12.75">
      <c r="A776" s="1" t="s">
        <v>303</v>
      </c>
      <c r="B776" s="1" t="s">
        <v>6455</v>
      </c>
      <c r="C776" s="1"/>
      <c r="D776" s="1"/>
      <c r="E776" s="1" t="s">
        <v>305</v>
      </c>
      <c r="F776" s="1" t="s">
        <v>6456</v>
      </c>
      <c r="G776" s="1"/>
      <c r="H776" s="1"/>
      <c r="I776" s="1" t="s">
        <v>6457</v>
      </c>
      <c r="J776" s="1" t="s">
        <v>2070</v>
      </c>
      <c r="K776" s="1"/>
      <c r="L776" s="1"/>
      <c r="M776" s="1"/>
      <c r="N776" s="1"/>
      <c r="O776" s="1" t="s">
        <v>2071</v>
      </c>
      <c r="P776" s="2" t="s">
        <v>2072</v>
      </c>
      <c r="Q776" s="1" t="s">
        <v>2073</v>
      </c>
      <c r="R776" s="1" t="s">
        <v>2074</v>
      </c>
      <c r="S776" s="1"/>
      <c r="T776" s="1"/>
      <c r="U776" s="1"/>
      <c r="V776" s="1" t="s">
        <v>6458</v>
      </c>
      <c r="W776" s="1"/>
      <c r="X776" s="1"/>
      <c r="Y776" s="1"/>
      <c r="Z776" s="1"/>
      <c r="AA776" s="1"/>
      <c r="AB776" s="1"/>
      <c r="AC776" s="1"/>
      <c r="AD776" s="1"/>
      <c r="AE776" s="1"/>
      <c r="AF776" s="1"/>
      <c r="AG776" s="1"/>
      <c r="AH776" s="1"/>
      <c r="AI776" s="1"/>
      <c r="AJ776" s="1"/>
      <c r="AK776" s="1"/>
      <c r="AL776" s="1"/>
      <c r="AM776" s="1"/>
      <c r="AN776" s="1"/>
      <c r="AO776" s="1"/>
      <c r="AP776" s="1"/>
      <c r="AQ776" s="1" t="s">
        <v>2076</v>
      </c>
      <c r="AR776" s="1"/>
      <c r="AS776" s="1"/>
      <c r="AT776" s="1"/>
      <c r="AU776" s="3">
        <v>2019</v>
      </c>
      <c r="AV776" s="2"/>
      <c r="AW776" s="2"/>
      <c r="AX776" s="2"/>
      <c r="AY776" s="2"/>
      <c r="AZ776" s="1"/>
      <c r="BA776" s="2"/>
      <c r="BB776" s="2"/>
      <c r="BC776" s="2"/>
      <c r="BD776" s="2"/>
      <c r="BE776" s="1" t="s">
        <v>6459</v>
      </c>
      <c r="BF776" s="4">
        <f>HYPERLINK("http://dx.doi.org/10.1109/chilecon47746.2019.8986862","http://dx.doi.org/10.1109/chilecon47746.2019.8986862")</f>
      </c>
      <c r="BG776" s="1"/>
      <c r="BH776" s="1"/>
      <c r="BI776" s="1"/>
      <c r="BJ776" s="1"/>
      <c r="BK776" s="1"/>
      <c r="BL776" s="1"/>
      <c r="BM776" s="1"/>
      <c r="BN776" s="2"/>
      <c r="BO776" s="1"/>
      <c r="BP776" s="1"/>
      <c r="BQ776" s="1"/>
      <c r="BR776" s="1"/>
      <c r="BS776" s="1" t="s">
        <v>6460</v>
      </c>
      <c r="BT776" s="5">
        <f>HYPERLINK("https%3A%2F%2Fwww.webofscience.com%2Fwos%2Fwoscc%2Ffull-record%2FWOS:000542919100006","View Full Record in Web of Science")</f>
      </c>
    </row>
    <row x14ac:dyDescent="0.25" r="777" customHeight="1" ht="12.75">
      <c r="A777" s="1" t="s">
        <v>72</v>
      </c>
      <c r="B777" s="1" t="s">
        <v>6461</v>
      </c>
      <c r="C777" s="1"/>
      <c r="D777" s="1"/>
      <c r="E777" s="1"/>
      <c r="F777" s="1" t="s">
        <v>6462</v>
      </c>
      <c r="G777" s="1"/>
      <c r="H777" s="1"/>
      <c r="I777" s="1" t="s">
        <v>6463</v>
      </c>
      <c r="J777" s="1" t="s">
        <v>2058</v>
      </c>
      <c r="K777" s="1"/>
      <c r="L777" s="1"/>
      <c r="M777" s="1"/>
      <c r="N777" s="1"/>
      <c r="O777" s="1"/>
      <c r="P777" s="2"/>
      <c r="Q777" s="1"/>
      <c r="R777" s="1"/>
      <c r="S777" s="1"/>
      <c r="T777" s="1"/>
      <c r="U777" s="1"/>
      <c r="V777" s="1" t="s">
        <v>6464</v>
      </c>
      <c r="W777" s="1"/>
      <c r="X777" s="1"/>
      <c r="Y777" s="1"/>
      <c r="Z777" s="1"/>
      <c r="AA777" s="1" t="s">
        <v>6465</v>
      </c>
      <c r="AB777" s="1" t="s">
        <v>6466</v>
      </c>
      <c r="AC777" s="1"/>
      <c r="AD777" s="1"/>
      <c r="AE777" s="1"/>
      <c r="AF777" s="1"/>
      <c r="AG777" s="1"/>
      <c r="AH777" s="1"/>
      <c r="AI777" s="1"/>
      <c r="AJ777" s="1"/>
      <c r="AK777" s="1"/>
      <c r="AL777" s="1"/>
      <c r="AM777" s="1"/>
      <c r="AN777" s="1"/>
      <c r="AO777" s="1" t="s">
        <v>2062</v>
      </c>
      <c r="AP777" s="1" t="s">
        <v>2063</v>
      </c>
      <c r="AQ777" s="1"/>
      <c r="AR777" s="1"/>
      <c r="AS777" s="1"/>
      <c r="AT777" s="1" t="s">
        <v>6467</v>
      </c>
      <c r="AU777" s="3">
        <v>2018</v>
      </c>
      <c r="AV777" s="3">
        <v>20</v>
      </c>
      <c r="AW777" s="3">
        <v>26</v>
      </c>
      <c r="AX777" s="2"/>
      <c r="AY777" s="2"/>
      <c r="AZ777" s="1"/>
      <c r="BA777" s="2"/>
      <c r="BB777" s="3">
        <v>18127</v>
      </c>
      <c r="BC777" s="3">
        <v>18132</v>
      </c>
      <c r="BD777" s="2"/>
      <c r="BE777" s="1" t="s">
        <v>6468</v>
      </c>
      <c r="BF777" s="4">
        <f>HYPERLINK("http://dx.doi.org/10.1039/c8cp02424c","http://dx.doi.org/10.1039/c8cp02424c")</f>
      </c>
      <c r="BG777" s="1"/>
      <c r="BH777" s="1"/>
      <c r="BI777" s="1"/>
      <c r="BJ777" s="1"/>
      <c r="BK777" s="1"/>
      <c r="BL777" s="1"/>
      <c r="BM777" s="1"/>
      <c r="BN777" s="3">
        <v>29938260</v>
      </c>
      <c r="BO777" s="1"/>
      <c r="BP777" s="1"/>
      <c r="BQ777" s="1"/>
      <c r="BR777" s="1"/>
      <c r="BS777" s="1" t="s">
        <v>6469</v>
      </c>
      <c r="BT777" s="5">
        <f>HYPERLINK("https%3A%2F%2Fwww.webofscience.com%2Fwos%2Fwoscc%2Ffull-record%2FWOS:000437473300061","View Full Record in Web of Science")</f>
      </c>
    </row>
    <row x14ac:dyDescent="0.25" r="778" customHeight="1" ht="12.75">
      <c r="A778" s="1" t="s">
        <v>72</v>
      </c>
      <c r="B778" s="1" t="s">
        <v>6470</v>
      </c>
      <c r="C778" s="1"/>
      <c r="D778" s="1"/>
      <c r="E778" s="1"/>
      <c r="F778" s="1" t="s">
        <v>6471</v>
      </c>
      <c r="G778" s="1"/>
      <c r="H778" s="1"/>
      <c r="I778" s="1" t="s">
        <v>6472</v>
      </c>
      <c r="J778" s="1" t="s">
        <v>4437</v>
      </c>
      <c r="K778" s="1"/>
      <c r="L778" s="1"/>
      <c r="M778" s="1"/>
      <c r="N778" s="1"/>
      <c r="O778" s="1"/>
      <c r="P778" s="2"/>
      <c r="Q778" s="1"/>
      <c r="R778" s="1"/>
      <c r="S778" s="1"/>
      <c r="T778" s="1"/>
      <c r="U778" s="1"/>
      <c r="V778" s="1" t="s">
        <v>6473</v>
      </c>
      <c r="W778" s="1"/>
      <c r="X778" s="1"/>
      <c r="Y778" s="1"/>
      <c r="Z778" s="1"/>
      <c r="AA778" s="1" t="s">
        <v>6474</v>
      </c>
      <c r="AB778" s="1" t="s">
        <v>6475</v>
      </c>
      <c r="AC778" s="1"/>
      <c r="AD778" s="1"/>
      <c r="AE778" s="1"/>
      <c r="AF778" s="1"/>
      <c r="AG778" s="1"/>
      <c r="AH778" s="1"/>
      <c r="AI778" s="1"/>
      <c r="AJ778" s="1"/>
      <c r="AK778" s="1"/>
      <c r="AL778" s="1"/>
      <c r="AM778" s="1"/>
      <c r="AN778" s="1"/>
      <c r="AO778" s="1" t="s">
        <v>4439</v>
      </c>
      <c r="AP778" s="1" t="s">
        <v>4440</v>
      </c>
      <c r="AQ778" s="1"/>
      <c r="AR778" s="1"/>
      <c r="AS778" s="1"/>
      <c r="AT778" s="1" t="s">
        <v>683</v>
      </c>
      <c r="AU778" s="3">
        <v>2018</v>
      </c>
      <c r="AV778" s="3">
        <v>120</v>
      </c>
      <c r="AW778" s="2"/>
      <c r="AX778" s="2"/>
      <c r="AY778" s="2"/>
      <c r="AZ778" s="1"/>
      <c r="BA778" s="2"/>
      <c r="BB778" s="3">
        <v>1009</v>
      </c>
      <c r="BC778" s="3">
        <v>1019</v>
      </c>
      <c r="BD778" s="2"/>
      <c r="BE778" s="1" t="s">
        <v>6476</v>
      </c>
      <c r="BF778" s="4">
        <f>HYPERLINK("http://dx.doi.org/10.1016/j.ijheatmasstransfer.2017.12.106","http://dx.doi.org/10.1016/j.ijheatmasstransfer.2017.12.106")</f>
      </c>
      <c r="BG778" s="1"/>
      <c r="BH778" s="1"/>
      <c r="BI778" s="1"/>
      <c r="BJ778" s="1"/>
      <c r="BK778" s="1"/>
      <c r="BL778" s="1"/>
      <c r="BM778" s="1"/>
      <c r="BN778" s="2"/>
      <c r="BO778" s="1"/>
      <c r="BP778" s="1"/>
      <c r="BQ778" s="1"/>
      <c r="BR778" s="1"/>
      <c r="BS778" s="1" t="s">
        <v>6477</v>
      </c>
      <c r="BT778" s="5">
        <f>HYPERLINK("https%3A%2F%2Fwww.webofscience.com%2Fwos%2Fwoscc%2Ffull-record%2FWOS:000424716500086","View Full Record in Web of Science")</f>
      </c>
    </row>
    <row x14ac:dyDescent="0.25" r="779" customHeight="1" ht="12.75">
      <c r="A779" s="1" t="s">
        <v>303</v>
      </c>
      <c r="B779" s="1" t="s">
        <v>6478</v>
      </c>
      <c r="C779" s="1"/>
      <c r="D779" s="1" t="s">
        <v>6479</v>
      </c>
      <c r="E779" s="1"/>
      <c r="F779" s="1" t="s">
        <v>6480</v>
      </c>
      <c r="G779" s="1"/>
      <c r="H779" s="1"/>
      <c r="I779" s="1" t="s">
        <v>6481</v>
      </c>
      <c r="J779" s="1" t="s">
        <v>6482</v>
      </c>
      <c r="K779" s="1" t="s">
        <v>3617</v>
      </c>
      <c r="L779" s="1"/>
      <c r="M779" s="1"/>
      <c r="N779" s="1"/>
      <c r="O779" s="1" t="s">
        <v>6483</v>
      </c>
      <c r="P779" s="2" t="s">
        <v>6484</v>
      </c>
      <c r="Q779" s="1" t="s">
        <v>6485</v>
      </c>
      <c r="R779" s="1"/>
      <c r="S779" s="1"/>
      <c r="T779" s="1"/>
      <c r="U779" s="1"/>
      <c r="V779" s="1" t="s">
        <v>6486</v>
      </c>
      <c r="W779" s="1"/>
      <c r="X779" s="1"/>
      <c r="Y779" s="1"/>
      <c r="Z779" s="1"/>
      <c r="AA779" s="1" t="s">
        <v>3622</v>
      </c>
      <c r="AB779" s="1" t="s">
        <v>6487</v>
      </c>
      <c r="AC779" s="1"/>
      <c r="AD779" s="1"/>
      <c r="AE779" s="1"/>
      <c r="AF779" s="1"/>
      <c r="AG779" s="1"/>
      <c r="AH779" s="1"/>
      <c r="AI779" s="1"/>
      <c r="AJ779" s="1"/>
      <c r="AK779" s="1"/>
      <c r="AL779" s="1"/>
      <c r="AM779" s="1"/>
      <c r="AN779" s="1"/>
      <c r="AO779" s="1" t="s">
        <v>3108</v>
      </c>
      <c r="AP779" s="1" t="s">
        <v>1054</v>
      </c>
      <c r="AQ779" s="1" t="s">
        <v>6488</v>
      </c>
      <c r="AR779" s="1"/>
      <c r="AS779" s="1"/>
      <c r="AT779" s="1"/>
      <c r="AU779" s="3">
        <v>2018</v>
      </c>
      <c r="AV779" s="3">
        <v>10995</v>
      </c>
      <c r="AW779" s="2"/>
      <c r="AX779" s="2"/>
      <c r="AY779" s="2"/>
      <c r="AZ779" s="1"/>
      <c r="BA779" s="2"/>
      <c r="BB779" s="3">
        <v>51</v>
      </c>
      <c r="BC779" s="3">
        <v>62</v>
      </c>
      <c r="BD779" s="2"/>
      <c r="BE779" s="1" t="s">
        <v>6489</v>
      </c>
      <c r="BF779" s="4">
        <f>HYPERLINK("http://dx.doi.org/10.1007/978-3-319-97163-6_5","http://dx.doi.org/10.1007/978-3-319-97163-6_5")</f>
      </c>
      <c r="BG779" s="1"/>
      <c r="BH779" s="1"/>
      <c r="BI779" s="1"/>
      <c r="BJ779" s="1"/>
      <c r="BK779" s="1"/>
      <c r="BL779" s="1"/>
      <c r="BM779" s="1"/>
      <c r="BN779" s="2"/>
      <c r="BO779" s="1"/>
      <c r="BP779" s="1"/>
      <c r="BQ779" s="1"/>
      <c r="BR779" s="1"/>
      <c r="BS779" s="1" t="s">
        <v>6490</v>
      </c>
      <c r="BT779" s="5">
        <f>HYPERLINK("https%3A%2F%2Fwww.webofscience.com%2Fwos%2Fwoscc%2Ffull-record%2FWOS:000492748500005","View Full Record in Web of Science")</f>
      </c>
    </row>
    <row x14ac:dyDescent="0.25" r="780" customHeight="1" ht="12.75">
      <c r="A780" s="1" t="s">
        <v>303</v>
      </c>
      <c r="B780" s="1" t="s">
        <v>6491</v>
      </c>
      <c r="C780" s="1"/>
      <c r="D780" s="1" t="s">
        <v>6492</v>
      </c>
      <c r="E780" s="1"/>
      <c r="F780" s="1" t="s">
        <v>6493</v>
      </c>
      <c r="G780" s="1"/>
      <c r="H780" s="1"/>
      <c r="I780" s="1" t="s">
        <v>6494</v>
      </c>
      <c r="J780" s="1" t="s">
        <v>6495</v>
      </c>
      <c r="K780" s="1" t="s">
        <v>6496</v>
      </c>
      <c r="L780" s="1"/>
      <c r="M780" s="1"/>
      <c r="N780" s="1"/>
      <c r="O780" s="1" t="s">
        <v>6497</v>
      </c>
      <c r="P780" s="2" t="s">
        <v>6498</v>
      </c>
      <c r="Q780" s="1" t="s">
        <v>6499</v>
      </c>
      <c r="R780" s="1"/>
      <c r="S780" s="1"/>
      <c r="T780" s="1"/>
      <c r="U780" s="1"/>
      <c r="V780" s="1" t="s">
        <v>6500</v>
      </c>
      <c r="W780" s="1"/>
      <c r="X780" s="1"/>
      <c r="Y780" s="1"/>
      <c r="Z780" s="1"/>
      <c r="AA780" s="1" t="s">
        <v>6501</v>
      </c>
      <c r="AB780" s="1" t="s">
        <v>6502</v>
      </c>
      <c r="AC780" s="1"/>
      <c r="AD780" s="1"/>
      <c r="AE780" s="1"/>
      <c r="AF780" s="1"/>
      <c r="AG780" s="1"/>
      <c r="AH780" s="1"/>
      <c r="AI780" s="1"/>
      <c r="AJ780" s="1"/>
      <c r="AK780" s="1"/>
      <c r="AL780" s="1"/>
      <c r="AM780" s="1"/>
      <c r="AN780" s="1"/>
      <c r="AO780" s="1" t="s">
        <v>6503</v>
      </c>
      <c r="AP780" s="1" t="s">
        <v>6504</v>
      </c>
      <c r="AQ780" s="1" t="s">
        <v>6505</v>
      </c>
      <c r="AR780" s="1"/>
      <c r="AS780" s="1"/>
      <c r="AT780" s="1"/>
      <c r="AU780" s="3">
        <v>2018</v>
      </c>
      <c r="AV780" s="3">
        <v>126</v>
      </c>
      <c r="AW780" s="2"/>
      <c r="AX780" s="2"/>
      <c r="AY780" s="2"/>
      <c r="AZ780" s="1"/>
      <c r="BA780" s="2"/>
      <c r="BB780" s="3">
        <v>159</v>
      </c>
      <c r="BC780" s="3">
        <v>162</v>
      </c>
      <c r="BD780" s="2"/>
      <c r="BE780" s="1" t="s">
        <v>6506</v>
      </c>
      <c r="BF780" s="4">
        <f>HYPERLINK("http://dx.doi.org/10.1007/978-3-319-65798-1_33","http://dx.doi.org/10.1007/978-3-319-65798-1_33")</f>
      </c>
      <c r="BG780" s="1"/>
      <c r="BH780" s="1"/>
      <c r="BI780" s="1"/>
      <c r="BJ780" s="1"/>
      <c r="BK780" s="1"/>
      <c r="BL780" s="1"/>
      <c r="BM780" s="1"/>
      <c r="BN780" s="3">
        <v>29492553</v>
      </c>
      <c r="BO780" s="1"/>
      <c r="BP780" s="1"/>
      <c r="BQ780" s="1"/>
      <c r="BR780" s="1"/>
      <c r="BS780" s="1" t="s">
        <v>6507</v>
      </c>
      <c r="BT780" s="5">
        <f>HYPERLINK("https%3A%2F%2Fwww.webofscience.com%2Fwos%2Fwoscc%2Ffull-record%2FWOS:000505806100033","View Full Record in Web of Science")</f>
      </c>
    </row>
    <row x14ac:dyDescent="0.25" r="781" customHeight="1" ht="12.75">
      <c r="A781" s="1" t="s">
        <v>72</v>
      </c>
      <c r="B781" s="1" t="s">
        <v>6508</v>
      </c>
      <c r="C781" s="1"/>
      <c r="D781" s="1"/>
      <c r="E781" s="1"/>
      <c r="F781" s="1" t="s">
        <v>1011</v>
      </c>
      <c r="G781" s="1"/>
      <c r="H781" s="1"/>
      <c r="I781" s="1" t="s">
        <v>6509</v>
      </c>
      <c r="J781" s="1" t="s">
        <v>6510</v>
      </c>
      <c r="K781" s="1"/>
      <c r="L781" s="1"/>
      <c r="M781" s="1"/>
      <c r="N781" s="1"/>
      <c r="O781" s="1"/>
      <c r="P781" s="2"/>
      <c r="Q781" s="1"/>
      <c r="R781" s="1"/>
      <c r="S781" s="1"/>
      <c r="T781" s="1"/>
      <c r="U781" s="1"/>
      <c r="V781" s="1" t="s">
        <v>6511</v>
      </c>
      <c r="W781" s="1"/>
      <c r="X781" s="1"/>
      <c r="Y781" s="1"/>
      <c r="Z781" s="1"/>
      <c r="AA781" s="1" t="s">
        <v>1014</v>
      </c>
      <c r="AB781" s="1" t="s">
        <v>1015</v>
      </c>
      <c r="AC781" s="1"/>
      <c r="AD781" s="1"/>
      <c r="AE781" s="1"/>
      <c r="AF781" s="1"/>
      <c r="AG781" s="1"/>
      <c r="AH781" s="1"/>
      <c r="AI781" s="1"/>
      <c r="AJ781" s="1"/>
      <c r="AK781" s="1"/>
      <c r="AL781" s="1"/>
      <c r="AM781" s="1"/>
      <c r="AN781" s="1"/>
      <c r="AO781" s="1" t="s">
        <v>6512</v>
      </c>
      <c r="AP781" s="1" t="s">
        <v>6513</v>
      </c>
      <c r="AQ781" s="1"/>
      <c r="AR781" s="1"/>
      <c r="AS781" s="1"/>
      <c r="AT781" s="1"/>
      <c r="AU781" s="3">
        <v>2018</v>
      </c>
      <c r="AV781" s="3">
        <v>13</v>
      </c>
      <c r="AW781" s="3">
        <v>3</v>
      </c>
      <c r="AX781" s="2"/>
      <c r="AY781" s="2"/>
      <c r="AZ781" s="1"/>
      <c r="BA781" s="2"/>
      <c r="BB781" s="3">
        <v>258</v>
      </c>
      <c r="BC781" s="3">
        <v>282</v>
      </c>
      <c r="BD781" s="2"/>
      <c r="BE781" s="1" t="s">
        <v>6514</v>
      </c>
      <c r="BF781" s="4">
        <f>HYPERLINK("http://dx.doi.org/10.1080/17449359.2018.1547646","http://dx.doi.org/10.1080/17449359.2018.1547646")</f>
      </c>
      <c r="BG781" s="1"/>
      <c r="BH781" s="1"/>
      <c r="BI781" s="1"/>
      <c r="BJ781" s="1"/>
      <c r="BK781" s="1"/>
      <c r="BL781" s="1"/>
      <c r="BM781" s="1"/>
      <c r="BN781" s="2"/>
      <c r="BO781" s="1"/>
      <c r="BP781" s="1"/>
      <c r="BQ781" s="1"/>
      <c r="BR781" s="1"/>
      <c r="BS781" s="1" t="s">
        <v>6515</v>
      </c>
      <c r="BT781" s="5">
        <f>HYPERLINK("https%3A%2F%2Fwww.webofscience.com%2Fwos%2Fwoscc%2Ffull-record%2FWOS:000456794200004","View Full Record in Web of Science")</f>
      </c>
    </row>
    <row x14ac:dyDescent="0.25" r="782" customHeight="1" ht="12.75">
      <c r="A782" s="1" t="s">
        <v>267</v>
      </c>
      <c r="B782" s="1" t="s">
        <v>6516</v>
      </c>
      <c r="C782" s="1"/>
      <c r="D782" s="1"/>
      <c r="E782" s="1" t="s">
        <v>370</v>
      </c>
      <c r="F782" s="1" t="s">
        <v>6517</v>
      </c>
      <c r="G782" s="1"/>
      <c r="H782" s="1"/>
      <c r="I782" s="1" t="s">
        <v>6518</v>
      </c>
      <c r="J782" s="1" t="s">
        <v>373</v>
      </c>
      <c r="K782" s="1"/>
      <c r="L782" s="1"/>
      <c r="M782" s="1"/>
      <c r="N782" s="1"/>
      <c r="O782" s="1"/>
      <c r="P782" s="2"/>
      <c r="Q782" s="1"/>
      <c r="R782" s="1"/>
      <c r="S782" s="1"/>
      <c r="T782" s="1"/>
      <c r="U782" s="1"/>
      <c r="V782" s="1" t="s">
        <v>6519</v>
      </c>
      <c r="W782" s="1"/>
      <c r="X782" s="1"/>
      <c r="Y782" s="1"/>
      <c r="Z782" s="1"/>
      <c r="AA782" s="1"/>
      <c r="AB782" s="1"/>
      <c r="AC782" s="1"/>
      <c r="AD782" s="1"/>
      <c r="AE782" s="1"/>
      <c r="AF782" s="1"/>
      <c r="AG782" s="1"/>
      <c r="AH782" s="1"/>
      <c r="AI782" s="1"/>
      <c r="AJ782" s="1"/>
      <c r="AK782" s="1"/>
      <c r="AL782" s="1"/>
      <c r="AM782" s="1"/>
      <c r="AN782" s="1"/>
      <c r="AO782" s="1"/>
      <c r="AP782" s="1"/>
      <c r="AQ782" s="1" t="s">
        <v>376</v>
      </c>
      <c r="AR782" s="1"/>
      <c r="AS782" s="1"/>
      <c r="AT782" s="1"/>
      <c r="AU782" s="3">
        <v>2018</v>
      </c>
      <c r="AV782" s="2"/>
      <c r="AW782" s="2"/>
      <c r="AX782" s="2"/>
      <c r="AY782" s="2"/>
      <c r="AZ782" s="1"/>
      <c r="BA782" s="2"/>
      <c r="BB782" s="3">
        <v>142</v>
      </c>
      <c r="BC782" s="3">
        <v>154</v>
      </c>
      <c r="BD782" s="2"/>
      <c r="BE782" s="1"/>
      <c r="BF782" s="1"/>
      <c r="BG782" s="1"/>
      <c r="BH782" s="1"/>
      <c r="BI782" s="1"/>
      <c r="BJ782" s="1"/>
      <c r="BK782" s="1"/>
      <c r="BL782" s="1"/>
      <c r="BM782" s="1"/>
      <c r="BN782" s="2"/>
      <c r="BO782" s="1"/>
      <c r="BP782" s="1"/>
      <c r="BQ782" s="1"/>
      <c r="BR782" s="1"/>
      <c r="BS782" s="1" t="s">
        <v>6520</v>
      </c>
      <c r="BT782" s="5">
        <f>HYPERLINK("https%3A%2F%2Fwww.webofscience.com%2Fwos%2Fwoscc%2Ffull-record%2FWOS:000480327100010","View Full Record in Web of Science")</f>
      </c>
    </row>
    <row x14ac:dyDescent="0.25" r="783" customHeight="1" ht="12.75">
      <c r="A783" s="1" t="s">
        <v>72</v>
      </c>
      <c r="B783" s="1" t="s">
        <v>6521</v>
      </c>
      <c r="C783" s="1"/>
      <c r="D783" s="1"/>
      <c r="E783" s="1"/>
      <c r="F783" s="1" t="s">
        <v>6522</v>
      </c>
      <c r="G783" s="1"/>
      <c r="H783" s="1"/>
      <c r="I783" s="1" t="s">
        <v>6523</v>
      </c>
      <c r="J783" s="1" t="s">
        <v>364</v>
      </c>
      <c r="K783" s="1"/>
      <c r="L783" s="1"/>
      <c r="M783" s="1"/>
      <c r="N783" s="1"/>
      <c r="O783" s="1"/>
      <c r="P783" s="2"/>
      <c r="Q783" s="1"/>
      <c r="R783" s="1"/>
      <c r="S783" s="1"/>
      <c r="T783" s="1"/>
      <c r="U783" s="1"/>
      <c r="V783" s="1" t="s">
        <v>6524</v>
      </c>
      <c r="W783" s="1"/>
      <c r="X783" s="1"/>
      <c r="Y783" s="1"/>
      <c r="Z783" s="1"/>
      <c r="AA783" s="1"/>
      <c r="AB783" s="1"/>
      <c r="AC783" s="1"/>
      <c r="AD783" s="1"/>
      <c r="AE783" s="1"/>
      <c r="AF783" s="1"/>
      <c r="AG783" s="1"/>
      <c r="AH783" s="1"/>
      <c r="AI783" s="1"/>
      <c r="AJ783" s="1"/>
      <c r="AK783" s="1"/>
      <c r="AL783" s="1"/>
      <c r="AM783" s="1"/>
      <c r="AN783" s="1"/>
      <c r="AO783" s="1" t="s">
        <v>366</v>
      </c>
      <c r="AP783" s="1" t="s">
        <v>367</v>
      </c>
      <c r="AQ783" s="1"/>
      <c r="AR783" s="1"/>
      <c r="AS783" s="1"/>
      <c r="AT783" s="1"/>
      <c r="AU783" s="3">
        <v>2017</v>
      </c>
      <c r="AV783" s="3">
        <v>73</v>
      </c>
      <c r="AW783" s="2"/>
      <c r="AX783" s="2"/>
      <c r="AY783" s="2"/>
      <c r="AZ783" s="1"/>
      <c r="BA783" s="2"/>
      <c r="BB783" s="3">
        <v>281</v>
      </c>
      <c r="BC783" s="3">
        <v>297</v>
      </c>
      <c r="BD783" s="2"/>
      <c r="BE783" s="1"/>
      <c r="BF783" s="1"/>
      <c r="BG783" s="1"/>
      <c r="BH783" s="1"/>
      <c r="BI783" s="1"/>
      <c r="BJ783" s="1"/>
      <c r="BK783" s="1"/>
      <c r="BL783" s="1"/>
      <c r="BM783" s="1"/>
      <c r="BN783" s="2"/>
      <c r="BO783" s="1"/>
      <c r="BP783" s="1"/>
      <c r="BQ783" s="1"/>
      <c r="BR783" s="1"/>
      <c r="BS783" s="1" t="s">
        <v>6525</v>
      </c>
      <c r="BT783" s="5">
        <f>HYPERLINK("https%3A%2F%2Fwww.webofscience.com%2Fwos%2Fwoscc%2Ffull-record%2FWOS:000424545600020","View Full Record in Web of Science")</f>
      </c>
    </row>
    <row x14ac:dyDescent="0.25" r="784" customHeight="1" ht="12.75">
      <c r="A784" s="1" t="s">
        <v>303</v>
      </c>
      <c r="B784" s="1" t="s">
        <v>6526</v>
      </c>
      <c r="C784" s="1"/>
      <c r="D784" s="1"/>
      <c r="E784" s="1" t="s">
        <v>305</v>
      </c>
      <c r="F784" s="1" t="s">
        <v>6527</v>
      </c>
      <c r="G784" s="1"/>
      <c r="H784" s="1"/>
      <c r="I784" s="1" t="s">
        <v>6528</v>
      </c>
      <c r="J784" s="1" t="s">
        <v>481</v>
      </c>
      <c r="K784" s="1"/>
      <c r="L784" s="1"/>
      <c r="M784" s="1"/>
      <c r="N784" s="1"/>
      <c r="O784" s="1" t="s">
        <v>482</v>
      </c>
      <c r="P784" s="2" t="s">
        <v>483</v>
      </c>
      <c r="Q784" s="1" t="s">
        <v>484</v>
      </c>
      <c r="R784" s="1" t="s">
        <v>485</v>
      </c>
      <c r="S784" s="1"/>
      <c r="T784" s="1"/>
      <c r="U784" s="1"/>
      <c r="V784" s="1" t="s">
        <v>6529</v>
      </c>
      <c r="W784" s="1"/>
      <c r="X784" s="1"/>
      <c r="Y784" s="1"/>
      <c r="Z784" s="1"/>
      <c r="AA784" s="1" t="s">
        <v>6453</v>
      </c>
      <c r="AB784" s="1" t="s">
        <v>6530</v>
      </c>
      <c r="AC784" s="1"/>
      <c r="AD784" s="1"/>
      <c r="AE784" s="1"/>
      <c r="AF784" s="1"/>
      <c r="AG784" s="1"/>
      <c r="AH784" s="1"/>
      <c r="AI784" s="1"/>
      <c r="AJ784" s="1"/>
      <c r="AK784" s="1"/>
      <c r="AL784" s="1"/>
      <c r="AM784" s="1"/>
      <c r="AN784" s="1"/>
      <c r="AO784" s="1"/>
      <c r="AP784" s="1"/>
      <c r="AQ784" s="1" t="s">
        <v>488</v>
      </c>
      <c r="AR784" s="1"/>
      <c r="AS784" s="1"/>
      <c r="AT784" s="1"/>
      <c r="AU784" s="3">
        <v>2017</v>
      </c>
      <c r="AV784" s="2"/>
      <c r="AW784" s="2"/>
      <c r="AX784" s="2"/>
      <c r="AY784" s="2"/>
      <c r="AZ784" s="1"/>
      <c r="BA784" s="2"/>
      <c r="BB784" s="2"/>
      <c r="BC784" s="2"/>
      <c r="BD784" s="2"/>
      <c r="BE784" s="1"/>
      <c r="BF784" s="1"/>
      <c r="BG784" s="1"/>
      <c r="BH784" s="1"/>
      <c r="BI784" s="1"/>
      <c r="BJ784" s="1"/>
      <c r="BK784" s="1"/>
      <c r="BL784" s="1"/>
      <c r="BM784" s="1"/>
      <c r="BN784" s="2"/>
      <c r="BO784" s="1"/>
      <c r="BP784" s="1"/>
      <c r="BQ784" s="1"/>
      <c r="BR784" s="1"/>
      <c r="BS784" s="1" t="s">
        <v>6531</v>
      </c>
      <c r="BT784" s="5">
        <f>HYPERLINK("https%3A%2F%2Fwww.webofscience.com%2Fwos%2Fwoscc%2Ffull-record%2FWOS:000425925000109","View Full Record in Web of Science")</f>
      </c>
    </row>
    <row x14ac:dyDescent="0.25" r="785" customHeight="1" ht="12.75">
      <c r="A785" s="1" t="s">
        <v>267</v>
      </c>
      <c r="B785" s="1" t="s">
        <v>6532</v>
      </c>
      <c r="C785" s="1" t="s">
        <v>6533</v>
      </c>
      <c r="D785" s="1"/>
      <c r="E785" s="1"/>
      <c r="F785" s="1" t="s">
        <v>6534</v>
      </c>
      <c r="G785" s="1" t="s">
        <v>6533</v>
      </c>
      <c r="H785" s="1"/>
      <c r="I785" s="1" t="s">
        <v>6535</v>
      </c>
      <c r="J785" s="1" t="s">
        <v>6536</v>
      </c>
      <c r="K785" s="1" t="s">
        <v>6537</v>
      </c>
      <c r="L785" s="1"/>
      <c r="M785" s="1"/>
      <c r="N785" s="1"/>
      <c r="O785" s="1"/>
      <c r="P785" s="2"/>
      <c r="Q785" s="1"/>
      <c r="R785" s="1"/>
      <c r="S785" s="1"/>
      <c r="T785" s="1"/>
      <c r="U785" s="1"/>
      <c r="V785" s="1" t="s">
        <v>6538</v>
      </c>
      <c r="W785" s="1"/>
      <c r="X785" s="1"/>
      <c r="Y785" s="1"/>
      <c r="Z785" s="1"/>
      <c r="AA785" s="1" t="s">
        <v>201</v>
      </c>
      <c r="AB785" s="1" t="s">
        <v>1152</v>
      </c>
      <c r="AC785" s="1"/>
      <c r="AD785" s="1"/>
      <c r="AE785" s="1"/>
      <c r="AF785" s="1"/>
      <c r="AG785" s="1"/>
      <c r="AH785" s="1"/>
      <c r="AI785" s="1"/>
      <c r="AJ785" s="1"/>
      <c r="AK785" s="1"/>
      <c r="AL785" s="1"/>
      <c r="AM785" s="1"/>
      <c r="AN785" s="1"/>
      <c r="AO785" s="1"/>
      <c r="AP785" s="1"/>
      <c r="AQ785" s="1" t="s">
        <v>6539</v>
      </c>
      <c r="AR785" s="1"/>
      <c r="AS785" s="1"/>
      <c r="AT785" s="1"/>
      <c r="AU785" s="3">
        <v>2017</v>
      </c>
      <c r="AV785" s="2"/>
      <c r="AW785" s="2"/>
      <c r="AX785" s="2"/>
      <c r="AY785" s="2"/>
      <c r="AZ785" s="1"/>
      <c r="BA785" s="2"/>
      <c r="BB785" s="3">
        <v>230</v>
      </c>
      <c r="BC785" s="3">
        <v>250</v>
      </c>
      <c r="BD785" s="2"/>
      <c r="BE785" s="1" t="s">
        <v>6540</v>
      </c>
      <c r="BF785" s="4">
        <f>HYPERLINK("http://dx.doi.org/10.4018/978-1-5225-2053-5.ch011","http://dx.doi.org/10.4018/978-1-5225-2053-5.ch011")</f>
      </c>
      <c r="BG785" s="1" t="s">
        <v>6541</v>
      </c>
      <c r="BH785" s="1"/>
      <c r="BI785" s="1"/>
      <c r="BJ785" s="1"/>
      <c r="BK785" s="1"/>
      <c r="BL785" s="1"/>
      <c r="BM785" s="1"/>
      <c r="BN785" s="2"/>
      <c r="BO785" s="1"/>
      <c r="BP785" s="1"/>
      <c r="BQ785" s="1"/>
      <c r="BR785" s="1"/>
      <c r="BS785" s="1" t="s">
        <v>6542</v>
      </c>
      <c r="BT785" s="5">
        <f>HYPERLINK("https%3A%2F%2Fwww.webofscience.com%2Fwos%2Fwoscc%2Ffull-record%2FWOS:000411376600013","View Full Record in Web of Science")</f>
      </c>
    </row>
    <row x14ac:dyDescent="0.25" r="786" customHeight="1" ht="12.75">
      <c r="A786" s="1" t="s">
        <v>72</v>
      </c>
      <c r="B786" s="1" t="s">
        <v>6543</v>
      </c>
      <c r="C786" s="1"/>
      <c r="D786" s="1"/>
      <c r="E786" s="1"/>
      <c r="F786" s="1" t="s">
        <v>6544</v>
      </c>
      <c r="G786" s="1"/>
      <c r="H786" s="1"/>
      <c r="I786" s="1" t="s">
        <v>6545</v>
      </c>
      <c r="J786" s="1" t="s">
        <v>5878</v>
      </c>
      <c r="K786" s="1"/>
      <c r="L786" s="1"/>
      <c r="M786" s="1"/>
      <c r="N786" s="1"/>
      <c r="O786" s="1"/>
      <c r="P786" s="2"/>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t="s">
        <v>4303</v>
      </c>
      <c r="AP786" s="1"/>
      <c r="AQ786" s="1"/>
      <c r="AR786" s="1"/>
      <c r="AS786" s="1"/>
      <c r="AT786" s="1" t="s">
        <v>204</v>
      </c>
      <c r="AU786" s="3">
        <v>2016</v>
      </c>
      <c r="AV786" s="2"/>
      <c r="AW786" s="3">
        <v>43</v>
      </c>
      <c r="AX786" s="2"/>
      <c r="AY786" s="2"/>
      <c r="AZ786" s="1"/>
      <c r="BA786" s="2"/>
      <c r="BB786" s="3">
        <v>320</v>
      </c>
      <c r="BC786" s="3">
        <v>324</v>
      </c>
      <c r="BD786" s="2"/>
      <c r="BE786" s="1"/>
      <c r="BF786" s="1"/>
      <c r="BG786" s="1"/>
      <c r="BH786" s="1"/>
      <c r="BI786" s="1"/>
      <c r="BJ786" s="1"/>
      <c r="BK786" s="1"/>
      <c r="BL786" s="1"/>
      <c r="BM786" s="1"/>
      <c r="BN786" s="2"/>
      <c r="BO786" s="1"/>
      <c r="BP786" s="1"/>
      <c r="BQ786" s="1"/>
      <c r="BR786" s="1"/>
      <c r="BS786" s="1" t="s">
        <v>6546</v>
      </c>
      <c r="BT786" s="5">
        <f>HYPERLINK("https%3A%2F%2Fwww.webofscience.com%2Fwos%2Fwoscc%2Ffull-record%2FWOS:000392719900024","View Full Record in Web of Science")</f>
      </c>
    </row>
    <row x14ac:dyDescent="0.25" r="787" customHeight="1" ht="12.75">
      <c r="A787" s="1" t="s">
        <v>72</v>
      </c>
      <c r="B787" s="1" t="s">
        <v>6547</v>
      </c>
      <c r="C787" s="1"/>
      <c r="D787" s="1"/>
      <c r="E787" s="1"/>
      <c r="F787" s="1" t="s">
        <v>6548</v>
      </c>
      <c r="G787" s="1"/>
      <c r="H787" s="1"/>
      <c r="I787" s="1" t="s">
        <v>6549</v>
      </c>
      <c r="J787" s="1" t="s">
        <v>960</v>
      </c>
      <c r="K787" s="1"/>
      <c r="L787" s="1"/>
      <c r="M787" s="1"/>
      <c r="N787" s="1"/>
      <c r="O787" s="1"/>
      <c r="P787" s="2"/>
      <c r="Q787" s="1"/>
      <c r="R787" s="1"/>
      <c r="S787" s="1"/>
      <c r="T787" s="1"/>
      <c r="U787" s="1"/>
      <c r="V787" s="1" t="s">
        <v>6550</v>
      </c>
      <c r="W787" s="1"/>
      <c r="X787" s="1"/>
      <c r="Y787" s="1"/>
      <c r="Z787" s="1"/>
      <c r="AA787" s="1" t="s">
        <v>6411</v>
      </c>
      <c r="AB787" s="1" t="s">
        <v>6551</v>
      </c>
      <c r="AC787" s="1"/>
      <c r="AD787" s="1"/>
      <c r="AE787" s="1"/>
      <c r="AF787" s="1"/>
      <c r="AG787" s="1"/>
      <c r="AH787" s="1"/>
      <c r="AI787" s="1"/>
      <c r="AJ787" s="1"/>
      <c r="AK787" s="1"/>
      <c r="AL787" s="1"/>
      <c r="AM787" s="1"/>
      <c r="AN787" s="1"/>
      <c r="AO787" s="1" t="s">
        <v>964</v>
      </c>
      <c r="AP787" s="1" t="s">
        <v>965</v>
      </c>
      <c r="AQ787" s="1"/>
      <c r="AR787" s="1"/>
      <c r="AS787" s="1"/>
      <c r="AT787" s="1" t="s">
        <v>431</v>
      </c>
      <c r="AU787" s="3">
        <v>2016</v>
      </c>
      <c r="AV787" s="3">
        <v>60</v>
      </c>
      <c r="AW787" s="2"/>
      <c r="AX787" s="2"/>
      <c r="AY787" s="2"/>
      <c r="AZ787" s="1"/>
      <c r="BA787" s="2"/>
      <c r="BB787" s="3">
        <v>335</v>
      </c>
      <c r="BC787" s="3">
        <v>344</v>
      </c>
      <c r="BD787" s="2"/>
      <c r="BE787" s="1" t="s">
        <v>6552</v>
      </c>
      <c r="BF787" s="4">
        <f>HYPERLINK("http://dx.doi.org/10.1016/j.foodhyd.2016.03.020","http://dx.doi.org/10.1016/j.foodhyd.2016.03.020")</f>
      </c>
      <c r="BG787" s="1"/>
      <c r="BH787" s="1"/>
      <c r="BI787" s="1"/>
      <c r="BJ787" s="1"/>
      <c r="BK787" s="1"/>
      <c r="BL787" s="1"/>
      <c r="BM787" s="1"/>
      <c r="BN787" s="2"/>
      <c r="BO787" s="1"/>
      <c r="BP787" s="1"/>
      <c r="BQ787" s="1"/>
      <c r="BR787" s="1"/>
      <c r="BS787" s="1" t="s">
        <v>6553</v>
      </c>
      <c r="BT787" s="5">
        <f>HYPERLINK("https%3A%2F%2Fwww.webofscience.com%2Fwos%2Fwoscc%2Ffull-record%2FWOS:000377304700037","View Full Record in Web of Science")</f>
      </c>
    </row>
    <row x14ac:dyDescent="0.25" r="788" customHeight="1" ht="12.75">
      <c r="A788" s="1" t="s">
        <v>72</v>
      </c>
      <c r="B788" s="1" t="s">
        <v>6554</v>
      </c>
      <c r="C788" s="1"/>
      <c r="D788" s="1"/>
      <c r="E788" s="1"/>
      <c r="F788" s="1" t="s">
        <v>6555</v>
      </c>
      <c r="G788" s="1"/>
      <c r="H788" s="1"/>
      <c r="I788" s="1" t="s">
        <v>6556</v>
      </c>
      <c r="J788" s="1" t="s">
        <v>5954</v>
      </c>
      <c r="K788" s="1"/>
      <c r="L788" s="1"/>
      <c r="M788" s="1"/>
      <c r="N788" s="1"/>
      <c r="O788" s="1"/>
      <c r="P788" s="2"/>
      <c r="Q788" s="1"/>
      <c r="R788" s="1"/>
      <c r="S788" s="1"/>
      <c r="T788" s="1"/>
      <c r="U788" s="1"/>
      <c r="V788" s="1" t="s">
        <v>6557</v>
      </c>
      <c r="W788" s="1"/>
      <c r="X788" s="1"/>
      <c r="Y788" s="1"/>
      <c r="Z788" s="1"/>
      <c r="AA788" s="1" t="s">
        <v>6558</v>
      </c>
      <c r="AB788" s="1"/>
      <c r="AC788" s="1"/>
      <c r="AD788" s="1"/>
      <c r="AE788" s="1"/>
      <c r="AF788" s="1"/>
      <c r="AG788" s="1"/>
      <c r="AH788" s="1"/>
      <c r="AI788" s="1"/>
      <c r="AJ788" s="1"/>
      <c r="AK788" s="1"/>
      <c r="AL788" s="1"/>
      <c r="AM788" s="1"/>
      <c r="AN788" s="1"/>
      <c r="AO788" s="1" t="s">
        <v>5956</v>
      </c>
      <c r="AP788" s="1"/>
      <c r="AQ788" s="1"/>
      <c r="AR788" s="1"/>
      <c r="AS788" s="1"/>
      <c r="AT788" s="1" t="s">
        <v>137</v>
      </c>
      <c r="AU788" s="3">
        <v>2016</v>
      </c>
      <c r="AV788" s="2"/>
      <c r="AW788" s="3">
        <v>64</v>
      </c>
      <c r="AX788" s="2"/>
      <c r="AY788" s="2"/>
      <c r="AZ788" s="1"/>
      <c r="BA788" s="2"/>
      <c r="BB788" s="3">
        <v>141</v>
      </c>
      <c r="BC788" s="3">
        <v>164</v>
      </c>
      <c r="BD788" s="2"/>
      <c r="BE788" s="1"/>
      <c r="BF788" s="1"/>
      <c r="BG788" s="1"/>
      <c r="BH788" s="1"/>
      <c r="BI788" s="1"/>
      <c r="BJ788" s="1"/>
      <c r="BK788" s="1"/>
      <c r="BL788" s="1"/>
      <c r="BM788" s="1"/>
      <c r="BN788" s="2"/>
      <c r="BO788" s="1"/>
      <c r="BP788" s="1"/>
      <c r="BQ788" s="1"/>
      <c r="BR788" s="1"/>
      <c r="BS788" s="1" t="s">
        <v>6559</v>
      </c>
      <c r="BT788" s="5">
        <f>HYPERLINK("https%3A%2F%2Fwww.webofscience.com%2Fwos%2Fwoscc%2Ffull-record%2FWOS:000382350500005","View Full Record in Web of Science")</f>
      </c>
    </row>
    <row x14ac:dyDescent="0.25" r="789" customHeight="1" ht="12.75">
      <c r="A789" s="1" t="s">
        <v>72</v>
      </c>
      <c r="B789" s="1" t="s">
        <v>3668</v>
      </c>
      <c r="C789" s="1"/>
      <c r="D789" s="1"/>
      <c r="E789" s="1"/>
      <c r="F789" s="1" t="s">
        <v>3669</v>
      </c>
      <c r="G789" s="1"/>
      <c r="H789" s="1"/>
      <c r="I789" s="1" t="s">
        <v>6560</v>
      </c>
      <c r="J789" s="1" t="s">
        <v>1295</v>
      </c>
      <c r="K789" s="1"/>
      <c r="L789" s="1"/>
      <c r="M789" s="1"/>
      <c r="N789" s="1"/>
      <c r="O789" s="1"/>
      <c r="P789" s="2"/>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t="s">
        <v>1296</v>
      </c>
      <c r="AP789" s="1"/>
      <c r="AQ789" s="1"/>
      <c r="AR789" s="1"/>
      <c r="AS789" s="1"/>
      <c r="AT789" s="1" t="s">
        <v>683</v>
      </c>
      <c r="AU789" s="3">
        <v>2015</v>
      </c>
      <c r="AV789" s="3">
        <v>44</v>
      </c>
      <c r="AW789" s="3">
        <v>1</v>
      </c>
      <c r="AX789" s="2"/>
      <c r="AY789" s="2"/>
      <c r="AZ789" s="1"/>
      <c r="BA789" s="2"/>
      <c r="BB789" s="3">
        <v>159</v>
      </c>
      <c r="BC789" s="3">
        <v>179</v>
      </c>
      <c r="BD789" s="2"/>
      <c r="BE789" s="1"/>
      <c r="BF789" s="1"/>
      <c r="BG789" s="1"/>
      <c r="BH789" s="1"/>
      <c r="BI789" s="1"/>
      <c r="BJ789" s="1"/>
      <c r="BK789" s="1"/>
      <c r="BL789" s="1"/>
      <c r="BM789" s="1"/>
      <c r="BN789" s="2"/>
      <c r="BO789" s="1"/>
      <c r="BP789" s="1"/>
      <c r="BQ789" s="1"/>
      <c r="BR789" s="1"/>
      <c r="BS789" s="1" t="s">
        <v>6561</v>
      </c>
      <c r="BT789" s="5">
        <f>HYPERLINK("https%3A%2F%2Fwww.webofscience.com%2Fwos%2Fwoscc%2Ffull-record%2FWOS:000369348900012","View Full Record in Web of Science")</f>
      </c>
    </row>
    <row x14ac:dyDescent="0.25" r="790" customHeight="1" ht="12.75">
      <c r="A790" s="1" t="s">
        <v>72</v>
      </c>
      <c r="B790" s="1" t="s">
        <v>6562</v>
      </c>
      <c r="C790" s="1"/>
      <c r="D790" s="1"/>
      <c r="E790" s="1"/>
      <c r="F790" s="1" t="s">
        <v>6563</v>
      </c>
      <c r="G790" s="1"/>
      <c r="H790" s="1"/>
      <c r="I790" s="1" t="s">
        <v>6564</v>
      </c>
      <c r="J790" s="1" t="s">
        <v>230</v>
      </c>
      <c r="K790" s="1"/>
      <c r="L790" s="1"/>
      <c r="M790" s="1"/>
      <c r="N790" s="1"/>
      <c r="O790" s="1"/>
      <c r="P790" s="2"/>
      <c r="Q790" s="1"/>
      <c r="R790" s="1"/>
      <c r="S790" s="1"/>
      <c r="T790" s="1"/>
      <c r="U790" s="1"/>
      <c r="V790" s="1" t="s">
        <v>6565</v>
      </c>
      <c r="W790" s="1"/>
      <c r="X790" s="1"/>
      <c r="Y790" s="1"/>
      <c r="Z790" s="1"/>
      <c r="AA790" s="1" t="s">
        <v>6566</v>
      </c>
      <c r="AB790" s="1" t="s">
        <v>6567</v>
      </c>
      <c r="AC790" s="1"/>
      <c r="AD790" s="1"/>
      <c r="AE790" s="1"/>
      <c r="AF790" s="1"/>
      <c r="AG790" s="1"/>
      <c r="AH790" s="1"/>
      <c r="AI790" s="1"/>
      <c r="AJ790" s="1"/>
      <c r="AK790" s="1"/>
      <c r="AL790" s="1"/>
      <c r="AM790" s="1"/>
      <c r="AN790" s="1"/>
      <c r="AO790" s="1"/>
      <c r="AP790" s="1" t="s">
        <v>233</v>
      </c>
      <c r="AQ790" s="1"/>
      <c r="AR790" s="1"/>
      <c r="AS790" s="1"/>
      <c r="AT790" s="1" t="s">
        <v>567</v>
      </c>
      <c r="AU790" s="3">
        <v>2015</v>
      </c>
      <c r="AV790" s="3">
        <v>20</v>
      </c>
      <c r="AW790" s="3">
        <v>4</v>
      </c>
      <c r="AX790" s="2"/>
      <c r="AY790" s="2"/>
      <c r="AZ790" s="1"/>
      <c r="BA790" s="2"/>
      <c r="BB790" s="3">
        <v>5698</v>
      </c>
      <c r="BC790" s="3">
        <v>5713</v>
      </c>
      <c r="BD790" s="2"/>
      <c r="BE790" s="1" t="s">
        <v>6568</v>
      </c>
      <c r="BF790" s="4">
        <f>HYPERLINK("http://dx.doi.org/10.3390/molecules20045698","http://dx.doi.org/10.3390/molecules20045698")</f>
      </c>
      <c r="BG790" s="1"/>
      <c r="BH790" s="1"/>
      <c r="BI790" s="1"/>
      <c r="BJ790" s="1"/>
      <c r="BK790" s="1"/>
      <c r="BL790" s="1"/>
      <c r="BM790" s="1"/>
      <c r="BN790" s="3">
        <v>25838172</v>
      </c>
      <c r="BO790" s="1"/>
      <c r="BP790" s="1"/>
      <c r="BQ790" s="1"/>
      <c r="BR790" s="1"/>
      <c r="BS790" s="1" t="s">
        <v>6569</v>
      </c>
      <c r="BT790" s="5">
        <f>HYPERLINK("https%3A%2F%2Fwww.webofscience.com%2Fwos%2Fwoscc%2Ffull-record%2FWOS:000354480700027","View Full Record in Web of Science")</f>
      </c>
    </row>
    <row x14ac:dyDescent="0.25" r="791" customHeight="1" ht="12.75">
      <c r="A791" s="1" t="s">
        <v>72</v>
      </c>
      <c r="B791" s="1" t="s">
        <v>6570</v>
      </c>
      <c r="C791" s="1"/>
      <c r="D791" s="1"/>
      <c r="E791" s="1"/>
      <c r="F791" s="1" t="s">
        <v>6571</v>
      </c>
      <c r="G791" s="1"/>
      <c r="H791" s="1"/>
      <c r="I791" s="1" t="s">
        <v>6572</v>
      </c>
      <c r="J791" s="1" t="s">
        <v>544</v>
      </c>
      <c r="K791" s="1"/>
      <c r="L791" s="1"/>
      <c r="M791" s="1"/>
      <c r="N791" s="1"/>
      <c r="O791" s="1"/>
      <c r="P791" s="2"/>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t="s">
        <v>546</v>
      </c>
      <c r="AP791" s="1"/>
      <c r="AQ791" s="1"/>
      <c r="AR791" s="1"/>
      <c r="AS791" s="1"/>
      <c r="AT791" s="1"/>
      <c r="AU791" s="3">
        <v>2015</v>
      </c>
      <c r="AV791" s="2"/>
      <c r="AW791" s="3">
        <v>57</v>
      </c>
      <c r="AX791" s="2"/>
      <c r="AY791" s="2"/>
      <c r="AZ791" s="1"/>
      <c r="BA791" s="2"/>
      <c r="BB791" s="3">
        <v>215</v>
      </c>
      <c r="BC791" s="3">
        <v>218</v>
      </c>
      <c r="BD791" s="2"/>
      <c r="BE791" s="1"/>
      <c r="BF791" s="1"/>
      <c r="BG791" s="1"/>
      <c r="BH791" s="1"/>
      <c r="BI791" s="1"/>
      <c r="BJ791" s="1"/>
      <c r="BK791" s="1"/>
      <c r="BL791" s="1"/>
      <c r="BM791" s="1"/>
      <c r="BN791" s="2"/>
      <c r="BO791" s="1"/>
      <c r="BP791" s="1"/>
      <c r="BQ791" s="1"/>
      <c r="BR791" s="1"/>
      <c r="BS791" s="1" t="s">
        <v>6573</v>
      </c>
      <c r="BT791" s="5">
        <f>HYPERLINK("https%3A%2F%2Fwww.webofscience.com%2Fwos%2Fwoscc%2Ffull-record%2FWOS:000367962600013","View Full Record in Web of Science")</f>
      </c>
    </row>
    <row x14ac:dyDescent="0.25" r="792" customHeight="1" ht="12.75">
      <c r="A792" s="1" t="s">
        <v>72</v>
      </c>
      <c r="B792" s="1" t="s">
        <v>6574</v>
      </c>
      <c r="C792" s="1"/>
      <c r="D792" s="1"/>
      <c r="E792" s="1"/>
      <c r="F792" s="1" t="s">
        <v>6575</v>
      </c>
      <c r="G792" s="1"/>
      <c r="H792" s="1"/>
      <c r="I792" s="1" t="s">
        <v>6576</v>
      </c>
      <c r="J792" s="1" t="s">
        <v>1466</v>
      </c>
      <c r="K792" s="1"/>
      <c r="L792" s="1"/>
      <c r="M792" s="1"/>
      <c r="N792" s="1"/>
      <c r="O792" s="1"/>
      <c r="P792" s="2"/>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t="s">
        <v>1467</v>
      </c>
      <c r="AP792" s="1" t="s">
        <v>1468</v>
      </c>
      <c r="AQ792" s="1"/>
      <c r="AR792" s="1"/>
      <c r="AS792" s="1"/>
      <c r="AT792" s="1" t="s">
        <v>265</v>
      </c>
      <c r="AU792" s="3">
        <v>2014</v>
      </c>
      <c r="AV792" s="3">
        <v>46</v>
      </c>
      <c r="AW792" s="3">
        <v>3</v>
      </c>
      <c r="AX792" s="2"/>
      <c r="AY792" s="2"/>
      <c r="AZ792" s="1"/>
      <c r="BA792" s="2"/>
      <c r="BB792" s="3">
        <v>587</v>
      </c>
      <c r="BC792" s="3">
        <v>589</v>
      </c>
      <c r="BD792" s="2"/>
      <c r="BE792" s="1" t="s">
        <v>6577</v>
      </c>
      <c r="BF792" s="4">
        <f>HYPERLINK("http://dx.doi.org/10.1017/S0022216X14000777","http://dx.doi.org/10.1017/S0022216X14000777")</f>
      </c>
      <c r="BG792" s="1"/>
      <c r="BH792" s="1"/>
      <c r="BI792" s="1"/>
      <c r="BJ792" s="1"/>
      <c r="BK792" s="1"/>
      <c r="BL792" s="1"/>
      <c r="BM792" s="1"/>
      <c r="BN792" s="2"/>
      <c r="BO792" s="1"/>
      <c r="BP792" s="1"/>
      <c r="BQ792" s="1"/>
      <c r="BR792" s="1"/>
      <c r="BS792" s="1" t="s">
        <v>6578</v>
      </c>
      <c r="BT792" s="5">
        <f>HYPERLINK("https%3A%2F%2Fwww.webofscience.com%2Fwos%2Fwoscc%2Ffull-record%2FWOS:000340208700006","View Full Record in Web of Science")</f>
      </c>
    </row>
    <row x14ac:dyDescent="0.25" r="793" customHeight="1" ht="12.75">
      <c r="A793" s="1" t="s">
        <v>72</v>
      </c>
      <c r="B793" s="1" t="s">
        <v>3735</v>
      </c>
      <c r="C793" s="1"/>
      <c r="D793" s="1"/>
      <c r="E793" s="1"/>
      <c r="F793" s="1" t="s">
        <v>3736</v>
      </c>
      <c r="G793" s="1"/>
      <c r="H793" s="1"/>
      <c r="I793" s="1" t="s">
        <v>6579</v>
      </c>
      <c r="J793" s="1" t="s">
        <v>534</v>
      </c>
      <c r="K793" s="1"/>
      <c r="L793" s="1"/>
      <c r="M793" s="1"/>
      <c r="N793" s="1"/>
      <c r="O793" s="1"/>
      <c r="P793" s="2"/>
      <c r="Q793" s="1"/>
      <c r="R793" s="1"/>
      <c r="S793" s="1"/>
      <c r="T793" s="1"/>
      <c r="U793" s="1"/>
      <c r="V793" s="1" t="s">
        <v>6580</v>
      </c>
      <c r="W793" s="1"/>
      <c r="X793" s="1"/>
      <c r="Y793" s="1"/>
      <c r="Z793" s="1"/>
      <c r="AA793" s="1"/>
      <c r="AB793" s="1"/>
      <c r="AC793" s="1"/>
      <c r="AD793" s="1"/>
      <c r="AE793" s="1"/>
      <c r="AF793" s="1"/>
      <c r="AG793" s="1"/>
      <c r="AH793" s="1"/>
      <c r="AI793" s="1"/>
      <c r="AJ793" s="1"/>
      <c r="AK793" s="1"/>
      <c r="AL793" s="1"/>
      <c r="AM793" s="1"/>
      <c r="AN793" s="1"/>
      <c r="AO793" s="1" t="s">
        <v>536</v>
      </c>
      <c r="AP793" s="1" t="s">
        <v>537</v>
      </c>
      <c r="AQ793" s="1"/>
      <c r="AR793" s="1"/>
      <c r="AS793" s="1"/>
      <c r="AT793" s="1" t="s">
        <v>158</v>
      </c>
      <c r="AU793" s="3">
        <v>2014</v>
      </c>
      <c r="AV793" s="3">
        <v>40</v>
      </c>
      <c r="AW793" s="3">
        <v>2</v>
      </c>
      <c r="AX793" s="2"/>
      <c r="AY793" s="2"/>
      <c r="AZ793" s="1"/>
      <c r="BA793" s="2"/>
      <c r="BB793" s="3">
        <v>240</v>
      </c>
      <c r="BC793" s="3">
        <v>257</v>
      </c>
      <c r="BD793" s="2"/>
      <c r="BE793" s="1"/>
      <c r="BF793" s="1"/>
      <c r="BG793" s="1"/>
      <c r="BH793" s="1"/>
      <c r="BI793" s="1"/>
      <c r="BJ793" s="1"/>
      <c r="BK793" s="1"/>
      <c r="BL793" s="1"/>
      <c r="BM793" s="1"/>
      <c r="BN793" s="2"/>
      <c r="BO793" s="1"/>
      <c r="BP793" s="1"/>
      <c r="BQ793" s="1"/>
      <c r="BR793" s="1"/>
      <c r="BS793" s="1" t="s">
        <v>6581</v>
      </c>
      <c r="BT793" s="5">
        <f>HYPERLINK("https%3A%2F%2Fwww.webofscience.com%2Fwos%2Fwoscc%2Ffull-record%2FWOS:000209574600004","View Full Record in Web of Science")</f>
      </c>
    </row>
    <row x14ac:dyDescent="0.25" r="794" customHeight="1" ht="12.75">
      <c r="A794" s="1" t="s">
        <v>72</v>
      </c>
      <c r="B794" s="1" t="s">
        <v>6582</v>
      </c>
      <c r="C794" s="1"/>
      <c r="D794" s="1"/>
      <c r="E794" s="1"/>
      <c r="F794" s="1" t="s">
        <v>6583</v>
      </c>
      <c r="G794" s="1"/>
      <c r="H794" s="1"/>
      <c r="I794" s="1" t="s">
        <v>6584</v>
      </c>
      <c r="J794" s="1" t="s">
        <v>6585</v>
      </c>
      <c r="K794" s="1"/>
      <c r="L794" s="1"/>
      <c r="M794" s="1"/>
      <c r="N794" s="1"/>
      <c r="O794" s="1"/>
      <c r="P794" s="2"/>
      <c r="Q794" s="1"/>
      <c r="R794" s="1"/>
      <c r="S794" s="1"/>
      <c r="T794" s="1"/>
      <c r="U794" s="1"/>
      <c r="V794" s="1" t="s">
        <v>6586</v>
      </c>
      <c r="W794" s="1"/>
      <c r="X794" s="1"/>
      <c r="Y794" s="1"/>
      <c r="Z794" s="1"/>
      <c r="AA794" s="1"/>
      <c r="AB794" s="1"/>
      <c r="AC794" s="1"/>
      <c r="AD794" s="1"/>
      <c r="AE794" s="1"/>
      <c r="AF794" s="1"/>
      <c r="AG794" s="1"/>
      <c r="AH794" s="1"/>
      <c r="AI794" s="1"/>
      <c r="AJ794" s="1"/>
      <c r="AK794" s="1"/>
      <c r="AL794" s="1"/>
      <c r="AM794" s="1"/>
      <c r="AN794" s="1"/>
      <c r="AO794" s="1" t="s">
        <v>6587</v>
      </c>
      <c r="AP794" s="1"/>
      <c r="AQ794" s="1"/>
      <c r="AR794" s="1"/>
      <c r="AS794" s="1"/>
      <c r="AT794" s="1" t="s">
        <v>757</v>
      </c>
      <c r="AU794" s="3">
        <v>2014</v>
      </c>
      <c r="AV794" s="3">
        <v>20</v>
      </c>
      <c r="AW794" s="3">
        <v>1</v>
      </c>
      <c r="AX794" s="2"/>
      <c r="AY794" s="2"/>
      <c r="AZ794" s="1"/>
      <c r="BA794" s="2"/>
      <c r="BB794" s="3">
        <v>81</v>
      </c>
      <c r="BC794" s="3">
        <v>91</v>
      </c>
      <c r="BD794" s="2"/>
      <c r="BE794" s="1" t="s">
        <v>6588</v>
      </c>
      <c r="BF794" s="4">
        <f>HYPERLINK("http://dx.doi.org/10.4067/S1726-569X2014000100009","http://dx.doi.org/10.4067/S1726-569X2014000100009")</f>
      </c>
      <c r="BG794" s="1"/>
      <c r="BH794" s="1"/>
      <c r="BI794" s="1"/>
      <c r="BJ794" s="1"/>
      <c r="BK794" s="1"/>
      <c r="BL794" s="1"/>
      <c r="BM794" s="1"/>
      <c r="BN794" s="2"/>
      <c r="BO794" s="1"/>
      <c r="BP794" s="1"/>
      <c r="BQ794" s="1"/>
      <c r="BR794" s="1"/>
      <c r="BS794" s="1" t="s">
        <v>6589</v>
      </c>
      <c r="BT794" s="5">
        <f>HYPERLINK("https%3A%2F%2Fwww.webofscience.com%2Fwos%2Fwoscc%2Ffull-record%2FWOS:000344765000009","View Full Record in Web of Science")</f>
      </c>
    </row>
    <row x14ac:dyDescent="0.25" r="795" customHeight="1" ht="12.75">
      <c r="A795" s="1" t="s">
        <v>72</v>
      </c>
      <c r="B795" s="1" t="s">
        <v>6590</v>
      </c>
      <c r="C795" s="1"/>
      <c r="D795" s="1"/>
      <c r="E795" s="1"/>
      <c r="F795" s="1" t="s">
        <v>6591</v>
      </c>
      <c r="G795" s="1"/>
      <c r="H795" s="1"/>
      <c r="I795" s="1" t="s">
        <v>6592</v>
      </c>
      <c r="J795" s="1" t="s">
        <v>6593</v>
      </c>
      <c r="K795" s="1"/>
      <c r="L795" s="1"/>
      <c r="M795" s="1"/>
      <c r="N795" s="1"/>
      <c r="O795" s="1"/>
      <c r="P795" s="2"/>
      <c r="Q795" s="1"/>
      <c r="R795" s="1"/>
      <c r="S795" s="1"/>
      <c r="T795" s="1"/>
      <c r="U795" s="1"/>
      <c r="V795" s="1" t="s">
        <v>6594</v>
      </c>
      <c r="W795" s="1"/>
      <c r="X795" s="1"/>
      <c r="Y795" s="1"/>
      <c r="Z795" s="1"/>
      <c r="AA795" s="1" t="s">
        <v>6595</v>
      </c>
      <c r="AB795" s="1" t="s">
        <v>6596</v>
      </c>
      <c r="AC795" s="1"/>
      <c r="AD795" s="1"/>
      <c r="AE795" s="1"/>
      <c r="AF795" s="1"/>
      <c r="AG795" s="1"/>
      <c r="AH795" s="1"/>
      <c r="AI795" s="1"/>
      <c r="AJ795" s="1"/>
      <c r="AK795" s="1"/>
      <c r="AL795" s="1"/>
      <c r="AM795" s="1"/>
      <c r="AN795" s="1"/>
      <c r="AO795" s="1" t="s">
        <v>6597</v>
      </c>
      <c r="AP795" s="1"/>
      <c r="AQ795" s="1"/>
      <c r="AR795" s="1"/>
      <c r="AS795" s="1"/>
      <c r="AT795" s="1" t="s">
        <v>6598</v>
      </c>
      <c r="AU795" s="3">
        <v>2014</v>
      </c>
      <c r="AV795" s="3">
        <v>55</v>
      </c>
      <c r="AW795" s="3">
        <v>19</v>
      </c>
      <c r="AX795" s="2"/>
      <c r="AY795" s="2"/>
      <c r="AZ795" s="1"/>
      <c r="BA795" s="2"/>
      <c r="BB795" s="3">
        <v>3097</v>
      </c>
      <c r="BC795" s="3">
        <v>3099</v>
      </c>
      <c r="BD795" s="2"/>
      <c r="BE795" s="1" t="s">
        <v>6599</v>
      </c>
      <c r="BF795" s="4">
        <f>HYPERLINK("http://dx.doi.org/10.1016/j.tetlet.2014.03.136","http://dx.doi.org/10.1016/j.tetlet.2014.03.136")</f>
      </c>
      <c r="BG795" s="1"/>
      <c r="BH795" s="1"/>
      <c r="BI795" s="1"/>
      <c r="BJ795" s="1"/>
      <c r="BK795" s="1"/>
      <c r="BL795" s="1"/>
      <c r="BM795" s="1"/>
      <c r="BN795" s="2"/>
      <c r="BO795" s="1"/>
      <c r="BP795" s="1"/>
      <c r="BQ795" s="1"/>
      <c r="BR795" s="1"/>
      <c r="BS795" s="1" t="s">
        <v>6600</v>
      </c>
      <c r="BT795" s="5">
        <f>HYPERLINK("https%3A%2F%2Fwww.webofscience.com%2Fwos%2Fwoscc%2Ffull-record%2FWOS:000336115000022","View Full Record in Web of Science")</f>
      </c>
    </row>
    <row x14ac:dyDescent="0.25" r="796" customHeight="1" ht="12.75">
      <c r="A796" s="1" t="s">
        <v>303</v>
      </c>
      <c r="B796" s="1" t="s">
        <v>6601</v>
      </c>
      <c r="C796" s="1"/>
      <c r="D796" s="1" t="s">
        <v>6602</v>
      </c>
      <c r="E796" s="1"/>
      <c r="F796" s="1" t="s">
        <v>6603</v>
      </c>
      <c r="G796" s="1"/>
      <c r="H796" s="1"/>
      <c r="I796" s="1" t="s">
        <v>6604</v>
      </c>
      <c r="J796" s="1" t="s">
        <v>6605</v>
      </c>
      <c r="K796" s="1" t="s">
        <v>6606</v>
      </c>
      <c r="L796" s="1"/>
      <c r="M796" s="1"/>
      <c r="N796" s="1"/>
      <c r="O796" s="1" t="s">
        <v>6607</v>
      </c>
      <c r="P796" s="2" t="s">
        <v>6608</v>
      </c>
      <c r="Q796" s="1" t="s">
        <v>6609</v>
      </c>
      <c r="R796" s="1" t="s">
        <v>6610</v>
      </c>
      <c r="S796" s="1"/>
      <c r="T796" s="1"/>
      <c r="U796" s="1"/>
      <c r="V796" s="1" t="s">
        <v>6611</v>
      </c>
      <c r="W796" s="1"/>
      <c r="X796" s="1"/>
      <c r="Y796" s="1"/>
      <c r="Z796" s="1"/>
      <c r="AA796" s="1" t="s">
        <v>6612</v>
      </c>
      <c r="AB796" s="1"/>
      <c r="AC796" s="1"/>
      <c r="AD796" s="1"/>
      <c r="AE796" s="1"/>
      <c r="AF796" s="1"/>
      <c r="AG796" s="1"/>
      <c r="AH796" s="1"/>
      <c r="AI796" s="1"/>
      <c r="AJ796" s="1"/>
      <c r="AK796" s="1"/>
      <c r="AL796" s="1"/>
      <c r="AM796" s="1"/>
      <c r="AN796" s="1"/>
      <c r="AO796" s="1" t="s">
        <v>6613</v>
      </c>
      <c r="AP796" s="1"/>
      <c r="AQ796" s="1" t="s">
        <v>6614</v>
      </c>
      <c r="AR796" s="1"/>
      <c r="AS796" s="1"/>
      <c r="AT796" s="1"/>
      <c r="AU796" s="3">
        <v>2014</v>
      </c>
      <c r="AV796" s="3">
        <v>1018</v>
      </c>
      <c r="AW796" s="2"/>
      <c r="AX796" s="2"/>
      <c r="AY796" s="2"/>
      <c r="AZ796" s="1"/>
      <c r="BA796" s="2"/>
      <c r="BB796" s="3">
        <v>109</v>
      </c>
      <c r="BC796" s="3">
        <v>114</v>
      </c>
      <c r="BD796" s="2"/>
      <c r="BE796" s="1"/>
      <c r="BF796" s="1"/>
      <c r="BG796" s="1"/>
      <c r="BH796" s="1"/>
      <c r="BI796" s="1"/>
      <c r="BJ796" s="1"/>
      <c r="BK796" s="1"/>
      <c r="BL796" s="1"/>
      <c r="BM796" s="1"/>
      <c r="BN796" s="2"/>
      <c r="BO796" s="1"/>
      <c r="BP796" s="1"/>
      <c r="BQ796" s="1"/>
      <c r="BR796" s="1"/>
      <c r="BS796" s="1" t="s">
        <v>6615</v>
      </c>
      <c r="BT796" s="5">
        <f>HYPERLINK("https%3A%2F%2Fwww.webofscience.com%2Fwos%2Fwoscc%2Ffull-record%2FWOS:000343858400008","View Full Record in Web of Science")</f>
      </c>
    </row>
    <row x14ac:dyDescent="0.25" r="797" customHeight="1" ht="12.75">
      <c r="A797" s="1" t="s">
        <v>72</v>
      </c>
      <c r="B797" s="1" t="s">
        <v>6616</v>
      </c>
      <c r="C797" s="1"/>
      <c r="D797" s="1"/>
      <c r="E797" s="1"/>
      <c r="F797" s="1" t="s">
        <v>6617</v>
      </c>
      <c r="G797" s="1"/>
      <c r="H797" s="1"/>
      <c r="I797" s="1" t="s">
        <v>6618</v>
      </c>
      <c r="J797" s="1" t="s">
        <v>5756</v>
      </c>
      <c r="K797" s="1"/>
      <c r="L797" s="1"/>
      <c r="M797" s="1"/>
      <c r="N797" s="1"/>
      <c r="O797" s="1"/>
      <c r="P797" s="2"/>
      <c r="Q797" s="1"/>
      <c r="R797" s="1"/>
      <c r="S797" s="1"/>
      <c r="T797" s="1"/>
      <c r="U797" s="1"/>
      <c r="V797" s="1" t="s">
        <v>6619</v>
      </c>
      <c r="W797" s="1"/>
      <c r="X797" s="1"/>
      <c r="Y797" s="1"/>
      <c r="Z797" s="1"/>
      <c r="AA797" s="1" t="s">
        <v>6620</v>
      </c>
      <c r="AB797" s="1"/>
      <c r="AC797" s="1"/>
      <c r="AD797" s="1"/>
      <c r="AE797" s="1"/>
      <c r="AF797" s="1"/>
      <c r="AG797" s="1"/>
      <c r="AH797" s="1"/>
      <c r="AI797" s="1"/>
      <c r="AJ797" s="1"/>
      <c r="AK797" s="1"/>
      <c r="AL797" s="1"/>
      <c r="AM797" s="1"/>
      <c r="AN797" s="1"/>
      <c r="AO797" s="1" t="s">
        <v>5759</v>
      </c>
      <c r="AP797" s="1"/>
      <c r="AQ797" s="1"/>
      <c r="AR797" s="1"/>
      <c r="AS797" s="1"/>
      <c r="AT797" s="1" t="s">
        <v>126</v>
      </c>
      <c r="AU797" s="3">
        <v>2013</v>
      </c>
      <c r="AV797" s="3">
        <v>6</v>
      </c>
      <c r="AW797" s="3">
        <v>7</v>
      </c>
      <c r="AX797" s="2"/>
      <c r="AY797" s="2"/>
      <c r="AZ797" s="1"/>
      <c r="BA797" s="2"/>
      <c r="BB797" s="3">
        <v>1873</v>
      </c>
      <c r="BC797" s="3">
        <v>1877</v>
      </c>
      <c r="BD797" s="2"/>
      <c r="BE797" s="1" t="s">
        <v>6621</v>
      </c>
      <c r="BF797" s="4">
        <f>HYPERLINK("http://dx.doi.org/10.1007/s11947-011-0698-0","http://dx.doi.org/10.1007/s11947-011-0698-0")</f>
      </c>
      <c r="BG797" s="1"/>
      <c r="BH797" s="1"/>
      <c r="BI797" s="1"/>
      <c r="BJ797" s="1"/>
      <c r="BK797" s="1"/>
      <c r="BL797" s="1"/>
      <c r="BM797" s="1"/>
      <c r="BN797" s="2"/>
      <c r="BO797" s="1"/>
      <c r="BP797" s="1"/>
      <c r="BQ797" s="1"/>
      <c r="BR797" s="1"/>
      <c r="BS797" s="1" t="s">
        <v>6622</v>
      </c>
      <c r="BT797" s="5">
        <f>HYPERLINK("https%3A%2F%2Fwww.webofscience.com%2Fwos%2Fwoscc%2Ffull-record%2FWOS:000320695700026","View Full Record in Web of Science")</f>
      </c>
    </row>
    <row x14ac:dyDescent="0.25" r="798" customHeight="1" ht="12.75">
      <c r="A798" s="1" t="s">
        <v>72</v>
      </c>
      <c r="B798" s="1" t="s">
        <v>6623</v>
      </c>
      <c r="C798" s="1"/>
      <c r="D798" s="1"/>
      <c r="E798" s="1"/>
      <c r="F798" s="1" t="s">
        <v>6624</v>
      </c>
      <c r="G798" s="1"/>
      <c r="H798" s="1"/>
      <c r="I798" s="1" t="s">
        <v>6625</v>
      </c>
      <c r="J798" s="1" t="s">
        <v>1548</v>
      </c>
      <c r="K798" s="1"/>
      <c r="L798" s="1"/>
      <c r="M798" s="1"/>
      <c r="N798" s="1"/>
      <c r="O798" s="1"/>
      <c r="P798" s="2"/>
      <c r="Q798" s="1"/>
      <c r="R798" s="1"/>
      <c r="S798" s="1"/>
      <c r="T798" s="1"/>
      <c r="U798" s="1"/>
      <c r="V798" s="1" t="s">
        <v>6626</v>
      </c>
      <c r="W798" s="1"/>
      <c r="X798" s="1"/>
      <c r="Y798" s="1"/>
      <c r="Z798" s="1"/>
      <c r="AA798" s="1" t="s">
        <v>6627</v>
      </c>
      <c r="AB798" s="1" t="s">
        <v>6628</v>
      </c>
      <c r="AC798" s="1"/>
      <c r="AD798" s="1"/>
      <c r="AE798" s="1"/>
      <c r="AF798" s="1"/>
      <c r="AG798" s="1"/>
      <c r="AH798" s="1"/>
      <c r="AI798" s="1"/>
      <c r="AJ798" s="1"/>
      <c r="AK798" s="1"/>
      <c r="AL798" s="1"/>
      <c r="AM798" s="1"/>
      <c r="AN798" s="1"/>
      <c r="AO798" s="1" t="s">
        <v>6629</v>
      </c>
      <c r="AP798" s="1" t="s">
        <v>6630</v>
      </c>
      <c r="AQ798" s="1"/>
      <c r="AR798" s="1"/>
      <c r="AS798" s="1"/>
      <c r="AT798" s="1" t="s">
        <v>6631</v>
      </c>
      <c r="AU798" s="3">
        <v>2013</v>
      </c>
      <c r="AV798" s="3">
        <v>87</v>
      </c>
      <c r="AW798" s="3">
        <v>1</v>
      </c>
      <c r="AX798" s="2"/>
      <c r="AY798" s="2"/>
      <c r="AZ798" s="1"/>
      <c r="BA798" s="2"/>
      <c r="BB798" s="2"/>
      <c r="BC798" s="2"/>
      <c r="BD798" s="3">
        <v>14201</v>
      </c>
      <c r="BE798" s="1" t="s">
        <v>6632</v>
      </c>
      <c r="BF798" s="4">
        <f>HYPERLINK("http://dx.doi.org/10.1103/PhysRevE.87.014201","http://dx.doi.org/10.1103/PhysRevE.87.014201")</f>
      </c>
      <c r="BG798" s="1"/>
      <c r="BH798" s="1"/>
      <c r="BI798" s="1"/>
      <c r="BJ798" s="1"/>
      <c r="BK798" s="1"/>
      <c r="BL798" s="1"/>
      <c r="BM798" s="1"/>
      <c r="BN798" s="3">
        <v>23410471</v>
      </c>
      <c r="BO798" s="1"/>
      <c r="BP798" s="1"/>
      <c r="BQ798" s="1"/>
      <c r="BR798" s="1"/>
      <c r="BS798" s="1" t="s">
        <v>6633</v>
      </c>
      <c r="BT798" s="5">
        <f>HYPERLINK("https%3A%2F%2Fwww.webofscience.com%2Fwos%2Fwoscc%2Ffull-record%2FWOS:000314152300016","View Full Record in Web of Science")</f>
      </c>
    </row>
    <row x14ac:dyDescent="0.25" r="799" customHeight="1" ht="12.75">
      <c r="A799" s="1" t="s">
        <v>303</v>
      </c>
      <c r="B799" s="1" t="s">
        <v>6634</v>
      </c>
      <c r="C799" s="1"/>
      <c r="D799" s="1" t="s">
        <v>6635</v>
      </c>
      <c r="E799" s="1"/>
      <c r="F799" s="1" t="s">
        <v>6636</v>
      </c>
      <c r="G799" s="1"/>
      <c r="H799" s="1"/>
      <c r="I799" s="1" t="s">
        <v>6637</v>
      </c>
      <c r="J799" s="1" t="s">
        <v>6638</v>
      </c>
      <c r="K799" s="1" t="s">
        <v>5864</v>
      </c>
      <c r="L799" s="1"/>
      <c r="M799" s="1"/>
      <c r="N799" s="1"/>
      <c r="O799" s="1" t="s">
        <v>6639</v>
      </c>
      <c r="P799" s="2" t="s">
        <v>6640</v>
      </c>
      <c r="Q799" s="1" t="s">
        <v>6641</v>
      </c>
      <c r="R799" s="1" t="s">
        <v>6642</v>
      </c>
      <c r="S799" s="1"/>
      <c r="T799" s="1"/>
      <c r="U799" s="1"/>
      <c r="V799" s="1" t="s">
        <v>6643</v>
      </c>
      <c r="W799" s="1"/>
      <c r="X799" s="1"/>
      <c r="Y799" s="1"/>
      <c r="Z799" s="1"/>
      <c r="AA799" s="1" t="s">
        <v>5855</v>
      </c>
      <c r="AB799" s="1"/>
      <c r="AC799" s="1"/>
      <c r="AD799" s="1"/>
      <c r="AE799" s="1"/>
      <c r="AF799" s="1"/>
      <c r="AG799" s="1"/>
      <c r="AH799" s="1"/>
      <c r="AI799" s="1"/>
      <c r="AJ799" s="1"/>
      <c r="AK799" s="1"/>
      <c r="AL799" s="1"/>
      <c r="AM799" s="1"/>
      <c r="AN799" s="1"/>
      <c r="AO799" s="1" t="s">
        <v>5872</v>
      </c>
      <c r="AP799" s="1"/>
      <c r="AQ799" s="1"/>
      <c r="AR799" s="1"/>
      <c r="AS799" s="1"/>
      <c r="AT799" s="1"/>
      <c r="AU799" s="3">
        <v>2013</v>
      </c>
      <c r="AV799" s="3">
        <v>17</v>
      </c>
      <c r="AW799" s="2"/>
      <c r="AX799" s="2"/>
      <c r="AY799" s="2"/>
      <c r="AZ799" s="1"/>
      <c r="BA799" s="2"/>
      <c r="BB799" s="3">
        <v>403</v>
      </c>
      <c r="BC799" s="3">
        <v>411</v>
      </c>
      <c r="BD799" s="2"/>
      <c r="BE799" s="1" t="s">
        <v>6644</v>
      </c>
      <c r="BF799" s="4">
        <f>HYPERLINK("http://dx.doi.org/10.1016/j.procs.2013.05.052","http://dx.doi.org/10.1016/j.procs.2013.05.052")</f>
      </c>
      <c r="BG799" s="1"/>
      <c r="BH799" s="1"/>
      <c r="BI799" s="1"/>
      <c r="BJ799" s="1"/>
      <c r="BK799" s="1"/>
      <c r="BL799" s="1"/>
      <c r="BM799" s="1"/>
      <c r="BN799" s="2"/>
      <c r="BO799" s="1"/>
      <c r="BP799" s="1"/>
      <c r="BQ799" s="1"/>
      <c r="BR799" s="1"/>
      <c r="BS799" s="1" t="s">
        <v>6645</v>
      </c>
      <c r="BT799" s="5">
        <f>HYPERLINK("https%3A%2F%2Fwww.webofscience.com%2Fwos%2Fwoscc%2Ffull-record%2FWOS:000339094400052","View Full Record in Web of Science")</f>
      </c>
    </row>
    <row x14ac:dyDescent="0.25" r="800" customHeight="1" ht="12.75">
      <c r="A800" s="1" t="s">
        <v>72</v>
      </c>
      <c r="B800" s="1" t="s">
        <v>6646</v>
      </c>
      <c r="C800" s="1"/>
      <c r="D800" s="1"/>
      <c r="E800" s="1"/>
      <c r="F800" s="1" t="s">
        <v>6647</v>
      </c>
      <c r="G800" s="1"/>
      <c r="H800" s="1"/>
      <c r="I800" s="1" t="s">
        <v>6648</v>
      </c>
      <c r="J800" s="1" t="s">
        <v>6649</v>
      </c>
      <c r="K800" s="1"/>
      <c r="L800" s="1"/>
      <c r="M800" s="1"/>
      <c r="N800" s="1"/>
      <c r="O800" s="1"/>
      <c r="P800" s="2"/>
      <c r="Q800" s="1"/>
      <c r="R800" s="1"/>
      <c r="S800" s="1"/>
      <c r="T800" s="1"/>
      <c r="U800" s="1"/>
      <c r="V800" s="1" t="s">
        <v>6650</v>
      </c>
      <c r="W800" s="1"/>
      <c r="X800" s="1"/>
      <c r="Y800" s="1"/>
      <c r="Z800" s="1"/>
      <c r="AA800" s="1" t="s">
        <v>6651</v>
      </c>
      <c r="AB800" s="1"/>
      <c r="AC800" s="1"/>
      <c r="AD800" s="1"/>
      <c r="AE800" s="1"/>
      <c r="AF800" s="1"/>
      <c r="AG800" s="1"/>
      <c r="AH800" s="1"/>
      <c r="AI800" s="1"/>
      <c r="AJ800" s="1"/>
      <c r="AK800" s="1"/>
      <c r="AL800" s="1"/>
      <c r="AM800" s="1"/>
      <c r="AN800" s="1"/>
      <c r="AO800" s="1" t="s">
        <v>6652</v>
      </c>
      <c r="AP800" s="1" t="s">
        <v>6653</v>
      </c>
      <c r="AQ800" s="1"/>
      <c r="AR800" s="1"/>
      <c r="AS800" s="1"/>
      <c r="AT800" s="1" t="s">
        <v>204</v>
      </c>
      <c r="AU800" s="3">
        <v>2012</v>
      </c>
      <c r="AV800" s="2"/>
      <c r="AW800" s="3">
        <v>108</v>
      </c>
      <c r="AX800" s="2"/>
      <c r="AY800" s="2"/>
      <c r="AZ800" s="1"/>
      <c r="BA800" s="2"/>
      <c r="BB800" s="3">
        <v>27</v>
      </c>
      <c r="BC800" s="3">
        <v>48</v>
      </c>
      <c r="BD800" s="2"/>
      <c r="BE800" s="1"/>
      <c r="BF800" s="1"/>
      <c r="BG800" s="1"/>
      <c r="BH800" s="1"/>
      <c r="BI800" s="1"/>
      <c r="BJ800" s="1"/>
      <c r="BK800" s="1"/>
      <c r="BL800" s="1"/>
      <c r="BM800" s="1"/>
      <c r="BN800" s="2"/>
      <c r="BO800" s="1"/>
      <c r="BP800" s="1"/>
      <c r="BQ800" s="1"/>
      <c r="BR800" s="1"/>
      <c r="BS800" s="1" t="s">
        <v>6654</v>
      </c>
      <c r="BT800" s="5">
        <f>HYPERLINK("https%3A%2F%2Fwww.webofscience.com%2Fwos%2Fwoscc%2Ffull-record%2FWOS:000317538700002","View Full Record in Web of Science")</f>
      </c>
    </row>
    <row x14ac:dyDescent="0.25" r="801" customHeight="1" ht="12.75">
      <c r="A801" s="1" t="s">
        <v>72</v>
      </c>
      <c r="B801" s="1" t="s">
        <v>759</v>
      </c>
      <c r="C801" s="1"/>
      <c r="D801" s="1"/>
      <c r="E801" s="1"/>
      <c r="F801" s="1" t="s">
        <v>6655</v>
      </c>
      <c r="G801" s="1"/>
      <c r="H801" s="1"/>
      <c r="I801" s="1" t="s">
        <v>6656</v>
      </c>
      <c r="J801" s="1" t="s">
        <v>6657</v>
      </c>
      <c r="K801" s="1"/>
      <c r="L801" s="1"/>
      <c r="M801" s="1"/>
      <c r="N801" s="1"/>
      <c r="O801" s="1"/>
      <c r="P801" s="2"/>
      <c r="Q801" s="1"/>
      <c r="R801" s="1"/>
      <c r="S801" s="1"/>
      <c r="T801" s="1"/>
      <c r="U801" s="1"/>
      <c r="V801" s="1" t="s">
        <v>6658</v>
      </c>
      <c r="W801" s="1"/>
      <c r="X801" s="1"/>
      <c r="Y801" s="1"/>
      <c r="Z801" s="1"/>
      <c r="AA801" s="1"/>
      <c r="AB801" s="1"/>
      <c r="AC801" s="1"/>
      <c r="AD801" s="1"/>
      <c r="AE801" s="1"/>
      <c r="AF801" s="1"/>
      <c r="AG801" s="1"/>
      <c r="AH801" s="1"/>
      <c r="AI801" s="1"/>
      <c r="AJ801" s="1"/>
      <c r="AK801" s="1"/>
      <c r="AL801" s="1"/>
      <c r="AM801" s="1"/>
      <c r="AN801" s="1"/>
      <c r="AO801" s="1" t="s">
        <v>6659</v>
      </c>
      <c r="AP801" s="1"/>
      <c r="AQ801" s="1"/>
      <c r="AR801" s="1"/>
      <c r="AS801" s="1"/>
      <c r="AT801" s="1" t="s">
        <v>757</v>
      </c>
      <c r="AU801" s="3">
        <v>2012</v>
      </c>
      <c r="AV801" s="3">
        <v>33</v>
      </c>
      <c r="AW801" s="3">
        <v>3</v>
      </c>
      <c r="AX801" s="2"/>
      <c r="AY801" s="2"/>
      <c r="AZ801" s="1"/>
      <c r="BA801" s="2"/>
      <c r="BB801" s="3">
        <v>701</v>
      </c>
      <c r="BC801" s="3">
        <v>702</v>
      </c>
      <c r="BD801" s="2"/>
      <c r="BE801" s="1" t="s">
        <v>6660</v>
      </c>
      <c r="BF801" s="4">
        <f>HYPERLINK("http://dx.doi.org/10.1007/s10072-011-0820-0","http://dx.doi.org/10.1007/s10072-011-0820-0")</f>
      </c>
      <c r="BG801" s="1"/>
      <c r="BH801" s="1"/>
      <c r="BI801" s="1"/>
      <c r="BJ801" s="1"/>
      <c r="BK801" s="1"/>
      <c r="BL801" s="1"/>
      <c r="BM801" s="1"/>
      <c r="BN801" s="3">
        <v>22005947</v>
      </c>
      <c r="BO801" s="1"/>
      <c r="BP801" s="1"/>
      <c r="BQ801" s="1"/>
      <c r="BR801" s="1"/>
      <c r="BS801" s="1" t="s">
        <v>6661</v>
      </c>
      <c r="BT801" s="5">
        <f>HYPERLINK("https%3A%2F%2Fwww.webofscience.com%2Fwos%2Fwoscc%2Ffull-record%2FWOS:000304241700035","View Full Record in Web of Science")</f>
      </c>
    </row>
    <row x14ac:dyDescent="0.25" r="802" customHeight="1" ht="12.75">
      <c r="A802" s="1" t="s">
        <v>72</v>
      </c>
      <c r="B802" s="1" t="s">
        <v>6662</v>
      </c>
      <c r="C802" s="1"/>
      <c r="D802" s="1"/>
      <c r="E802" s="1"/>
      <c r="F802" s="1" t="s">
        <v>6663</v>
      </c>
      <c r="G802" s="1"/>
      <c r="H802" s="1"/>
      <c r="I802" s="1" t="s">
        <v>6664</v>
      </c>
      <c r="J802" s="1" t="s">
        <v>6665</v>
      </c>
      <c r="K802" s="1"/>
      <c r="L802" s="1"/>
      <c r="M802" s="1"/>
      <c r="N802" s="1"/>
      <c r="O802" s="1"/>
      <c r="P802" s="2"/>
      <c r="Q802" s="1"/>
      <c r="R802" s="1"/>
      <c r="S802" s="1"/>
      <c r="T802" s="1"/>
      <c r="U802" s="1"/>
      <c r="V802" s="1" t="s">
        <v>6666</v>
      </c>
      <c r="W802" s="1"/>
      <c r="X802" s="1"/>
      <c r="Y802" s="1"/>
      <c r="Z802" s="1"/>
      <c r="AA802" s="1" t="s">
        <v>6667</v>
      </c>
      <c r="AB802" s="1" t="s">
        <v>6668</v>
      </c>
      <c r="AC802" s="1"/>
      <c r="AD802" s="1"/>
      <c r="AE802" s="1"/>
      <c r="AF802" s="1"/>
      <c r="AG802" s="1"/>
      <c r="AH802" s="1"/>
      <c r="AI802" s="1"/>
      <c r="AJ802" s="1"/>
      <c r="AK802" s="1"/>
      <c r="AL802" s="1"/>
      <c r="AM802" s="1"/>
      <c r="AN802" s="1"/>
      <c r="AO802" s="1" t="s">
        <v>6669</v>
      </c>
      <c r="AP802" s="1" t="s">
        <v>6670</v>
      </c>
      <c r="AQ802" s="1"/>
      <c r="AR802" s="1"/>
      <c r="AS802" s="1"/>
      <c r="AT802" s="1" t="s">
        <v>464</v>
      </c>
      <c r="AU802" s="3">
        <v>2012</v>
      </c>
      <c r="AV802" s="3">
        <v>43</v>
      </c>
      <c r="AW802" s="3">
        <v>2</v>
      </c>
      <c r="AX802" s="2"/>
      <c r="AY802" s="2"/>
      <c r="AZ802" s="1"/>
      <c r="BA802" s="2"/>
      <c r="BB802" s="3">
        <v>482</v>
      </c>
      <c r="BC802" s="3">
        <v>489</v>
      </c>
      <c r="BD802" s="2"/>
      <c r="BE802" s="1" t="s">
        <v>6671</v>
      </c>
      <c r="BF802" s="4">
        <f>HYPERLINK("http://dx.doi.org/10.1590/S1517-83822012000200008","http://dx.doi.org/10.1590/S1517-83822012000200008")</f>
      </c>
      <c r="BG802" s="1"/>
      <c r="BH802" s="1"/>
      <c r="BI802" s="1"/>
      <c r="BJ802" s="1"/>
      <c r="BK802" s="1"/>
      <c r="BL802" s="1"/>
      <c r="BM802" s="1"/>
      <c r="BN802" s="3">
        <v>24031855</v>
      </c>
      <c r="BO802" s="1"/>
      <c r="BP802" s="1"/>
      <c r="BQ802" s="1"/>
      <c r="BR802" s="1"/>
      <c r="BS802" s="1" t="s">
        <v>6672</v>
      </c>
      <c r="BT802" s="5">
        <f>HYPERLINK("https%3A%2F%2Fwww.webofscience.com%2Fwos%2Fwoscc%2Ffull-record%2FWOS:000307438100008","View Full Record in Web of Science")</f>
      </c>
    </row>
    <row x14ac:dyDescent="0.25" r="803" customHeight="1" ht="12.75">
      <c r="A803" s="1" t="s">
        <v>303</v>
      </c>
      <c r="B803" s="1" t="s">
        <v>6673</v>
      </c>
      <c r="C803" s="1"/>
      <c r="D803" s="1"/>
      <c r="E803" s="1" t="s">
        <v>571</v>
      </c>
      <c r="F803" s="1" t="s">
        <v>6674</v>
      </c>
      <c r="G803" s="1"/>
      <c r="H803" s="1"/>
      <c r="I803" s="1" t="s">
        <v>6675</v>
      </c>
      <c r="J803" s="1" t="s">
        <v>611</v>
      </c>
      <c r="K803" s="1"/>
      <c r="L803" s="1"/>
      <c r="M803" s="1"/>
      <c r="N803" s="1"/>
      <c r="O803" s="1" t="s">
        <v>612</v>
      </c>
      <c r="P803" s="2" t="s">
        <v>613</v>
      </c>
      <c r="Q803" s="1" t="s">
        <v>614</v>
      </c>
      <c r="R803" s="1" t="s">
        <v>615</v>
      </c>
      <c r="S803" s="1"/>
      <c r="T803" s="1"/>
      <c r="U803" s="1"/>
      <c r="V803" s="1" t="s">
        <v>6676</v>
      </c>
      <c r="W803" s="1"/>
      <c r="X803" s="1"/>
      <c r="Y803" s="1"/>
      <c r="Z803" s="1"/>
      <c r="AA803" s="1"/>
      <c r="AB803" s="1"/>
      <c r="AC803" s="1"/>
      <c r="AD803" s="1"/>
      <c r="AE803" s="1"/>
      <c r="AF803" s="1"/>
      <c r="AG803" s="1"/>
      <c r="AH803" s="1"/>
      <c r="AI803" s="1"/>
      <c r="AJ803" s="1"/>
      <c r="AK803" s="1"/>
      <c r="AL803" s="1"/>
      <c r="AM803" s="1"/>
      <c r="AN803" s="1"/>
      <c r="AO803" s="1"/>
      <c r="AP803" s="1"/>
      <c r="AQ803" s="1" t="s">
        <v>617</v>
      </c>
      <c r="AR803" s="1"/>
      <c r="AS803" s="1"/>
      <c r="AT803" s="1"/>
      <c r="AU803" s="3">
        <v>2012</v>
      </c>
      <c r="AV803" s="2"/>
      <c r="AW803" s="2"/>
      <c r="AX803" s="2"/>
      <c r="AY803" s="2"/>
      <c r="AZ803" s="1"/>
      <c r="BA803" s="2"/>
      <c r="BB803" s="3">
        <v>217</v>
      </c>
      <c r="BC803" s="3">
        <v>222</v>
      </c>
      <c r="BD803" s="2"/>
      <c r="BE803" s="1"/>
      <c r="BF803" s="1"/>
      <c r="BG803" s="1"/>
      <c r="BH803" s="1"/>
      <c r="BI803" s="1"/>
      <c r="BJ803" s="1"/>
      <c r="BK803" s="1"/>
      <c r="BL803" s="1"/>
      <c r="BM803" s="1"/>
      <c r="BN803" s="2"/>
      <c r="BO803" s="1"/>
      <c r="BP803" s="1"/>
      <c r="BQ803" s="1"/>
      <c r="BR803" s="1"/>
      <c r="BS803" s="1" t="s">
        <v>6677</v>
      </c>
      <c r="BT803" s="5">
        <f>HYPERLINK("https%3A%2F%2Fwww.webofscience.com%2Fwos%2Fwoscc%2Ffull-record%2FWOS:000324959400027","View Full Record in Web of Science")</f>
      </c>
    </row>
    <row x14ac:dyDescent="0.25" r="804" customHeight="1" ht="12.75">
      <c r="A804" s="1" t="s">
        <v>72</v>
      </c>
      <c r="B804" s="1" t="s">
        <v>6678</v>
      </c>
      <c r="C804" s="1"/>
      <c r="D804" s="1"/>
      <c r="E804" s="1"/>
      <c r="F804" s="1" t="s">
        <v>6679</v>
      </c>
      <c r="G804" s="1"/>
      <c r="H804" s="1"/>
      <c r="I804" s="1" t="s">
        <v>6680</v>
      </c>
      <c r="J804" s="1" t="s">
        <v>534</v>
      </c>
      <c r="K804" s="1"/>
      <c r="L804" s="1"/>
      <c r="M804" s="1"/>
      <c r="N804" s="1"/>
      <c r="O804" s="1"/>
      <c r="P804" s="2"/>
      <c r="Q804" s="1"/>
      <c r="R804" s="1"/>
      <c r="S804" s="1"/>
      <c r="T804" s="1"/>
      <c r="U804" s="1"/>
      <c r="V804" s="1" t="s">
        <v>6681</v>
      </c>
      <c r="W804" s="1"/>
      <c r="X804" s="1"/>
      <c r="Y804" s="1"/>
      <c r="Z804" s="1"/>
      <c r="AA804" s="1"/>
      <c r="AB804" s="1"/>
      <c r="AC804" s="1"/>
      <c r="AD804" s="1"/>
      <c r="AE804" s="1"/>
      <c r="AF804" s="1"/>
      <c r="AG804" s="1"/>
      <c r="AH804" s="1"/>
      <c r="AI804" s="1"/>
      <c r="AJ804" s="1"/>
      <c r="AK804" s="1"/>
      <c r="AL804" s="1"/>
      <c r="AM804" s="1"/>
      <c r="AN804" s="1"/>
      <c r="AO804" s="1" t="s">
        <v>536</v>
      </c>
      <c r="AP804" s="1" t="s">
        <v>537</v>
      </c>
      <c r="AQ804" s="1"/>
      <c r="AR804" s="1"/>
      <c r="AS804" s="1"/>
      <c r="AT804" s="1" t="s">
        <v>158</v>
      </c>
      <c r="AU804" s="3">
        <v>2011</v>
      </c>
      <c r="AV804" s="3">
        <v>37</v>
      </c>
      <c r="AW804" s="3">
        <v>2</v>
      </c>
      <c r="AX804" s="2"/>
      <c r="AY804" s="2"/>
      <c r="AZ804" s="1"/>
      <c r="BA804" s="2"/>
      <c r="BB804" s="3">
        <v>176</v>
      </c>
      <c r="BC804" s="3">
        <v>195</v>
      </c>
      <c r="BD804" s="2"/>
      <c r="BE804" s="1"/>
      <c r="BF804" s="1"/>
      <c r="BG804" s="1"/>
      <c r="BH804" s="1"/>
      <c r="BI804" s="1"/>
      <c r="BJ804" s="1"/>
      <c r="BK804" s="1"/>
      <c r="BL804" s="1"/>
      <c r="BM804" s="1"/>
      <c r="BN804" s="2"/>
      <c r="BO804" s="1"/>
      <c r="BP804" s="1"/>
      <c r="BQ804" s="1"/>
      <c r="BR804" s="1"/>
      <c r="BS804" s="1" t="s">
        <v>6682</v>
      </c>
      <c r="BT804" s="5">
        <f>HYPERLINK("https%3A%2F%2Fwww.webofscience.com%2Fwos%2Fwoscc%2Ffull-record%2FWOS:000307746500001","View Full Record in Web of Science")</f>
      </c>
    </row>
    <row x14ac:dyDescent="0.25" r="805" customHeight="1" ht="12.75">
      <c r="A805" s="1" t="s">
        <v>72</v>
      </c>
      <c r="B805" s="1" t="s">
        <v>6683</v>
      </c>
      <c r="C805" s="1"/>
      <c r="D805" s="1"/>
      <c r="E805" s="1"/>
      <c r="F805" s="1" t="s">
        <v>6684</v>
      </c>
      <c r="G805" s="1"/>
      <c r="H805" s="1"/>
      <c r="I805" s="1" t="s">
        <v>6685</v>
      </c>
      <c r="J805" s="1" t="s">
        <v>6686</v>
      </c>
      <c r="K805" s="1"/>
      <c r="L805" s="1"/>
      <c r="M805" s="1"/>
      <c r="N805" s="1"/>
      <c r="O805" s="1"/>
      <c r="P805" s="2"/>
      <c r="Q805" s="1"/>
      <c r="R805" s="1"/>
      <c r="S805" s="1"/>
      <c r="T805" s="1"/>
      <c r="U805" s="1"/>
      <c r="V805" s="1" t="s">
        <v>6687</v>
      </c>
      <c r="W805" s="1"/>
      <c r="X805" s="1"/>
      <c r="Y805" s="1"/>
      <c r="Z805" s="1"/>
      <c r="AA805" s="1" t="s">
        <v>6688</v>
      </c>
      <c r="AB805" s="1" t="s">
        <v>6689</v>
      </c>
      <c r="AC805" s="1"/>
      <c r="AD805" s="1"/>
      <c r="AE805" s="1"/>
      <c r="AF805" s="1"/>
      <c r="AG805" s="1"/>
      <c r="AH805" s="1"/>
      <c r="AI805" s="1"/>
      <c r="AJ805" s="1"/>
      <c r="AK805" s="1"/>
      <c r="AL805" s="1"/>
      <c r="AM805" s="1"/>
      <c r="AN805" s="1"/>
      <c r="AO805" s="1" t="s">
        <v>6690</v>
      </c>
      <c r="AP805" s="1" t="s">
        <v>6691</v>
      </c>
      <c r="AQ805" s="1"/>
      <c r="AR805" s="1"/>
      <c r="AS805" s="1"/>
      <c r="AT805" s="1" t="s">
        <v>103</v>
      </c>
      <c r="AU805" s="3">
        <v>2011</v>
      </c>
      <c r="AV805" s="3">
        <v>963</v>
      </c>
      <c r="AW805" s="3">
        <v>1</v>
      </c>
      <c r="AX805" s="2"/>
      <c r="AY805" s="2"/>
      <c r="AZ805" s="1"/>
      <c r="BA805" s="2"/>
      <c r="BB805" s="3">
        <v>161</v>
      </c>
      <c r="BC805" s="3">
        <v>167</v>
      </c>
      <c r="BD805" s="2"/>
      <c r="BE805" s="1" t="s">
        <v>6692</v>
      </c>
      <c r="BF805" s="4">
        <f>HYPERLINK("http://dx.doi.org/10.1016/j.comptc.2010.10.015","http://dx.doi.org/10.1016/j.comptc.2010.10.015")</f>
      </c>
      <c r="BG805" s="1"/>
      <c r="BH805" s="1"/>
      <c r="BI805" s="1"/>
      <c r="BJ805" s="1"/>
      <c r="BK805" s="1"/>
      <c r="BL805" s="1"/>
      <c r="BM805" s="1"/>
      <c r="BN805" s="2"/>
      <c r="BO805" s="1"/>
      <c r="BP805" s="1"/>
      <c r="BQ805" s="1"/>
      <c r="BR805" s="1"/>
      <c r="BS805" s="1" t="s">
        <v>6693</v>
      </c>
      <c r="BT805" s="5">
        <f>HYPERLINK("https%3A%2F%2Fwww.webofscience.com%2Fwos%2Fwoscc%2Ffull-record%2FWOS:000289649100027","View Full Record in Web of Science")</f>
      </c>
    </row>
    <row x14ac:dyDescent="0.25" r="806" customHeight="1" ht="12.75">
      <c r="A806" s="1" t="s">
        <v>72</v>
      </c>
      <c r="B806" s="1" t="s">
        <v>6694</v>
      </c>
      <c r="C806" s="1"/>
      <c r="D806" s="1"/>
      <c r="E806" s="1"/>
      <c r="F806" s="1" t="s">
        <v>6695</v>
      </c>
      <c r="G806" s="1"/>
      <c r="H806" s="1"/>
      <c r="I806" s="1" t="s">
        <v>6696</v>
      </c>
      <c r="J806" s="1" t="s">
        <v>6697</v>
      </c>
      <c r="K806" s="1"/>
      <c r="L806" s="1"/>
      <c r="M806" s="1"/>
      <c r="N806" s="1"/>
      <c r="O806" s="1"/>
      <c r="P806" s="2"/>
      <c r="Q806" s="1"/>
      <c r="R806" s="1"/>
      <c r="S806" s="1"/>
      <c r="T806" s="1"/>
      <c r="U806" s="1"/>
      <c r="V806" s="1" t="s">
        <v>6698</v>
      </c>
      <c r="W806" s="1"/>
      <c r="X806" s="1"/>
      <c r="Y806" s="1"/>
      <c r="Z806" s="1"/>
      <c r="AA806" s="1" t="s">
        <v>6699</v>
      </c>
      <c r="AB806" s="1" t="s">
        <v>6700</v>
      </c>
      <c r="AC806" s="1"/>
      <c r="AD806" s="1"/>
      <c r="AE806" s="1"/>
      <c r="AF806" s="1"/>
      <c r="AG806" s="1"/>
      <c r="AH806" s="1"/>
      <c r="AI806" s="1"/>
      <c r="AJ806" s="1"/>
      <c r="AK806" s="1"/>
      <c r="AL806" s="1"/>
      <c r="AM806" s="1"/>
      <c r="AN806" s="1"/>
      <c r="AO806" s="1" t="s">
        <v>6701</v>
      </c>
      <c r="AP806" s="1" t="s">
        <v>6702</v>
      </c>
      <c r="AQ806" s="1"/>
      <c r="AR806" s="1"/>
      <c r="AS806" s="1"/>
      <c r="AT806" s="1"/>
      <c r="AU806" s="3">
        <v>2011</v>
      </c>
      <c r="AV806" s="2"/>
      <c r="AW806" s="2"/>
      <c r="AX806" s="3">
        <v>7</v>
      </c>
      <c r="AY806" s="2"/>
      <c r="AZ806" s="1"/>
      <c r="BA806" s="2"/>
      <c r="BB806" s="3">
        <v>272</v>
      </c>
      <c r="BC806" s="3">
        <v>282</v>
      </c>
      <c r="BD806" s="2"/>
      <c r="BE806" s="1" t="s">
        <v>6703</v>
      </c>
      <c r="BF806" s="4">
        <f>HYPERLINK("http://dx.doi.org/10.3998/ark.5550190.0012.723","http://dx.doi.org/10.3998/ark.5550190.0012.723")</f>
      </c>
      <c r="BG806" s="1"/>
      <c r="BH806" s="1"/>
      <c r="BI806" s="1"/>
      <c r="BJ806" s="1"/>
      <c r="BK806" s="1"/>
      <c r="BL806" s="1"/>
      <c r="BM806" s="1"/>
      <c r="BN806" s="2"/>
      <c r="BO806" s="1"/>
      <c r="BP806" s="1"/>
      <c r="BQ806" s="1"/>
      <c r="BR806" s="1"/>
      <c r="BS806" s="1" t="s">
        <v>6704</v>
      </c>
      <c r="BT806" s="5">
        <f>HYPERLINK("https%3A%2F%2Fwww.webofscience.com%2Fwos%2Fwoscc%2Ffull-record%2FWOS:000294801700023","View Full Record in Web of Science")</f>
      </c>
    </row>
    <row x14ac:dyDescent="0.25" r="807" customHeight="1" ht="12.75">
      <c r="A807" s="1" t="s">
        <v>303</v>
      </c>
      <c r="B807" s="1" t="s">
        <v>6705</v>
      </c>
      <c r="C807" s="1"/>
      <c r="D807" s="1" t="s">
        <v>6706</v>
      </c>
      <c r="E807" s="1"/>
      <c r="F807" s="1" t="s">
        <v>6707</v>
      </c>
      <c r="G807" s="1"/>
      <c r="H807" s="1"/>
      <c r="I807" s="1" t="s">
        <v>6708</v>
      </c>
      <c r="J807" s="1" t="s">
        <v>6709</v>
      </c>
      <c r="K807" s="1" t="s">
        <v>6710</v>
      </c>
      <c r="L807" s="1"/>
      <c r="M807" s="1"/>
      <c r="N807" s="1"/>
      <c r="O807" s="1" t="s">
        <v>6711</v>
      </c>
      <c r="P807" s="2" t="s">
        <v>6712</v>
      </c>
      <c r="Q807" s="1" t="s">
        <v>6713</v>
      </c>
      <c r="R807" s="1"/>
      <c r="S807" s="1"/>
      <c r="T807" s="1"/>
      <c r="U807" s="1"/>
      <c r="V807" s="1" t="s">
        <v>6714</v>
      </c>
      <c r="W807" s="1"/>
      <c r="X807" s="1"/>
      <c r="Y807" s="1"/>
      <c r="Z807" s="1"/>
      <c r="AA807" s="1" t="s">
        <v>5963</v>
      </c>
      <c r="AB807" s="1" t="s">
        <v>6715</v>
      </c>
      <c r="AC807" s="1"/>
      <c r="AD807" s="1"/>
      <c r="AE807" s="1"/>
      <c r="AF807" s="1"/>
      <c r="AG807" s="1"/>
      <c r="AH807" s="1"/>
      <c r="AI807" s="1"/>
      <c r="AJ807" s="1"/>
      <c r="AK807" s="1"/>
      <c r="AL807" s="1"/>
      <c r="AM807" s="1"/>
      <c r="AN807" s="1"/>
      <c r="AO807" s="1" t="s">
        <v>6716</v>
      </c>
      <c r="AP807" s="1"/>
      <c r="AQ807" s="1"/>
      <c r="AR807" s="1"/>
      <c r="AS807" s="1"/>
      <c r="AT807" s="1"/>
      <c r="AU807" s="3">
        <v>2011</v>
      </c>
      <c r="AV807" s="3">
        <v>1</v>
      </c>
      <c r="AW807" s="2"/>
      <c r="AX807" s="2"/>
      <c r="AY807" s="2"/>
      <c r="AZ807" s="1"/>
      <c r="BA807" s="2"/>
      <c r="BB807" s="3">
        <v>421</v>
      </c>
      <c r="BC807" s="3">
        <v>425</v>
      </c>
      <c r="BD807" s="2"/>
      <c r="BE807" s="1" t="s">
        <v>6717</v>
      </c>
      <c r="BF807" s="4">
        <f>HYPERLINK("http://dx.doi.org/10.1016/j.profoo.2011.09.065","http://dx.doi.org/10.1016/j.profoo.2011.09.065")</f>
      </c>
      <c r="BG807" s="1"/>
      <c r="BH807" s="1"/>
      <c r="BI807" s="1"/>
      <c r="BJ807" s="1"/>
      <c r="BK807" s="1"/>
      <c r="BL807" s="1"/>
      <c r="BM807" s="1"/>
      <c r="BN807" s="2"/>
      <c r="BO807" s="1"/>
      <c r="BP807" s="1"/>
      <c r="BQ807" s="1"/>
      <c r="BR807" s="1"/>
      <c r="BS807" s="1" t="s">
        <v>6718</v>
      </c>
      <c r="BT807" s="5">
        <f>HYPERLINK("https%3A%2F%2Fwww.webofscience.com%2Fwos%2Fwoscc%2Ffull-record%2FWOS:000314355500065","View Full Record in Web of Science")</f>
      </c>
    </row>
    <row x14ac:dyDescent="0.25" r="808" customHeight="1" ht="12.75">
      <c r="A808" s="1" t="s">
        <v>72</v>
      </c>
      <c r="B808" s="1" t="s">
        <v>6719</v>
      </c>
      <c r="C808" s="1"/>
      <c r="D808" s="1"/>
      <c r="E808" s="1"/>
      <c r="F808" s="1" t="s">
        <v>6720</v>
      </c>
      <c r="G808" s="1"/>
      <c r="H808" s="1"/>
      <c r="I808" s="1" t="s">
        <v>6721</v>
      </c>
      <c r="J808" s="1" t="s">
        <v>4997</v>
      </c>
      <c r="K808" s="1"/>
      <c r="L808" s="1"/>
      <c r="M808" s="1"/>
      <c r="N808" s="1"/>
      <c r="O808" s="1"/>
      <c r="P808" s="2"/>
      <c r="Q808" s="1"/>
      <c r="R808" s="1"/>
      <c r="S808" s="1"/>
      <c r="T808" s="1"/>
      <c r="U808" s="1"/>
      <c r="V808" s="1"/>
      <c r="W808" s="1"/>
      <c r="X808" s="1"/>
      <c r="Y808" s="1"/>
      <c r="Z808" s="1"/>
      <c r="AA808" s="1" t="s">
        <v>6722</v>
      </c>
      <c r="AB808" s="1"/>
      <c r="AC808" s="1"/>
      <c r="AD808" s="1"/>
      <c r="AE808" s="1"/>
      <c r="AF808" s="1"/>
      <c r="AG808" s="1"/>
      <c r="AH808" s="1"/>
      <c r="AI808" s="1"/>
      <c r="AJ808" s="1"/>
      <c r="AK808" s="1"/>
      <c r="AL808" s="1"/>
      <c r="AM808" s="1"/>
      <c r="AN808" s="1"/>
      <c r="AO808" s="1" t="s">
        <v>4999</v>
      </c>
      <c r="AP808" s="1"/>
      <c r="AQ808" s="1"/>
      <c r="AR808" s="1"/>
      <c r="AS808" s="1"/>
      <c r="AT808" s="1"/>
      <c r="AU808" s="3">
        <v>2011</v>
      </c>
      <c r="AV808" s="2"/>
      <c r="AW808" s="3">
        <v>42</v>
      </c>
      <c r="AX808" s="2"/>
      <c r="AY808" s="2"/>
      <c r="AZ808" s="1"/>
      <c r="BA808" s="2"/>
      <c r="BB808" s="3">
        <v>145</v>
      </c>
      <c r="BC808" s="3">
        <v>150</v>
      </c>
      <c r="BD808" s="2"/>
      <c r="BE808" s="1" t="s">
        <v>6723</v>
      </c>
      <c r="BF808" s="4">
        <f>HYPERLINK("http://dx.doi.org/10.4067/S0717-68482011000100010","http://dx.doi.org/10.4067/S0717-68482011000100010")</f>
      </c>
      <c r="BG808" s="1"/>
      <c r="BH808" s="1"/>
      <c r="BI808" s="1"/>
      <c r="BJ808" s="1"/>
      <c r="BK808" s="1"/>
      <c r="BL808" s="1"/>
      <c r="BM808" s="1"/>
      <c r="BN808" s="2"/>
      <c r="BO808" s="1"/>
      <c r="BP808" s="1"/>
      <c r="BQ808" s="1"/>
      <c r="BR808" s="1"/>
      <c r="BS808" s="1" t="s">
        <v>6724</v>
      </c>
      <c r="BT808" s="5">
        <f>HYPERLINK("https%3A%2F%2Fwww.webofscience.com%2Fwos%2Fwoscc%2Ffull-record%2FWOS:000294508100010","View Full Record in Web of Science")</f>
      </c>
    </row>
    <row x14ac:dyDescent="0.25" r="809" customHeight="1" ht="12.75">
      <c r="A809" s="1" t="s">
        <v>72</v>
      </c>
      <c r="B809" s="1" t="s">
        <v>6725</v>
      </c>
      <c r="C809" s="1"/>
      <c r="D809" s="1"/>
      <c r="E809" s="1"/>
      <c r="F809" s="1" t="s">
        <v>6726</v>
      </c>
      <c r="G809" s="1"/>
      <c r="H809" s="1"/>
      <c r="I809" s="1" t="s">
        <v>6727</v>
      </c>
      <c r="J809" s="1" t="s">
        <v>6728</v>
      </c>
      <c r="K809" s="1"/>
      <c r="L809" s="1"/>
      <c r="M809" s="1"/>
      <c r="N809" s="1"/>
      <c r="O809" s="1"/>
      <c r="P809" s="2"/>
      <c r="Q809" s="1"/>
      <c r="R809" s="1"/>
      <c r="S809" s="1"/>
      <c r="T809" s="1"/>
      <c r="U809" s="1"/>
      <c r="V809" s="1" t="s">
        <v>6729</v>
      </c>
      <c r="W809" s="1"/>
      <c r="X809" s="1"/>
      <c r="Y809" s="1"/>
      <c r="Z809" s="1"/>
      <c r="AA809" s="1"/>
      <c r="AB809" s="1"/>
      <c r="AC809" s="1"/>
      <c r="AD809" s="1"/>
      <c r="AE809" s="1"/>
      <c r="AF809" s="1"/>
      <c r="AG809" s="1"/>
      <c r="AH809" s="1"/>
      <c r="AI809" s="1"/>
      <c r="AJ809" s="1"/>
      <c r="AK809" s="1"/>
      <c r="AL809" s="1"/>
      <c r="AM809" s="1"/>
      <c r="AN809" s="1"/>
      <c r="AO809" s="1" t="s">
        <v>6730</v>
      </c>
      <c r="AP809" s="1" t="s">
        <v>6731</v>
      </c>
      <c r="AQ809" s="1"/>
      <c r="AR809" s="1"/>
      <c r="AS809" s="1"/>
      <c r="AT809" s="1" t="s">
        <v>757</v>
      </c>
      <c r="AU809" s="3">
        <v>2010</v>
      </c>
      <c r="AV809" s="3">
        <v>21</v>
      </c>
      <c r="AW809" s="3">
        <v>3</v>
      </c>
      <c r="AX809" s="2"/>
      <c r="AY809" s="2"/>
      <c r="AZ809" s="1"/>
      <c r="BA809" s="2"/>
      <c r="BB809" s="3">
        <v>573</v>
      </c>
      <c r="BC809" s="3">
        <v>581</v>
      </c>
      <c r="BD809" s="2"/>
      <c r="BE809" s="1" t="s">
        <v>6732</v>
      </c>
      <c r="BF809" s="4">
        <f>HYPERLINK("http://dx.doi.org/10.1007/s11224-010-9587-9","http://dx.doi.org/10.1007/s11224-010-9587-9")</f>
      </c>
      <c r="BG809" s="1"/>
      <c r="BH809" s="1"/>
      <c r="BI809" s="1"/>
      <c r="BJ809" s="1"/>
      <c r="BK809" s="1"/>
      <c r="BL809" s="1"/>
      <c r="BM809" s="1"/>
      <c r="BN809" s="2"/>
      <c r="BO809" s="1"/>
      <c r="BP809" s="1"/>
      <c r="BQ809" s="1"/>
      <c r="BR809" s="1"/>
      <c r="BS809" s="1" t="s">
        <v>6733</v>
      </c>
      <c r="BT809" s="5">
        <f>HYPERLINK("https%3A%2F%2Fwww.webofscience.com%2Fwos%2Fwoscc%2Ffull-record%2FWOS:000277377500013","View Full Record in Web of Science")</f>
      </c>
    </row>
    <row x14ac:dyDescent="0.25" r="810" customHeight="1" ht="12.75">
      <c r="A810" s="1" t="s">
        <v>72</v>
      </c>
      <c r="B810" s="1" t="s">
        <v>831</v>
      </c>
      <c r="C810" s="1"/>
      <c r="D810" s="1"/>
      <c r="E810" s="1"/>
      <c r="F810" s="1" t="s">
        <v>6734</v>
      </c>
      <c r="G810" s="1"/>
      <c r="H810" s="1"/>
      <c r="I810" s="1" t="s">
        <v>6735</v>
      </c>
      <c r="J810" s="1" t="s">
        <v>5780</v>
      </c>
      <c r="K810" s="1"/>
      <c r="L810" s="1"/>
      <c r="M810" s="1"/>
      <c r="N810" s="1"/>
      <c r="O810" s="1"/>
      <c r="P810" s="2"/>
      <c r="Q810" s="1"/>
      <c r="R810" s="1"/>
      <c r="S810" s="1"/>
      <c r="T810" s="1"/>
      <c r="U810" s="1"/>
      <c r="V810" s="1" t="s">
        <v>6736</v>
      </c>
      <c r="W810" s="1"/>
      <c r="X810" s="1"/>
      <c r="Y810" s="1"/>
      <c r="Z810" s="1"/>
      <c r="AA810" s="1" t="s">
        <v>835</v>
      </c>
      <c r="AB810" s="1"/>
      <c r="AC810" s="1"/>
      <c r="AD810" s="1"/>
      <c r="AE810" s="1"/>
      <c r="AF810" s="1"/>
      <c r="AG810" s="1"/>
      <c r="AH810" s="1"/>
      <c r="AI810" s="1"/>
      <c r="AJ810" s="1"/>
      <c r="AK810" s="1"/>
      <c r="AL810" s="1"/>
      <c r="AM810" s="1"/>
      <c r="AN810" s="1"/>
      <c r="AO810" s="1" t="s">
        <v>5784</v>
      </c>
      <c r="AP810" s="1" t="s">
        <v>5785</v>
      </c>
      <c r="AQ810" s="1"/>
      <c r="AR810" s="1"/>
      <c r="AS810" s="1"/>
      <c r="AT810" s="1" t="s">
        <v>6737</v>
      </c>
      <c r="AU810" s="3">
        <v>2010</v>
      </c>
      <c r="AV810" s="3">
        <v>104</v>
      </c>
      <c r="AW810" s="3">
        <v>11</v>
      </c>
      <c r="AX810" s="2"/>
      <c r="AY810" s="2"/>
      <c r="AZ810" s="1"/>
      <c r="BA810" s="2"/>
      <c r="BB810" s="2"/>
      <c r="BC810" s="2"/>
      <c r="BD810" s="3">
        <v>118001</v>
      </c>
      <c r="BE810" s="1" t="s">
        <v>6738</v>
      </c>
      <c r="BF810" s="4">
        <f>HYPERLINK("http://dx.doi.org/10.1103/PhysRevLett.104.118001","http://dx.doi.org/10.1103/PhysRevLett.104.118001")</f>
      </c>
      <c r="BG810" s="1"/>
      <c r="BH810" s="1"/>
      <c r="BI810" s="1"/>
      <c r="BJ810" s="1"/>
      <c r="BK810" s="1"/>
      <c r="BL810" s="1"/>
      <c r="BM810" s="1"/>
      <c r="BN810" s="3">
        <v>20366501</v>
      </c>
      <c r="BO810" s="1"/>
      <c r="BP810" s="1"/>
      <c r="BQ810" s="1"/>
      <c r="BR810" s="1"/>
      <c r="BS810" s="1" t="s">
        <v>6739</v>
      </c>
      <c r="BT810" s="5">
        <f>HYPERLINK("https%3A%2F%2Fwww.webofscience.com%2Fwos%2Fwoscc%2Ffull-record%2FWOS:000275802600043","View Full Record in Web of Science")</f>
      </c>
    </row>
    <row x14ac:dyDescent="0.25" r="811" customHeight="1" ht="12.75">
      <c r="A811" s="1" t="s">
        <v>72</v>
      </c>
      <c r="B811" s="1" t="s">
        <v>6740</v>
      </c>
      <c r="C811" s="1"/>
      <c r="D811" s="1"/>
      <c r="E811" s="1"/>
      <c r="F811" s="1" t="s">
        <v>6741</v>
      </c>
      <c r="G811" s="1"/>
      <c r="H811" s="1"/>
      <c r="I811" s="1" t="s">
        <v>6742</v>
      </c>
      <c r="J811" s="1" t="s">
        <v>3231</v>
      </c>
      <c r="K811" s="1"/>
      <c r="L811" s="1"/>
      <c r="M811" s="1"/>
      <c r="N811" s="1"/>
      <c r="O811" s="1" t="s">
        <v>6743</v>
      </c>
      <c r="P811" s="2" t="s">
        <v>6744</v>
      </c>
      <c r="Q811" s="1" t="s">
        <v>6745</v>
      </c>
      <c r="R811" s="1"/>
      <c r="S811" s="1" t="s">
        <v>6746</v>
      </c>
      <c r="T811" s="1"/>
      <c r="U811" s="1"/>
      <c r="V811" s="1" t="s">
        <v>6747</v>
      </c>
      <c r="W811" s="1"/>
      <c r="X811" s="1"/>
      <c r="Y811" s="1"/>
      <c r="Z811" s="1"/>
      <c r="AA811" s="1" t="s">
        <v>2641</v>
      </c>
      <c r="AB811" s="1" t="s">
        <v>2468</v>
      </c>
      <c r="AC811" s="1"/>
      <c r="AD811" s="1"/>
      <c r="AE811" s="1"/>
      <c r="AF811" s="1"/>
      <c r="AG811" s="1"/>
      <c r="AH811" s="1"/>
      <c r="AI811" s="1"/>
      <c r="AJ811" s="1"/>
      <c r="AK811" s="1"/>
      <c r="AL811" s="1"/>
      <c r="AM811" s="1"/>
      <c r="AN811" s="1"/>
      <c r="AO811" s="1" t="s">
        <v>3865</v>
      </c>
      <c r="AP811" s="1" t="s">
        <v>3866</v>
      </c>
      <c r="AQ811" s="1"/>
      <c r="AR811" s="1"/>
      <c r="AS811" s="1"/>
      <c r="AT811" s="1" t="s">
        <v>137</v>
      </c>
      <c r="AU811" s="3">
        <v>2010</v>
      </c>
      <c r="AV811" s="3">
        <v>50</v>
      </c>
      <c r="AW811" s="3">
        <v>2</v>
      </c>
      <c r="AX811" s="2"/>
      <c r="AY811" s="2"/>
      <c r="AZ811" s="1"/>
      <c r="BA811" s="2"/>
      <c r="BB811" s="3">
        <v>139</v>
      </c>
      <c r="BC811" s="3">
        <v>144</v>
      </c>
      <c r="BD811" s="2"/>
      <c r="BE811" s="1" t="s">
        <v>6748</v>
      </c>
      <c r="BF811" s="4">
        <f>HYPERLINK("http://dx.doi.org/10.1016/j.ultras.2009.09.034","http://dx.doi.org/10.1016/j.ultras.2009.09.034")</f>
      </c>
      <c r="BG811" s="1"/>
      <c r="BH811" s="1"/>
      <c r="BI811" s="1"/>
      <c r="BJ811" s="1"/>
      <c r="BK811" s="1"/>
      <c r="BL811" s="1"/>
      <c r="BM811" s="1"/>
      <c r="BN811" s="3">
        <v>19854458</v>
      </c>
      <c r="BO811" s="1"/>
      <c r="BP811" s="1"/>
      <c r="BQ811" s="1"/>
      <c r="BR811" s="1"/>
      <c r="BS811" s="1" t="s">
        <v>6749</v>
      </c>
      <c r="BT811" s="5">
        <f>HYPERLINK("https%3A%2F%2Fwww.webofscience.com%2Fwos%2Fwoscc%2Ffull-record%2FWOS:000271779500009","View Full Record in Web of Science")</f>
      </c>
    </row>
    <row x14ac:dyDescent="0.25" r="812" customHeight="1" ht="12.75">
      <c r="A812" s="1" t="s">
        <v>72</v>
      </c>
      <c r="B812" s="1" t="s">
        <v>1941</v>
      </c>
      <c r="C812" s="1"/>
      <c r="D812" s="1"/>
      <c r="E812" s="1"/>
      <c r="F812" s="1" t="s">
        <v>1943</v>
      </c>
      <c r="G812" s="1"/>
      <c r="H812" s="1"/>
      <c r="I812" s="1" t="s">
        <v>6750</v>
      </c>
      <c r="J812" s="1" t="s">
        <v>6751</v>
      </c>
      <c r="K812" s="1"/>
      <c r="L812" s="1"/>
      <c r="M812" s="1"/>
      <c r="N812" s="1"/>
      <c r="O812" s="1"/>
      <c r="P812" s="2"/>
      <c r="Q812" s="1"/>
      <c r="R812" s="1"/>
      <c r="S812" s="1"/>
      <c r="T812" s="1"/>
      <c r="U812" s="1"/>
      <c r="V812" s="1" t="s">
        <v>6752</v>
      </c>
      <c r="W812" s="1"/>
      <c r="X812" s="1"/>
      <c r="Y812" s="1"/>
      <c r="Z812" s="1"/>
      <c r="AA812" s="1"/>
      <c r="AB812" s="1"/>
      <c r="AC812" s="1"/>
      <c r="AD812" s="1"/>
      <c r="AE812" s="1"/>
      <c r="AF812" s="1"/>
      <c r="AG812" s="1"/>
      <c r="AH812" s="1"/>
      <c r="AI812" s="1"/>
      <c r="AJ812" s="1"/>
      <c r="AK812" s="1"/>
      <c r="AL812" s="1"/>
      <c r="AM812" s="1"/>
      <c r="AN812" s="1"/>
      <c r="AO812" s="1" t="s">
        <v>6753</v>
      </c>
      <c r="AP812" s="1"/>
      <c r="AQ812" s="1"/>
      <c r="AR812" s="1"/>
      <c r="AS812" s="1"/>
      <c r="AT812" s="1" t="s">
        <v>3654</v>
      </c>
      <c r="AU812" s="3">
        <v>2008</v>
      </c>
      <c r="AV812" s="3">
        <v>68</v>
      </c>
      <c r="AW812" s="3">
        <v>244</v>
      </c>
      <c r="AX812" s="2"/>
      <c r="AY812" s="2"/>
      <c r="AZ812" s="1"/>
      <c r="BA812" s="2"/>
      <c r="BB812" s="3">
        <v>35</v>
      </c>
      <c r="BC812" s="3">
        <v>68</v>
      </c>
      <c r="BD812" s="2"/>
      <c r="BE812" s="1" t="s">
        <v>6754</v>
      </c>
      <c r="BF812" s="4">
        <f>HYPERLINK("http://dx.doi.org/10.3989/revindias.2008.002","http://dx.doi.org/10.3989/revindias.2008.002")</f>
      </c>
      <c r="BG812" s="1"/>
      <c r="BH812" s="1"/>
      <c r="BI812" s="1"/>
      <c r="BJ812" s="1"/>
      <c r="BK812" s="1"/>
      <c r="BL812" s="1"/>
      <c r="BM812" s="1"/>
      <c r="BN812" s="2"/>
      <c r="BO812" s="1"/>
      <c r="BP812" s="1"/>
      <c r="BQ812" s="1"/>
      <c r="BR812" s="1"/>
      <c r="BS812" s="1" t="s">
        <v>6755</v>
      </c>
      <c r="BT812" s="5">
        <f>HYPERLINK("https%3A%2F%2Fwww.webofscience.com%2Fwos%2Fwoscc%2Ffull-record%2FWOS:000262957400002","View Full Record in Web of Science")</f>
      </c>
    </row>
    <row x14ac:dyDescent="0.25" r="813" customHeight="1" ht="12.75">
      <c r="A813" s="1" t="s">
        <v>72</v>
      </c>
      <c r="B813" s="1" t="s">
        <v>6756</v>
      </c>
      <c r="C813" s="1"/>
      <c r="D813" s="1"/>
      <c r="E813" s="1"/>
      <c r="F813" s="1" t="s">
        <v>6757</v>
      </c>
      <c r="G813" s="1"/>
      <c r="H813" s="1"/>
      <c r="I813" s="1" t="s">
        <v>6758</v>
      </c>
      <c r="J813" s="1" t="s">
        <v>3651</v>
      </c>
      <c r="K813" s="1"/>
      <c r="L813" s="1"/>
      <c r="M813" s="1"/>
      <c r="N813" s="1"/>
      <c r="O813" s="1"/>
      <c r="P813" s="2"/>
      <c r="Q813" s="1"/>
      <c r="R813" s="1"/>
      <c r="S813" s="1"/>
      <c r="T813" s="1"/>
      <c r="U813" s="1"/>
      <c r="V813" s="1" t="s">
        <v>6759</v>
      </c>
      <c r="W813" s="1"/>
      <c r="X813" s="1"/>
      <c r="Y813" s="1"/>
      <c r="Z813" s="1"/>
      <c r="AA813" s="1" t="s">
        <v>6760</v>
      </c>
      <c r="AB813" s="1" t="s">
        <v>6761</v>
      </c>
      <c r="AC813" s="1"/>
      <c r="AD813" s="1"/>
      <c r="AE813" s="1"/>
      <c r="AF813" s="1"/>
      <c r="AG813" s="1"/>
      <c r="AH813" s="1"/>
      <c r="AI813" s="1"/>
      <c r="AJ813" s="1"/>
      <c r="AK813" s="1"/>
      <c r="AL813" s="1"/>
      <c r="AM813" s="1"/>
      <c r="AN813" s="1"/>
      <c r="AO813" s="1" t="s">
        <v>6762</v>
      </c>
      <c r="AP813" s="1"/>
      <c r="AQ813" s="1"/>
      <c r="AR813" s="1"/>
      <c r="AS813" s="1"/>
      <c r="AT813" s="1" t="s">
        <v>2540</v>
      </c>
      <c r="AU813" s="3">
        <v>2008</v>
      </c>
      <c r="AV813" s="3">
        <v>15</v>
      </c>
      <c r="AW813" s="3">
        <v>47</v>
      </c>
      <c r="AX813" s="2"/>
      <c r="AY813" s="2"/>
      <c r="AZ813" s="1"/>
      <c r="BA813" s="2"/>
      <c r="BB813" s="3">
        <v>11</v>
      </c>
      <c r="BC813" s="3">
        <v>37</v>
      </c>
      <c r="BD813" s="2"/>
      <c r="BE813" s="1"/>
      <c r="BF813" s="1"/>
      <c r="BG813" s="1"/>
      <c r="BH813" s="1"/>
      <c r="BI813" s="1"/>
      <c r="BJ813" s="1"/>
      <c r="BK813" s="1"/>
      <c r="BL813" s="1"/>
      <c r="BM813" s="1"/>
      <c r="BN813" s="2"/>
      <c r="BO813" s="1"/>
      <c r="BP813" s="1"/>
      <c r="BQ813" s="1"/>
      <c r="BR813" s="1"/>
      <c r="BS813" s="1" t="s">
        <v>6763</v>
      </c>
      <c r="BT813" s="5">
        <f>HYPERLINK("https%3A%2F%2Fwww.webofscience.com%2Fwos%2Fwoscc%2Ffull-record%2FWOS:000259422000001","View Full Record in Web of Science")</f>
      </c>
    </row>
    <row x14ac:dyDescent="0.25" r="814" customHeight="1" ht="12.75">
      <c r="A814" s="1" t="s">
        <v>72</v>
      </c>
      <c r="B814" s="1" t="s">
        <v>6764</v>
      </c>
      <c r="C814" s="1"/>
      <c r="D814" s="1"/>
      <c r="E814" s="1"/>
      <c r="F814" s="1" t="s">
        <v>6765</v>
      </c>
      <c r="G814" s="1"/>
      <c r="H814" s="1"/>
      <c r="I814" s="1" t="s">
        <v>6766</v>
      </c>
      <c r="J814" s="1" t="s">
        <v>5056</v>
      </c>
      <c r="K814" s="1"/>
      <c r="L814" s="1"/>
      <c r="M814" s="1"/>
      <c r="N814" s="1"/>
      <c r="O814" s="1"/>
      <c r="P814" s="2"/>
      <c r="Q814" s="1"/>
      <c r="R814" s="1"/>
      <c r="S814" s="1"/>
      <c r="T814" s="1"/>
      <c r="U814" s="1"/>
      <c r="V814" s="1"/>
      <c r="W814" s="1"/>
      <c r="X814" s="1"/>
      <c r="Y814" s="1"/>
      <c r="Z814" s="1"/>
      <c r="AA814" s="1"/>
      <c r="AB814" s="1" t="s">
        <v>4643</v>
      </c>
      <c r="AC814" s="1"/>
      <c r="AD814" s="1"/>
      <c r="AE814" s="1"/>
      <c r="AF814" s="1"/>
      <c r="AG814" s="1"/>
      <c r="AH814" s="1"/>
      <c r="AI814" s="1"/>
      <c r="AJ814" s="1"/>
      <c r="AK814" s="1"/>
      <c r="AL814" s="1"/>
      <c r="AM814" s="1"/>
      <c r="AN814" s="1"/>
      <c r="AO814" s="1" t="s">
        <v>5058</v>
      </c>
      <c r="AP814" s="1" t="s">
        <v>5059</v>
      </c>
      <c r="AQ814" s="1"/>
      <c r="AR814" s="1"/>
      <c r="AS814" s="1"/>
      <c r="AT814" s="1" t="s">
        <v>648</v>
      </c>
      <c r="AU814" s="3">
        <v>2008</v>
      </c>
      <c r="AV814" s="3">
        <v>36</v>
      </c>
      <c r="AW814" s="3">
        <v>3</v>
      </c>
      <c r="AX814" s="2"/>
      <c r="AY814" s="2"/>
      <c r="AZ814" s="1"/>
      <c r="BA814" s="2"/>
      <c r="BB814" s="3">
        <v>150</v>
      </c>
      <c r="BC814" s="3">
        <v>153</v>
      </c>
      <c r="BD814" s="2"/>
      <c r="BE814" s="1" t="s">
        <v>6767</v>
      </c>
      <c r="BF814" s="4">
        <f>HYPERLINK("http://dx.doi.org/10.1016/S0301-0546(08)72540-0","http://dx.doi.org/10.1016/S0301-0546(08)72540-0")</f>
      </c>
      <c r="BG814" s="1"/>
      <c r="BH814" s="1"/>
      <c r="BI814" s="1"/>
      <c r="BJ814" s="1"/>
      <c r="BK814" s="1"/>
      <c r="BL814" s="1"/>
      <c r="BM814" s="1"/>
      <c r="BN814" s="3">
        <v>18680703</v>
      </c>
      <c r="BO814" s="1"/>
      <c r="BP814" s="1"/>
      <c r="BQ814" s="1"/>
      <c r="BR814" s="1"/>
      <c r="BS814" s="1" t="s">
        <v>6768</v>
      </c>
      <c r="BT814" s="5">
        <f>HYPERLINK("https%3A%2F%2Fwww.webofscience.com%2Fwos%2Fwoscc%2Ffull-record%2FWOS:000257888600007","View Full Record in Web of Science")</f>
      </c>
    </row>
    <row x14ac:dyDescent="0.25" r="815" customHeight="1" ht="12.75">
      <c r="A815" s="1" t="s">
        <v>303</v>
      </c>
      <c r="B815" s="1" t="s">
        <v>6769</v>
      </c>
      <c r="C815" s="1"/>
      <c r="D815" s="1"/>
      <c r="E815" s="1" t="s">
        <v>305</v>
      </c>
      <c r="F815" s="1" t="s">
        <v>6770</v>
      </c>
      <c r="G815" s="1"/>
      <c r="H815" s="1"/>
      <c r="I815" s="1" t="s">
        <v>6771</v>
      </c>
      <c r="J815" s="1" t="s">
        <v>6772</v>
      </c>
      <c r="K815" s="1" t="s">
        <v>6773</v>
      </c>
      <c r="L815" s="1"/>
      <c r="M815" s="1"/>
      <c r="N815" s="1"/>
      <c r="O815" s="1" t="s">
        <v>6774</v>
      </c>
      <c r="P815" s="2" t="s">
        <v>6775</v>
      </c>
      <c r="Q815" s="1" t="s">
        <v>6776</v>
      </c>
      <c r="R815" s="1" t="s">
        <v>6777</v>
      </c>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t="s">
        <v>6778</v>
      </c>
      <c r="AR815" s="1"/>
      <c r="AS815" s="1"/>
      <c r="AT815" s="1"/>
      <c r="AU815" s="3">
        <v>2008</v>
      </c>
      <c r="AV815" s="2"/>
      <c r="AW815" s="2"/>
      <c r="AX815" s="2"/>
      <c r="AY815" s="2"/>
      <c r="AZ815" s="1"/>
      <c r="BA815" s="2"/>
      <c r="BB815" s="3">
        <v>2585</v>
      </c>
      <c r="BC815" s="3">
        <v>2585</v>
      </c>
      <c r="BD815" s="2"/>
      <c r="BE815" s="1"/>
      <c r="BF815" s="1"/>
      <c r="BG815" s="1"/>
      <c r="BH815" s="1"/>
      <c r="BI815" s="1"/>
      <c r="BJ815" s="1"/>
      <c r="BK815" s="1"/>
      <c r="BL815" s="1"/>
      <c r="BM815" s="1"/>
      <c r="BN815" s="2"/>
      <c r="BO815" s="1"/>
      <c r="BP815" s="1"/>
      <c r="BQ815" s="1"/>
      <c r="BR815" s="1"/>
      <c r="BS815" s="1" t="s">
        <v>6779</v>
      </c>
      <c r="BT815" s="5">
        <f>HYPERLINK("https%3A%2F%2Fwww.webofscience.com%2Fwos%2Fwoscc%2Ffull-record%2FWOS:000264403801178","View Full Record in Web of Science")</f>
      </c>
    </row>
    <row x14ac:dyDescent="0.25" r="816" customHeight="1" ht="12.75">
      <c r="A816" s="1" t="s">
        <v>72</v>
      </c>
      <c r="B816" s="1" t="s">
        <v>6780</v>
      </c>
      <c r="C816" s="1"/>
      <c r="D816" s="1"/>
      <c r="E816" s="1"/>
      <c r="F816" s="1" t="s">
        <v>6781</v>
      </c>
      <c r="G816" s="1"/>
      <c r="H816" s="1"/>
      <c r="I816" s="1" t="s">
        <v>6782</v>
      </c>
      <c r="J816" s="1" t="s">
        <v>6783</v>
      </c>
      <c r="K816" s="1"/>
      <c r="L816" s="1"/>
      <c r="M816" s="1"/>
      <c r="N816" s="1"/>
      <c r="O816" s="1"/>
      <c r="P816" s="2"/>
      <c r="Q816" s="1"/>
      <c r="R816" s="1"/>
      <c r="S816" s="1"/>
      <c r="T816" s="1"/>
      <c r="U816" s="1"/>
      <c r="V816" s="1" t="s">
        <v>6784</v>
      </c>
      <c r="W816" s="1"/>
      <c r="X816" s="1"/>
      <c r="Y816" s="1"/>
      <c r="Z816" s="1"/>
      <c r="AA816" s="1" t="s">
        <v>5219</v>
      </c>
      <c r="AB816" s="1" t="s">
        <v>6785</v>
      </c>
      <c r="AC816" s="1"/>
      <c r="AD816" s="1"/>
      <c r="AE816" s="1"/>
      <c r="AF816" s="1"/>
      <c r="AG816" s="1"/>
      <c r="AH816" s="1"/>
      <c r="AI816" s="1"/>
      <c r="AJ816" s="1"/>
      <c r="AK816" s="1"/>
      <c r="AL816" s="1"/>
      <c r="AM816" s="1"/>
      <c r="AN816" s="1"/>
      <c r="AO816" s="1" t="s">
        <v>6786</v>
      </c>
      <c r="AP816" s="1"/>
      <c r="AQ816" s="1"/>
      <c r="AR816" s="1"/>
      <c r="AS816" s="1"/>
      <c r="AT816" s="1" t="s">
        <v>204</v>
      </c>
      <c r="AU816" s="3">
        <v>2006</v>
      </c>
      <c r="AV816" s="3">
        <v>19</v>
      </c>
      <c r="AW816" s="3">
        <v>12</v>
      </c>
      <c r="AX816" s="2"/>
      <c r="AY816" s="2"/>
      <c r="AZ816" s="1"/>
      <c r="BA816" s="2"/>
      <c r="BB816" s="3">
        <v>867</v>
      </c>
      <c r="BC816" s="3">
        <v>873</v>
      </c>
      <c r="BD816" s="2"/>
      <c r="BE816" s="1" t="s">
        <v>6787</v>
      </c>
      <c r="BF816" s="4">
        <f>HYPERLINK("http://dx.doi.org/10.1002/poc.1038","http://dx.doi.org/10.1002/poc.1038")</f>
      </c>
      <c r="BG816" s="1"/>
      <c r="BH816" s="1"/>
      <c r="BI816" s="1"/>
      <c r="BJ816" s="1"/>
      <c r="BK816" s="1"/>
      <c r="BL816" s="1"/>
      <c r="BM816" s="1"/>
      <c r="BN816" s="2"/>
      <c r="BO816" s="1"/>
      <c r="BP816" s="1"/>
      <c r="BQ816" s="1"/>
      <c r="BR816" s="1"/>
      <c r="BS816" s="1" t="s">
        <v>6788</v>
      </c>
      <c r="BT816" s="5">
        <f>HYPERLINK("https%3A%2F%2Fwww.webofscience.com%2Fwos%2Fwoscc%2Ffull-record%2FWOS:000244915200008","View Full Record in Web of Science")</f>
      </c>
    </row>
    <row x14ac:dyDescent="0.25" r="817" customHeight="1" ht="12.75">
      <c r="A817" s="1" t="s">
        <v>72</v>
      </c>
      <c r="B817" s="1" t="s">
        <v>6789</v>
      </c>
      <c r="C817" s="1"/>
      <c r="D817" s="1"/>
      <c r="E817" s="1"/>
      <c r="F817" s="1" t="s">
        <v>6790</v>
      </c>
      <c r="G817" s="1"/>
      <c r="H817" s="1"/>
      <c r="I817" s="1" t="s">
        <v>6791</v>
      </c>
      <c r="J817" s="1" t="s">
        <v>6792</v>
      </c>
      <c r="K817" s="1"/>
      <c r="L817" s="1"/>
      <c r="M817" s="1"/>
      <c r="N817" s="1"/>
      <c r="O817" s="1"/>
      <c r="P817" s="2"/>
      <c r="Q817" s="1"/>
      <c r="R817" s="1"/>
      <c r="S817" s="1"/>
      <c r="T817" s="1"/>
      <c r="U817" s="1"/>
      <c r="V817" s="1" t="s">
        <v>6793</v>
      </c>
      <c r="W817" s="1"/>
      <c r="X817" s="1"/>
      <c r="Y817" s="1"/>
      <c r="Z817" s="1"/>
      <c r="AA817" s="1" t="s">
        <v>2180</v>
      </c>
      <c r="AB817" s="1" t="s">
        <v>2181</v>
      </c>
      <c r="AC817" s="1"/>
      <c r="AD817" s="1"/>
      <c r="AE817" s="1"/>
      <c r="AF817" s="1"/>
      <c r="AG817" s="1"/>
      <c r="AH817" s="1"/>
      <c r="AI817" s="1"/>
      <c r="AJ817" s="1"/>
      <c r="AK817" s="1"/>
      <c r="AL817" s="1"/>
      <c r="AM817" s="1"/>
      <c r="AN817" s="1"/>
      <c r="AO817" s="1" t="s">
        <v>6794</v>
      </c>
      <c r="AP817" s="1"/>
      <c r="AQ817" s="1"/>
      <c r="AR817" s="1"/>
      <c r="AS817" s="1"/>
      <c r="AT817" s="1" t="s">
        <v>3146</v>
      </c>
      <c r="AU817" s="3">
        <v>2006</v>
      </c>
      <c r="AV817" s="3">
        <v>181</v>
      </c>
      <c r="AW817" s="3">
        <v>2</v>
      </c>
      <c r="AX817" s="2"/>
      <c r="AY817" s="2"/>
      <c r="AZ817" s="1"/>
      <c r="BA817" s="2"/>
      <c r="BB817" s="3">
        <v>1624</v>
      </c>
      <c r="BC817" s="3">
        <v>1634</v>
      </c>
      <c r="BD817" s="2"/>
      <c r="BE817" s="1" t="s">
        <v>6795</v>
      </c>
      <c r="BF817" s="4">
        <f>HYPERLINK("http://dx.doi.org/10.1016/j.amc.2006.03.016","http://dx.doi.org/10.1016/j.amc.2006.03.016")</f>
      </c>
      <c r="BG817" s="1"/>
      <c r="BH817" s="1"/>
      <c r="BI817" s="1"/>
      <c r="BJ817" s="1"/>
      <c r="BK817" s="1"/>
      <c r="BL817" s="1"/>
      <c r="BM817" s="1"/>
      <c r="BN817" s="2"/>
      <c r="BO817" s="1"/>
      <c r="BP817" s="1"/>
      <c r="BQ817" s="1"/>
      <c r="BR817" s="1"/>
      <c r="BS817" s="1" t="s">
        <v>6796</v>
      </c>
      <c r="BT817" s="5">
        <f>HYPERLINK("https%3A%2F%2Fwww.webofscience.com%2Fwos%2Fwoscc%2Ffull-record%2FWOS:000242385400085","View Full Record in Web of Science")</f>
      </c>
    </row>
    <row x14ac:dyDescent="0.25" r="818" customHeight="1" ht="12.75">
      <c r="A818" s="1" t="s">
        <v>72</v>
      </c>
      <c r="B818" s="1" t="s">
        <v>831</v>
      </c>
      <c r="C818" s="1"/>
      <c r="D818" s="1"/>
      <c r="E818" s="1"/>
      <c r="F818" s="1" t="s">
        <v>6734</v>
      </c>
      <c r="G818" s="1"/>
      <c r="H818" s="1"/>
      <c r="I818" s="1" t="s">
        <v>6797</v>
      </c>
      <c r="J818" s="1" t="s">
        <v>1548</v>
      </c>
      <c r="K818" s="1"/>
      <c r="L818" s="1"/>
      <c r="M818" s="1"/>
      <c r="N818" s="1"/>
      <c r="O818" s="1"/>
      <c r="P818" s="2"/>
      <c r="Q818" s="1"/>
      <c r="R818" s="1"/>
      <c r="S818" s="1"/>
      <c r="T818" s="1"/>
      <c r="U818" s="1"/>
      <c r="V818" s="1" t="s">
        <v>6798</v>
      </c>
      <c r="W818" s="1"/>
      <c r="X818" s="1"/>
      <c r="Y818" s="1"/>
      <c r="Z818" s="1"/>
      <c r="AA818" s="1" t="s">
        <v>835</v>
      </c>
      <c r="AB818" s="1"/>
      <c r="AC818" s="1"/>
      <c r="AD818" s="1"/>
      <c r="AE818" s="1"/>
      <c r="AF818" s="1"/>
      <c r="AG818" s="1"/>
      <c r="AH818" s="1"/>
      <c r="AI818" s="1"/>
      <c r="AJ818" s="1"/>
      <c r="AK818" s="1"/>
      <c r="AL818" s="1"/>
      <c r="AM818" s="1"/>
      <c r="AN818" s="1"/>
      <c r="AO818" s="1" t="s">
        <v>1552</v>
      </c>
      <c r="AP818" s="1" t="s">
        <v>1553</v>
      </c>
      <c r="AQ818" s="1"/>
      <c r="AR818" s="1"/>
      <c r="AS818" s="1"/>
      <c r="AT818" s="1" t="s">
        <v>757</v>
      </c>
      <c r="AU818" s="3">
        <v>2006</v>
      </c>
      <c r="AV818" s="3">
        <v>73</v>
      </c>
      <c r="AW818" s="3">
        <v>6</v>
      </c>
      <c r="AX818" s="3">
        <v>2</v>
      </c>
      <c r="AY818" s="2"/>
      <c r="AZ818" s="1"/>
      <c r="BA818" s="2"/>
      <c r="BB818" s="2"/>
      <c r="BC818" s="2"/>
      <c r="BD818" s="3">
        <v>66623</v>
      </c>
      <c r="BE818" s="1" t="s">
        <v>6799</v>
      </c>
      <c r="BF818" s="4">
        <f>HYPERLINK("http://dx.doi.org/10.1103/PhysRevE.73.066623","http://dx.doi.org/10.1103/PhysRevE.73.066623")</f>
      </c>
      <c r="BG818" s="1"/>
      <c r="BH818" s="1"/>
      <c r="BI818" s="1"/>
      <c r="BJ818" s="1"/>
      <c r="BK818" s="1"/>
      <c r="BL818" s="1"/>
      <c r="BM818" s="1"/>
      <c r="BN818" s="3">
        <v>16907013</v>
      </c>
      <c r="BO818" s="1"/>
      <c r="BP818" s="1"/>
      <c r="BQ818" s="1"/>
      <c r="BR818" s="1"/>
      <c r="BS818" s="1" t="s">
        <v>6800</v>
      </c>
      <c r="BT818" s="5">
        <f>HYPERLINK("https%3A%2F%2Fwww.webofscience.com%2Fwos%2Fwoscc%2Ffull-record%2FWOS:000238694200124","View Full Record in Web of Science")</f>
      </c>
    </row>
    <row x14ac:dyDescent="0.25" r="819" customHeight="1" ht="12.75">
      <c r="A819" s="1" t="s">
        <v>72</v>
      </c>
      <c r="B819" s="1" t="s">
        <v>6801</v>
      </c>
      <c r="C819" s="1"/>
      <c r="D819" s="1"/>
      <c r="E819" s="1"/>
      <c r="F819" s="1" t="s">
        <v>6802</v>
      </c>
      <c r="G819" s="1"/>
      <c r="H819" s="1"/>
      <c r="I819" s="1" t="s">
        <v>6803</v>
      </c>
      <c r="J819" s="1" t="s">
        <v>6183</v>
      </c>
      <c r="K819" s="1"/>
      <c r="L819" s="1"/>
      <c r="M819" s="1"/>
      <c r="N819" s="1"/>
      <c r="O819" s="1"/>
      <c r="P819" s="2"/>
      <c r="Q819" s="1"/>
      <c r="R819" s="1"/>
      <c r="S819" s="1"/>
      <c r="T819" s="1"/>
      <c r="U819" s="1"/>
      <c r="V819" s="1" t="s">
        <v>6804</v>
      </c>
      <c r="W819" s="1"/>
      <c r="X819" s="1"/>
      <c r="Y819" s="1"/>
      <c r="Z819" s="1"/>
      <c r="AA819" s="1" t="s">
        <v>6805</v>
      </c>
      <c r="AB819" s="1" t="s">
        <v>6806</v>
      </c>
      <c r="AC819" s="1"/>
      <c r="AD819" s="1"/>
      <c r="AE819" s="1"/>
      <c r="AF819" s="1"/>
      <c r="AG819" s="1"/>
      <c r="AH819" s="1"/>
      <c r="AI819" s="1"/>
      <c r="AJ819" s="1"/>
      <c r="AK819" s="1"/>
      <c r="AL819" s="1"/>
      <c r="AM819" s="1"/>
      <c r="AN819" s="1"/>
      <c r="AO819" s="1" t="s">
        <v>6186</v>
      </c>
      <c r="AP819" s="1" t="s">
        <v>6807</v>
      </c>
      <c r="AQ819" s="1"/>
      <c r="AR819" s="1"/>
      <c r="AS819" s="1"/>
      <c r="AT819" s="1"/>
      <c r="AU819" s="3">
        <v>2006</v>
      </c>
      <c r="AV819" s="3">
        <v>39</v>
      </c>
      <c r="AW819" s="3">
        <v>4</v>
      </c>
      <c r="AX819" s="2"/>
      <c r="AY819" s="2"/>
      <c r="AZ819" s="1"/>
      <c r="BA819" s="2"/>
      <c r="BB819" s="3">
        <v>649</v>
      </c>
      <c r="BC819" s="3">
        <v>659</v>
      </c>
      <c r="BD819" s="2"/>
      <c r="BE819" s="1"/>
      <c r="BF819" s="1"/>
      <c r="BG819" s="1"/>
      <c r="BH819" s="1"/>
      <c r="BI819" s="1"/>
      <c r="BJ819" s="1"/>
      <c r="BK819" s="1"/>
      <c r="BL819" s="1"/>
      <c r="BM819" s="1"/>
      <c r="BN819" s="3">
        <v>17657346</v>
      </c>
      <c r="BO819" s="1"/>
      <c r="BP819" s="1"/>
      <c r="BQ819" s="1"/>
      <c r="BR819" s="1"/>
      <c r="BS819" s="1" t="s">
        <v>6808</v>
      </c>
      <c r="BT819" s="5">
        <f>HYPERLINK("https%3A%2F%2Fwww.webofscience.com%2Fwos%2Fwoscc%2Ffull-record%2FWOS:000248288400008","View Full Record in Web of Science")</f>
      </c>
    </row>
    <row x14ac:dyDescent="0.25" r="820" customHeight="1" ht="12.75">
      <c r="A820" s="1" t="s">
        <v>72</v>
      </c>
      <c r="B820" s="1" t="s">
        <v>6809</v>
      </c>
      <c r="C820" s="1"/>
      <c r="D820" s="1"/>
      <c r="E820" s="1"/>
      <c r="F820" s="1" t="s">
        <v>6809</v>
      </c>
      <c r="G820" s="1"/>
      <c r="H820" s="1"/>
      <c r="I820" s="1" t="s">
        <v>6810</v>
      </c>
      <c r="J820" s="1" t="s">
        <v>6811</v>
      </c>
      <c r="K820" s="1"/>
      <c r="L820" s="1"/>
      <c r="M820" s="1"/>
      <c r="N820" s="1"/>
      <c r="O820" s="1"/>
      <c r="P820" s="2"/>
      <c r="Q820" s="1"/>
      <c r="R820" s="1"/>
      <c r="S820" s="1"/>
      <c r="T820" s="1"/>
      <c r="U820" s="1"/>
      <c r="V820" s="1" t="s">
        <v>6812</v>
      </c>
      <c r="W820" s="1"/>
      <c r="X820" s="1"/>
      <c r="Y820" s="1"/>
      <c r="Z820" s="1"/>
      <c r="AA820" s="1" t="s">
        <v>6813</v>
      </c>
      <c r="AB820" s="1" t="s">
        <v>6814</v>
      </c>
      <c r="AC820" s="1"/>
      <c r="AD820" s="1"/>
      <c r="AE820" s="1"/>
      <c r="AF820" s="1"/>
      <c r="AG820" s="1"/>
      <c r="AH820" s="1"/>
      <c r="AI820" s="1"/>
      <c r="AJ820" s="1"/>
      <c r="AK820" s="1"/>
      <c r="AL820" s="1"/>
      <c r="AM820" s="1"/>
      <c r="AN820" s="1"/>
      <c r="AO820" s="1" t="s">
        <v>6815</v>
      </c>
      <c r="AP820" s="1"/>
      <c r="AQ820" s="1"/>
      <c r="AR820" s="1"/>
      <c r="AS820" s="1"/>
      <c r="AT820" s="1" t="s">
        <v>2352</v>
      </c>
      <c r="AU820" s="3">
        <v>2005</v>
      </c>
      <c r="AV820" s="3">
        <v>53</v>
      </c>
      <c r="AW820" s="3">
        <v>26</v>
      </c>
      <c r="AX820" s="2"/>
      <c r="AY820" s="2"/>
      <c r="AZ820" s="1"/>
      <c r="BA820" s="2"/>
      <c r="BB820" s="3">
        <v>10080</v>
      </c>
      <c r="BC820" s="3">
        <v>10084</v>
      </c>
      <c r="BD820" s="2"/>
      <c r="BE820" s="1" t="s">
        <v>6816</v>
      </c>
      <c r="BF820" s="4">
        <f>HYPERLINK("http://dx.doi.org/10.1021/jf0511749","http://dx.doi.org/10.1021/jf0511749")</f>
      </c>
      <c r="BG820" s="1"/>
      <c r="BH820" s="1"/>
      <c r="BI820" s="1"/>
      <c r="BJ820" s="1"/>
      <c r="BK820" s="1"/>
      <c r="BL820" s="1"/>
      <c r="BM820" s="1"/>
      <c r="BN820" s="3">
        <v>16366698</v>
      </c>
      <c r="BO820" s="1"/>
      <c r="BP820" s="1"/>
      <c r="BQ820" s="1"/>
      <c r="BR820" s="1"/>
      <c r="BS820" s="1" t="s">
        <v>6817</v>
      </c>
      <c r="BT820" s="5">
        <f>HYPERLINK("https%3A%2F%2Fwww.webofscience.com%2Fwos%2Fwoscc%2Ffull-record%2FWOS:000234259700035","View Full Record in Web of Science")</f>
      </c>
    </row>
    <row x14ac:dyDescent="0.25" r="821" customHeight="1" ht="12.75">
      <c r="A821" s="1" t="s">
        <v>72</v>
      </c>
      <c r="B821" s="1" t="s">
        <v>6818</v>
      </c>
      <c r="C821" s="1"/>
      <c r="D821" s="1"/>
      <c r="E821" s="1"/>
      <c r="F821" s="1" t="s">
        <v>6818</v>
      </c>
      <c r="G821" s="1"/>
      <c r="H821" s="1"/>
      <c r="I821" s="1" t="s">
        <v>6819</v>
      </c>
      <c r="J821" s="1" t="s">
        <v>6820</v>
      </c>
      <c r="K821" s="1"/>
      <c r="L821" s="1"/>
      <c r="M821" s="1"/>
      <c r="N821" s="1"/>
      <c r="O821" s="1" t="s">
        <v>6821</v>
      </c>
      <c r="P821" s="2" t="s">
        <v>6822</v>
      </c>
      <c r="Q821" s="1" t="s">
        <v>6823</v>
      </c>
      <c r="R821" s="1" t="s">
        <v>6824</v>
      </c>
      <c r="S821" s="1"/>
      <c r="T821" s="1"/>
      <c r="U821" s="1"/>
      <c r="V821" s="1"/>
      <c r="W821" s="1"/>
      <c r="X821" s="1"/>
      <c r="Y821" s="1"/>
      <c r="Z821" s="1"/>
      <c r="AA821" s="1"/>
      <c r="AB821" s="1"/>
      <c r="AC821" s="1"/>
      <c r="AD821" s="1"/>
      <c r="AE821" s="1"/>
      <c r="AF821" s="1"/>
      <c r="AG821" s="1"/>
      <c r="AH821" s="1"/>
      <c r="AI821" s="1"/>
      <c r="AJ821" s="1"/>
      <c r="AK821" s="1"/>
      <c r="AL821" s="1"/>
      <c r="AM821" s="1"/>
      <c r="AN821" s="1"/>
      <c r="AO821" s="1" t="s">
        <v>6825</v>
      </c>
      <c r="AP821" s="1" t="s">
        <v>6826</v>
      </c>
      <c r="AQ821" s="1"/>
      <c r="AR821" s="1"/>
      <c r="AS821" s="1"/>
      <c r="AT821" s="1" t="s">
        <v>126</v>
      </c>
      <c r="AU821" s="3">
        <v>2004</v>
      </c>
      <c r="AV821" s="3">
        <v>37</v>
      </c>
      <c r="AW821" s="3">
        <v>1</v>
      </c>
      <c r="AX821" s="2"/>
      <c r="AY821" s="2"/>
      <c r="AZ821" s="1"/>
      <c r="BA821" s="2"/>
      <c r="BB821" s="3">
        <v>153</v>
      </c>
      <c r="BC821" s="3">
        <v>153</v>
      </c>
      <c r="BD821" s="2"/>
      <c r="BE821" s="1"/>
      <c r="BF821" s="1"/>
      <c r="BG821" s="1"/>
      <c r="BH821" s="1"/>
      <c r="BI821" s="1"/>
      <c r="BJ821" s="1"/>
      <c r="BK821" s="1"/>
      <c r="BL821" s="1"/>
      <c r="BM821" s="1"/>
      <c r="BN821" s="2"/>
      <c r="BO821" s="1"/>
      <c r="BP821" s="1"/>
      <c r="BQ821" s="1"/>
      <c r="BR821" s="1"/>
      <c r="BS821" s="1" t="s">
        <v>6827</v>
      </c>
      <c r="BT821" s="5">
        <f>HYPERLINK("https%3A%2F%2Fwww.webofscience.com%2Fwos%2Fwoscc%2Ffull-record%2FWOS:000222965000042","View Full Record in Web of Science")</f>
      </c>
    </row>
    <row x14ac:dyDescent="0.25" r="822" customHeight="1" ht="12.75">
      <c r="A822" s="1" t="s">
        <v>778</v>
      </c>
      <c r="B822" s="1" t="s">
        <v>6828</v>
      </c>
      <c r="C822" s="1"/>
      <c r="D822" s="1" t="s">
        <v>780</v>
      </c>
      <c r="E822" s="1"/>
      <c r="F822" s="1" t="s">
        <v>6828</v>
      </c>
      <c r="G822" s="1"/>
      <c r="H822" s="1"/>
      <c r="I822" s="1" t="s">
        <v>6829</v>
      </c>
      <c r="J822" s="1" t="s">
        <v>782</v>
      </c>
      <c r="K822" s="1" t="s">
        <v>6830</v>
      </c>
      <c r="L822" s="1"/>
      <c r="M822" s="1"/>
      <c r="N822" s="1"/>
      <c r="O822" s="1" t="s">
        <v>784</v>
      </c>
      <c r="P822" s="2" t="s">
        <v>785</v>
      </c>
      <c r="Q822" s="1" t="s">
        <v>786</v>
      </c>
      <c r="R822" s="1" t="s">
        <v>787</v>
      </c>
      <c r="S822" s="1"/>
      <c r="T822" s="1"/>
      <c r="U822" s="1"/>
      <c r="V822" s="1"/>
      <c r="W822" s="1"/>
      <c r="X822" s="1"/>
      <c r="Y822" s="1"/>
      <c r="Z822" s="1"/>
      <c r="AA822" s="1" t="s">
        <v>6831</v>
      </c>
      <c r="AB822" s="1" t="s">
        <v>6185</v>
      </c>
      <c r="AC822" s="1"/>
      <c r="AD822" s="1"/>
      <c r="AE822" s="1"/>
      <c r="AF822" s="1"/>
      <c r="AG822" s="1"/>
      <c r="AH822" s="1"/>
      <c r="AI822" s="1"/>
      <c r="AJ822" s="1"/>
      <c r="AK822" s="1"/>
      <c r="AL822" s="1"/>
      <c r="AM822" s="1"/>
      <c r="AN822" s="1"/>
      <c r="AO822" s="1" t="s">
        <v>788</v>
      </c>
      <c r="AP822" s="1" t="s">
        <v>6832</v>
      </c>
      <c r="AQ822" s="1" t="s">
        <v>789</v>
      </c>
      <c r="AR822" s="1"/>
      <c r="AS822" s="1"/>
      <c r="AT822" s="1"/>
      <c r="AU822" s="3">
        <v>2003</v>
      </c>
      <c r="AV822" s="3">
        <v>536</v>
      </c>
      <c r="AW822" s="2"/>
      <c r="AX822" s="2"/>
      <c r="AY822" s="2"/>
      <c r="AZ822" s="1"/>
      <c r="BA822" s="2"/>
      <c r="BB822" s="3">
        <v>535</v>
      </c>
      <c r="BC822" s="3">
        <v>539</v>
      </c>
      <c r="BD822" s="2"/>
      <c r="BE822" s="1"/>
      <c r="BF822" s="1"/>
      <c r="BG822" s="1"/>
      <c r="BH822" s="1"/>
      <c r="BI822" s="1"/>
      <c r="BJ822" s="1"/>
      <c r="BK822" s="1"/>
      <c r="BL822" s="1"/>
      <c r="BM822" s="1"/>
      <c r="BN822" s="3">
        <v>14635709</v>
      </c>
      <c r="BO822" s="1"/>
      <c r="BP822" s="1"/>
      <c r="BQ822" s="1"/>
      <c r="BR822" s="1"/>
      <c r="BS822" s="1" t="s">
        <v>6833</v>
      </c>
      <c r="BT822" s="5">
        <f>HYPERLINK("https%3A%2F%2Fwww.webofscience.com%2Fwos%2Fwoscc%2Ffull-record%2FWOS:000188998400067","View Full Record in Web of Science")</f>
      </c>
    </row>
    <row x14ac:dyDescent="0.25" r="823" customHeight="1" ht="12.75">
      <c r="A823" s="1" t="s">
        <v>778</v>
      </c>
      <c r="B823" s="1" t="s">
        <v>6834</v>
      </c>
      <c r="C823" s="1"/>
      <c r="D823" s="1" t="s">
        <v>3185</v>
      </c>
      <c r="E823" s="1"/>
      <c r="F823" s="1" t="s">
        <v>6834</v>
      </c>
      <c r="G823" s="1"/>
      <c r="H823" s="1"/>
      <c r="I823" s="1" t="s">
        <v>6835</v>
      </c>
      <c r="J823" s="1" t="s">
        <v>5286</v>
      </c>
      <c r="K823" s="1" t="s">
        <v>3188</v>
      </c>
      <c r="L823" s="1"/>
      <c r="M823" s="1"/>
      <c r="N823" s="1"/>
      <c r="O823" s="1" t="s">
        <v>5287</v>
      </c>
      <c r="P823" s="2" t="s">
        <v>5288</v>
      </c>
      <c r="Q823" s="1" t="s">
        <v>5289</v>
      </c>
      <c r="R823" s="1" t="s">
        <v>5290</v>
      </c>
      <c r="S823" s="1"/>
      <c r="T823" s="1"/>
      <c r="U823" s="1"/>
      <c r="V823" s="1" t="s">
        <v>6836</v>
      </c>
      <c r="W823" s="1"/>
      <c r="X823" s="1"/>
      <c r="Y823" s="1"/>
      <c r="Z823" s="1"/>
      <c r="AA823" s="1" t="s">
        <v>6837</v>
      </c>
      <c r="AB823" s="1" t="s">
        <v>6838</v>
      </c>
      <c r="AC823" s="1"/>
      <c r="AD823" s="1"/>
      <c r="AE823" s="1"/>
      <c r="AF823" s="1"/>
      <c r="AG823" s="1"/>
      <c r="AH823" s="1"/>
      <c r="AI823" s="1"/>
      <c r="AJ823" s="1"/>
      <c r="AK823" s="1"/>
      <c r="AL823" s="1"/>
      <c r="AM823" s="1"/>
      <c r="AN823" s="1"/>
      <c r="AO823" s="1" t="s">
        <v>3194</v>
      </c>
      <c r="AP823" s="1"/>
      <c r="AQ823" s="1" t="s">
        <v>5292</v>
      </c>
      <c r="AR823" s="1"/>
      <c r="AS823" s="1"/>
      <c r="AT823" s="1"/>
      <c r="AU823" s="3">
        <v>2003</v>
      </c>
      <c r="AV823" s="2" t="s">
        <v>5293</v>
      </c>
      <c r="AW823" s="2"/>
      <c r="AX823" s="2"/>
      <c r="AY823" s="2"/>
      <c r="AZ823" s="1"/>
      <c r="BA823" s="2"/>
      <c r="BB823" s="3">
        <v>138</v>
      </c>
      <c r="BC823" s="3">
        <v>143</v>
      </c>
      <c r="BD823" s="2"/>
      <c r="BE823" s="1" t="s">
        <v>6839</v>
      </c>
      <c r="BF823" s="4">
        <f>HYPERLINK("http://dx.doi.org/10.4028/www.scientific.net/MSF.416-418.138","http://dx.doi.org/10.4028/www.scientific.net/MSF.416-418.138")</f>
      </c>
      <c r="BG823" s="1"/>
      <c r="BH823" s="1"/>
      <c r="BI823" s="1"/>
      <c r="BJ823" s="1"/>
      <c r="BK823" s="1"/>
      <c r="BL823" s="1"/>
      <c r="BM823" s="1"/>
      <c r="BN823" s="2"/>
      <c r="BO823" s="1"/>
      <c r="BP823" s="1"/>
      <c r="BQ823" s="1"/>
      <c r="BR823" s="1"/>
      <c r="BS823" s="1" t="s">
        <v>6840</v>
      </c>
      <c r="BT823" s="5">
        <f>HYPERLINK("https%3A%2F%2Fwww.webofscience.com%2Fwos%2Fwoscc%2Ffull-record%2FWOS:000182605200023","View Full Record in Web of Science")</f>
      </c>
    </row>
    <row x14ac:dyDescent="0.25" r="824" customHeight="1" ht="12.75">
      <c r="A824" s="1" t="s">
        <v>72</v>
      </c>
      <c r="B824" s="1" t="s">
        <v>6841</v>
      </c>
      <c r="C824" s="1"/>
      <c r="D824" s="1"/>
      <c r="E824" s="1"/>
      <c r="F824" s="1" t="s">
        <v>6841</v>
      </c>
      <c r="G824" s="1"/>
      <c r="H824" s="1"/>
      <c r="I824" s="1" t="s">
        <v>6842</v>
      </c>
      <c r="J824" s="1" t="s">
        <v>6751</v>
      </c>
      <c r="K824" s="1"/>
      <c r="L824" s="1"/>
      <c r="M824" s="1"/>
      <c r="N824" s="1"/>
      <c r="O824" s="1"/>
      <c r="P824" s="2"/>
      <c r="Q824" s="1"/>
      <c r="R824" s="1"/>
      <c r="S824" s="1"/>
      <c r="T824" s="1"/>
      <c r="U824" s="1"/>
      <c r="V824" s="1" t="s">
        <v>6843</v>
      </c>
      <c r="W824" s="1"/>
      <c r="X824" s="1"/>
      <c r="Y824" s="1"/>
      <c r="Z824" s="1"/>
      <c r="AA824" s="1"/>
      <c r="AB824" s="1" t="s">
        <v>6844</v>
      </c>
      <c r="AC824" s="1"/>
      <c r="AD824" s="1"/>
      <c r="AE824" s="1"/>
      <c r="AF824" s="1"/>
      <c r="AG824" s="1"/>
      <c r="AH824" s="1"/>
      <c r="AI824" s="1"/>
      <c r="AJ824" s="1"/>
      <c r="AK824" s="1"/>
      <c r="AL824" s="1"/>
      <c r="AM824" s="1"/>
      <c r="AN824" s="1"/>
      <c r="AO824" s="1" t="s">
        <v>6753</v>
      </c>
      <c r="AP824" s="1"/>
      <c r="AQ824" s="1"/>
      <c r="AR824" s="1"/>
      <c r="AS824" s="1"/>
      <c r="AT824" s="1" t="s">
        <v>2540</v>
      </c>
      <c r="AU824" s="3">
        <v>2002</v>
      </c>
      <c r="AV824" s="3">
        <v>62</v>
      </c>
      <c r="AW824" s="3">
        <v>225</v>
      </c>
      <c r="AX824" s="2"/>
      <c r="AY824" s="2"/>
      <c r="AZ824" s="1"/>
      <c r="BA824" s="2"/>
      <c r="BB824" s="3">
        <v>511</v>
      </c>
      <c r="BC824" s="3">
        <v>534</v>
      </c>
      <c r="BD824" s="2"/>
      <c r="BE824" s="1"/>
      <c r="BF824" s="1"/>
      <c r="BG824" s="1"/>
      <c r="BH824" s="1"/>
      <c r="BI824" s="1"/>
      <c r="BJ824" s="1"/>
      <c r="BK824" s="1"/>
      <c r="BL824" s="1"/>
      <c r="BM824" s="1"/>
      <c r="BN824" s="3">
        <v>17424663</v>
      </c>
      <c r="BO824" s="1"/>
      <c r="BP824" s="1"/>
      <c r="BQ824" s="1"/>
      <c r="BR824" s="1"/>
      <c r="BS824" s="1" t="s">
        <v>6845</v>
      </c>
      <c r="BT824" s="5">
        <f>HYPERLINK("https%3A%2F%2Fwww.webofscience.com%2Fwos%2Fwoscc%2Ffull-record%2FWOS:000180541400009","View Full Record in Web of Science")</f>
      </c>
    </row>
    <row x14ac:dyDescent="0.25" r="825" customHeight="1" ht="12.75">
      <c r="A825" s="1" t="s">
        <v>72</v>
      </c>
      <c r="B825" s="1" t="s">
        <v>6846</v>
      </c>
      <c r="C825" s="1"/>
      <c r="D825" s="1"/>
      <c r="E825" s="1"/>
      <c r="F825" s="1" t="s">
        <v>6846</v>
      </c>
      <c r="G825" s="1"/>
      <c r="H825" s="1"/>
      <c r="I825" s="1" t="s">
        <v>6847</v>
      </c>
      <c r="J825" s="1" t="s">
        <v>897</v>
      </c>
      <c r="K825" s="1"/>
      <c r="L825" s="1"/>
      <c r="M825" s="1"/>
      <c r="N825" s="1"/>
      <c r="O825" s="1"/>
      <c r="P825" s="2"/>
      <c r="Q825" s="1"/>
      <c r="R825" s="1"/>
      <c r="S825" s="1"/>
      <c r="T825" s="1"/>
      <c r="U825" s="1"/>
      <c r="V825" s="1" t="s">
        <v>6848</v>
      </c>
      <c r="W825" s="1"/>
      <c r="X825" s="1"/>
      <c r="Y825" s="1"/>
      <c r="Z825" s="1"/>
      <c r="AA825" s="1"/>
      <c r="AB825" s="1" t="s">
        <v>1610</v>
      </c>
      <c r="AC825" s="1"/>
      <c r="AD825" s="1"/>
      <c r="AE825" s="1"/>
      <c r="AF825" s="1"/>
      <c r="AG825" s="1"/>
      <c r="AH825" s="1"/>
      <c r="AI825" s="1"/>
      <c r="AJ825" s="1"/>
      <c r="AK825" s="1"/>
      <c r="AL825" s="1"/>
      <c r="AM825" s="1"/>
      <c r="AN825" s="1"/>
      <c r="AO825" s="1" t="s">
        <v>900</v>
      </c>
      <c r="AP825" s="1"/>
      <c r="AQ825" s="1"/>
      <c r="AR825" s="1"/>
      <c r="AS825" s="1"/>
      <c r="AT825" s="1" t="s">
        <v>605</v>
      </c>
      <c r="AU825" s="3">
        <v>2002</v>
      </c>
      <c r="AV825" s="3">
        <v>47</v>
      </c>
      <c r="AW825" s="3">
        <v>1</v>
      </c>
      <c r="AX825" s="2"/>
      <c r="AY825" s="2"/>
      <c r="AZ825" s="1"/>
      <c r="BA825" s="2"/>
      <c r="BB825" s="3">
        <v>19</v>
      </c>
      <c r="BC825" s="3">
        <v>23</v>
      </c>
      <c r="BD825" s="2"/>
      <c r="BE825" s="1"/>
      <c r="BF825" s="1"/>
      <c r="BG825" s="1"/>
      <c r="BH825" s="1"/>
      <c r="BI825" s="1"/>
      <c r="BJ825" s="1"/>
      <c r="BK825" s="1"/>
      <c r="BL825" s="1"/>
      <c r="BM825" s="1"/>
      <c r="BN825" s="2"/>
      <c r="BO825" s="1"/>
      <c r="BP825" s="1"/>
      <c r="BQ825" s="1"/>
      <c r="BR825" s="1"/>
      <c r="BS825" s="1" t="s">
        <v>6849</v>
      </c>
      <c r="BT825" s="5">
        <f>HYPERLINK("https%3A%2F%2Fwww.webofscience.com%2Fwos%2Fwoscc%2Ffull-record%2FWOS:000175074200004","View Full Record in Web of Science")</f>
      </c>
    </row>
    <row x14ac:dyDescent="0.25" r="826" customHeight="1" ht="12.75">
      <c r="A826" s="1" t="s">
        <v>778</v>
      </c>
      <c r="B826" s="1" t="s">
        <v>1702</v>
      </c>
      <c r="C826" s="1"/>
      <c r="D826" s="1" t="s">
        <v>6850</v>
      </c>
      <c r="E826" s="1"/>
      <c r="F826" s="1" t="s">
        <v>1702</v>
      </c>
      <c r="G826" s="1"/>
      <c r="H826" s="1"/>
      <c r="I826" s="1" t="s">
        <v>6851</v>
      </c>
      <c r="J826" s="1" t="s">
        <v>6852</v>
      </c>
      <c r="K826" s="1" t="s">
        <v>3617</v>
      </c>
      <c r="L826" s="1"/>
      <c r="M826" s="1"/>
      <c r="N826" s="1"/>
      <c r="O826" s="1" t="s">
        <v>6853</v>
      </c>
      <c r="P826" s="2" t="s">
        <v>6854</v>
      </c>
      <c r="Q826" s="1" t="s">
        <v>6855</v>
      </c>
      <c r="R826" s="1"/>
      <c r="S826" s="1"/>
      <c r="T826" s="1"/>
      <c r="U826" s="1"/>
      <c r="V826" s="1" t="s">
        <v>6856</v>
      </c>
      <c r="W826" s="1"/>
      <c r="X826" s="1"/>
      <c r="Y826" s="1"/>
      <c r="Z826" s="1"/>
      <c r="AA826" s="1" t="s">
        <v>6857</v>
      </c>
      <c r="AB826" s="1" t="s">
        <v>1712</v>
      </c>
      <c r="AC826" s="1"/>
      <c r="AD826" s="1"/>
      <c r="AE826" s="1"/>
      <c r="AF826" s="1"/>
      <c r="AG826" s="1"/>
      <c r="AH826" s="1"/>
      <c r="AI826" s="1"/>
      <c r="AJ826" s="1"/>
      <c r="AK826" s="1"/>
      <c r="AL826" s="1"/>
      <c r="AM826" s="1"/>
      <c r="AN826" s="1"/>
      <c r="AO826" s="1" t="s">
        <v>3108</v>
      </c>
      <c r="AP826" s="1" t="s">
        <v>1054</v>
      </c>
      <c r="AQ826" s="1" t="s">
        <v>6858</v>
      </c>
      <c r="AR826" s="1"/>
      <c r="AS826" s="1"/>
      <c r="AT826" s="1"/>
      <c r="AU826" s="3">
        <v>2002</v>
      </c>
      <c r="AV826" s="3">
        <v>2400</v>
      </c>
      <c r="AW826" s="2"/>
      <c r="AX826" s="2"/>
      <c r="AY826" s="2"/>
      <c r="AZ826" s="1"/>
      <c r="BA826" s="2"/>
      <c r="BB826" s="3">
        <v>212</v>
      </c>
      <c r="BC826" s="3">
        <v>216</v>
      </c>
      <c r="BD826" s="2"/>
      <c r="BE826" s="1"/>
      <c r="BF826" s="1"/>
      <c r="BG826" s="1"/>
      <c r="BH826" s="1"/>
      <c r="BI826" s="1"/>
      <c r="BJ826" s="1"/>
      <c r="BK826" s="1"/>
      <c r="BL826" s="1"/>
      <c r="BM826" s="1"/>
      <c r="BN826" s="2"/>
      <c r="BO826" s="1"/>
      <c r="BP826" s="1"/>
      <c r="BQ826" s="1"/>
      <c r="BR826" s="1"/>
      <c r="BS826" s="1" t="s">
        <v>6859</v>
      </c>
      <c r="BT826" s="5">
        <f>HYPERLINK("https%3A%2F%2Fwww.webofscience.com%2Fwos%2Fwoscc%2Ffull-record%2FWOS:000189438700027","View Full Record in Web of Science")</f>
      </c>
    </row>
    <row x14ac:dyDescent="0.25" r="827" customHeight="1" ht="12.75">
      <c r="A827" s="1" t="s">
        <v>72</v>
      </c>
      <c r="B827" s="1" t="s">
        <v>6860</v>
      </c>
      <c r="C827" s="1"/>
      <c r="D827" s="1"/>
      <c r="E827" s="1"/>
      <c r="F827" s="1" t="s">
        <v>6860</v>
      </c>
      <c r="G827" s="1"/>
      <c r="H827" s="1"/>
      <c r="I827" s="1" t="s">
        <v>6861</v>
      </c>
      <c r="J827" s="1" t="s">
        <v>6862</v>
      </c>
      <c r="K827" s="1"/>
      <c r="L827" s="1"/>
      <c r="M827" s="1"/>
      <c r="N827" s="1"/>
      <c r="O827" s="1"/>
      <c r="P827" s="2"/>
      <c r="Q827" s="1"/>
      <c r="R827" s="1"/>
      <c r="S827" s="1"/>
      <c r="T827" s="1"/>
      <c r="U827" s="1"/>
      <c r="V827" s="1" t="s">
        <v>6863</v>
      </c>
      <c r="W827" s="1"/>
      <c r="X827" s="1"/>
      <c r="Y827" s="1"/>
      <c r="Z827" s="1"/>
      <c r="AA827" s="1" t="s">
        <v>6864</v>
      </c>
      <c r="AB827" s="1"/>
      <c r="AC827" s="1"/>
      <c r="AD827" s="1"/>
      <c r="AE827" s="1"/>
      <c r="AF827" s="1"/>
      <c r="AG827" s="1"/>
      <c r="AH827" s="1"/>
      <c r="AI827" s="1"/>
      <c r="AJ827" s="1"/>
      <c r="AK827" s="1"/>
      <c r="AL827" s="1"/>
      <c r="AM827" s="1"/>
      <c r="AN827" s="1"/>
      <c r="AO827" s="1" t="s">
        <v>6865</v>
      </c>
      <c r="AP827" s="1"/>
      <c r="AQ827" s="1"/>
      <c r="AR827" s="1"/>
      <c r="AS827" s="1"/>
      <c r="AT827" s="1"/>
      <c r="AU827" s="3">
        <v>2001</v>
      </c>
      <c r="AV827" s="3">
        <v>7</v>
      </c>
      <c r="AW827" s="3">
        <v>1</v>
      </c>
      <c r="AX827" s="2"/>
      <c r="AY827" s="2"/>
      <c r="AZ827" s="1"/>
      <c r="BA827" s="2"/>
      <c r="BB827" s="3">
        <v>99</v>
      </c>
      <c r="BC827" s="3">
        <v>116</v>
      </c>
      <c r="BD827" s="2"/>
      <c r="BE827" s="1"/>
      <c r="BF827" s="1"/>
      <c r="BG827" s="1"/>
      <c r="BH827" s="1"/>
      <c r="BI827" s="1"/>
      <c r="BJ827" s="1"/>
      <c r="BK827" s="1"/>
      <c r="BL827" s="1"/>
      <c r="BM827" s="1"/>
      <c r="BN827" s="2"/>
      <c r="BO827" s="1"/>
      <c r="BP827" s="1"/>
      <c r="BQ827" s="1"/>
      <c r="BR827" s="1"/>
      <c r="BS827" s="1" t="s">
        <v>6866</v>
      </c>
      <c r="BT827" s="5">
        <f>HYPERLINK("https%3A%2F%2Fwww.webofscience.com%2Fwos%2Fwoscc%2Ffull-record%2FWOS:000169096500009","View Full Record in Web of Science")</f>
      </c>
    </row>
    <row x14ac:dyDescent="0.25" r="828" customHeight="1" ht="12.75">
      <c r="A828" s="1" t="s">
        <v>72</v>
      </c>
      <c r="B828" s="1" t="s">
        <v>6867</v>
      </c>
      <c r="C828" s="1"/>
      <c r="D828" s="1"/>
      <c r="E828" s="1"/>
      <c r="F828" s="1" t="s">
        <v>6867</v>
      </c>
      <c r="G828" s="1"/>
      <c r="H828" s="1"/>
      <c r="I828" s="1" t="s">
        <v>6868</v>
      </c>
      <c r="J828" s="1" t="s">
        <v>897</v>
      </c>
      <c r="K828" s="1"/>
      <c r="L828" s="1"/>
      <c r="M828" s="1"/>
      <c r="N828" s="1"/>
      <c r="O828" s="1" t="s">
        <v>6869</v>
      </c>
      <c r="P828" s="2" t="s">
        <v>6870</v>
      </c>
      <c r="Q828" s="1" t="s">
        <v>6871</v>
      </c>
      <c r="R828" s="1" t="s">
        <v>6872</v>
      </c>
      <c r="S828" s="1"/>
      <c r="T828" s="1"/>
      <c r="U828" s="1"/>
      <c r="V828" s="1" t="s">
        <v>6873</v>
      </c>
      <c r="W828" s="1"/>
      <c r="X828" s="1"/>
      <c r="Y828" s="1"/>
      <c r="Z828" s="1"/>
      <c r="AA828" s="1"/>
      <c r="AB828" s="1"/>
      <c r="AC828" s="1"/>
      <c r="AD828" s="1"/>
      <c r="AE828" s="1"/>
      <c r="AF828" s="1"/>
      <c r="AG828" s="1"/>
      <c r="AH828" s="1"/>
      <c r="AI828" s="1"/>
      <c r="AJ828" s="1"/>
      <c r="AK828" s="1"/>
      <c r="AL828" s="1"/>
      <c r="AM828" s="1"/>
      <c r="AN828" s="1"/>
      <c r="AO828" s="1" t="s">
        <v>900</v>
      </c>
      <c r="AP828" s="1"/>
      <c r="AQ828" s="1"/>
      <c r="AR828" s="1"/>
      <c r="AS828" s="1"/>
      <c r="AT828" s="1" t="s">
        <v>292</v>
      </c>
      <c r="AU828" s="3">
        <v>2000</v>
      </c>
      <c r="AV828" s="3">
        <v>45</v>
      </c>
      <c r="AW828" s="3">
        <v>3</v>
      </c>
      <c r="AX828" s="2"/>
      <c r="AY828" s="2"/>
      <c r="AZ828" s="1"/>
      <c r="BA828" s="2"/>
      <c r="BB828" s="3">
        <v>377</v>
      </c>
      <c r="BC828" s="3">
        <v>383</v>
      </c>
      <c r="BD828" s="2"/>
      <c r="BE828" s="1"/>
      <c r="BF828" s="1"/>
      <c r="BG828" s="1"/>
      <c r="BH828" s="1"/>
      <c r="BI828" s="1"/>
      <c r="BJ828" s="1"/>
      <c r="BK828" s="1"/>
      <c r="BL828" s="1"/>
      <c r="BM828" s="1"/>
      <c r="BN828" s="2"/>
      <c r="BO828" s="1"/>
      <c r="BP828" s="1"/>
      <c r="BQ828" s="1"/>
      <c r="BR828" s="1"/>
      <c r="BS828" s="1" t="s">
        <v>6874</v>
      </c>
      <c r="BT828" s="5">
        <f>HYPERLINK("https%3A%2F%2Fwww.webofscience.com%2Fwos%2Fwoscc%2Ffull-record%2FWOS:000089763300007","View Full Record in Web of Science")</f>
      </c>
    </row>
    <row x14ac:dyDescent="0.25" r="829" customHeight="1" ht="12.75">
      <c r="A829" s="1" t="s">
        <v>72</v>
      </c>
      <c r="B829" s="1" t="s">
        <v>6875</v>
      </c>
      <c r="C829" s="1"/>
      <c r="D829" s="1"/>
      <c r="E829" s="1"/>
      <c r="F829" s="1" t="s">
        <v>6875</v>
      </c>
      <c r="G829" s="1"/>
      <c r="H829" s="1"/>
      <c r="I829" s="1" t="s">
        <v>6876</v>
      </c>
      <c r="J829" s="1" t="s">
        <v>6877</v>
      </c>
      <c r="K829" s="1"/>
      <c r="L829" s="1"/>
      <c r="M829" s="1"/>
      <c r="N829" s="1"/>
      <c r="O829" s="1"/>
      <c r="P829" s="2"/>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t="s">
        <v>6878</v>
      </c>
      <c r="AP829" s="1"/>
      <c r="AQ829" s="1"/>
      <c r="AR829" s="1"/>
      <c r="AS829" s="1"/>
      <c r="AT829" s="1" t="s">
        <v>6879</v>
      </c>
      <c r="AU829" s="3">
        <v>2000</v>
      </c>
      <c r="AV829" s="3">
        <v>35</v>
      </c>
      <c r="AW829" s="2" t="s">
        <v>3830</v>
      </c>
      <c r="AX829" s="2"/>
      <c r="AY829" s="2"/>
      <c r="AZ829" s="1" t="s">
        <v>170</v>
      </c>
      <c r="BA829" s="2"/>
      <c r="BB829" s="3">
        <v>440</v>
      </c>
      <c r="BC829" s="3">
        <v>440</v>
      </c>
      <c r="BD829" s="2"/>
      <c r="BE829" s="1"/>
      <c r="BF829" s="1"/>
      <c r="BG829" s="1"/>
      <c r="BH829" s="1"/>
      <c r="BI829" s="1"/>
      <c r="BJ829" s="1"/>
      <c r="BK829" s="1"/>
      <c r="BL829" s="1"/>
      <c r="BM829" s="1"/>
      <c r="BN829" s="2"/>
      <c r="BO829" s="1"/>
      <c r="BP829" s="1"/>
      <c r="BQ829" s="1"/>
      <c r="BR829" s="1"/>
      <c r="BS829" s="1" t="s">
        <v>6880</v>
      </c>
      <c r="BT829" s="5">
        <f>HYPERLINK("https%3A%2F%2Fwww.webofscience.com%2Fwos%2Fwoscc%2Ffull-record%2FWOS:000088388804321","View Full Record in Web of Science")</f>
      </c>
    </row>
    <row x14ac:dyDescent="0.25" r="830" customHeight="1" ht="12.75">
      <c r="A830" s="1" t="s">
        <v>72</v>
      </c>
      <c r="B830" s="1" t="s">
        <v>6881</v>
      </c>
      <c r="C830" s="1"/>
      <c r="D830" s="1"/>
      <c r="E830" s="1"/>
      <c r="F830" s="1" t="s">
        <v>6881</v>
      </c>
      <c r="G830" s="1"/>
      <c r="H830" s="1"/>
      <c r="I830" s="1" t="s">
        <v>6882</v>
      </c>
      <c r="J830" s="1" t="s">
        <v>897</v>
      </c>
      <c r="K830" s="1"/>
      <c r="L830" s="1"/>
      <c r="M830" s="1"/>
      <c r="N830" s="1"/>
      <c r="O830" s="1"/>
      <c r="P830" s="2"/>
      <c r="Q830" s="1"/>
      <c r="R830" s="1"/>
      <c r="S830" s="1"/>
      <c r="T830" s="1"/>
      <c r="U830" s="1"/>
      <c r="V830" s="1" t="s">
        <v>6883</v>
      </c>
      <c r="W830" s="1"/>
      <c r="X830" s="1"/>
      <c r="Y830" s="1"/>
      <c r="Z830" s="1"/>
      <c r="AA830" s="1"/>
      <c r="AB830" s="1"/>
      <c r="AC830" s="1"/>
      <c r="AD830" s="1"/>
      <c r="AE830" s="1"/>
      <c r="AF830" s="1"/>
      <c r="AG830" s="1"/>
      <c r="AH830" s="1"/>
      <c r="AI830" s="1"/>
      <c r="AJ830" s="1"/>
      <c r="AK830" s="1"/>
      <c r="AL830" s="1"/>
      <c r="AM830" s="1"/>
      <c r="AN830" s="1"/>
      <c r="AO830" s="1" t="s">
        <v>900</v>
      </c>
      <c r="AP830" s="1"/>
      <c r="AQ830" s="1"/>
      <c r="AR830" s="1"/>
      <c r="AS830" s="1"/>
      <c r="AT830" s="1" t="s">
        <v>605</v>
      </c>
      <c r="AU830" s="3">
        <v>2000</v>
      </c>
      <c r="AV830" s="3">
        <v>45</v>
      </c>
      <c r="AW830" s="3">
        <v>1</v>
      </c>
      <c r="AX830" s="2"/>
      <c r="AY830" s="2"/>
      <c r="AZ830" s="1"/>
      <c r="BA830" s="2"/>
      <c r="BB830" s="3">
        <v>31</v>
      </c>
      <c r="BC830" s="3">
        <v>39</v>
      </c>
      <c r="BD830" s="2"/>
      <c r="BE830" s="1"/>
      <c r="BF830" s="1"/>
      <c r="BG830" s="1"/>
      <c r="BH830" s="1"/>
      <c r="BI830" s="1"/>
      <c r="BJ830" s="1"/>
      <c r="BK830" s="1"/>
      <c r="BL830" s="1"/>
      <c r="BM830" s="1"/>
      <c r="BN830" s="2"/>
      <c r="BO830" s="1"/>
      <c r="BP830" s="1"/>
      <c r="BQ830" s="1"/>
      <c r="BR830" s="1"/>
      <c r="BS830" s="1" t="s">
        <v>6884</v>
      </c>
      <c r="BT830" s="5">
        <f>HYPERLINK("https%3A%2F%2Fwww.webofscience.com%2Fwos%2Fwoscc%2Ffull-record%2FWOS:000086415500005","View Full Record in Web of Science")</f>
      </c>
    </row>
    <row x14ac:dyDescent="0.25" r="831" customHeight="1" ht="12.75">
      <c r="A831" s="1" t="s">
        <v>303</v>
      </c>
      <c r="B831" s="1" t="s">
        <v>6885</v>
      </c>
      <c r="C831" s="1"/>
      <c r="D831" s="1"/>
      <c r="E831" s="1" t="s">
        <v>6886</v>
      </c>
      <c r="F831" s="1" t="s">
        <v>6885</v>
      </c>
      <c r="G831" s="1"/>
      <c r="H831" s="1"/>
      <c r="I831" s="1" t="s">
        <v>6887</v>
      </c>
      <c r="J831" s="1" t="s">
        <v>6888</v>
      </c>
      <c r="K831" s="1"/>
      <c r="L831" s="1"/>
      <c r="M831" s="1"/>
      <c r="N831" s="1"/>
      <c r="O831" s="1" t="s">
        <v>6889</v>
      </c>
      <c r="P831" s="2" t="s">
        <v>6890</v>
      </c>
      <c r="Q831" s="1" t="s">
        <v>6891</v>
      </c>
      <c r="R831" s="1" t="s">
        <v>6892</v>
      </c>
      <c r="S831" s="1"/>
      <c r="T831" s="1"/>
      <c r="U831" s="1"/>
      <c r="V831" s="1" t="s">
        <v>6893</v>
      </c>
      <c r="W831" s="1"/>
      <c r="X831" s="1"/>
      <c r="Y831" s="1"/>
      <c r="Z831" s="1"/>
      <c r="AA831" s="1"/>
      <c r="AB831" s="1"/>
      <c r="AC831" s="1"/>
      <c r="AD831" s="1"/>
      <c r="AE831" s="1"/>
      <c r="AF831" s="1"/>
      <c r="AG831" s="1"/>
      <c r="AH831" s="1"/>
      <c r="AI831" s="1"/>
      <c r="AJ831" s="1"/>
      <c r="AK831" s="1"/>
      <c r="AL831" s="1"/>
      <c r="AM831" s="1"/>
      <c r="AN831" s="1"/>
      <c r="AO831" s="1"/>
      <c r="AP831" s="1"/>
      <c r="AQ831" s="1" t="s">
        <v>6894</v>
      </c>
      <c r="AR831" s="1"/>
      <c r="AS831" s="1"/>
      <c r="AT831" s="1"/>
      <c r="AU831" s="3">
        <v>2000</v>
      </c>
      <c r="AV831" s="2"/>
      <c r="AW831" s="2"/>
      <c r="AX831" s="2"/>
      <c r="AY831" s="2"/>
      <c r="AZ831" s="1"/>
      <c r="BA831" s="2"/>
      <c r="BB831" s="3">
        <v>54</v>
      </c>
      <c r="BC831" s="3">
        <v>59</v>
      </c>
      <c r="BD831" s="2"/>
      <c r="BE831" s="1"/>
      <c r="BF831" s="1"/>
      <c r="BG831" s="1"/>
      <c r="BH831" s="1"/>
      <c r="BI831" s="1"/>
      <c r="BJ831" s="1"/>
      <c r="BK831" s="1"/>
      <c r="BL831" s="1"/>
      <c r="BM831" s="1"/>
      <c r="BN831" s="2"/>
      <c r="BO831" s="1"/>
      <c r="BP831" s="1"/>
      <c r="BQ831" s="1"/>
      <c r="BR831" s="1"/>
      <c r="BS831" s="1" t="s">
        <v>6895</v>
      </c>
      <c r="BT831" s="5">
        <f>HYPERLINK("https%3A%2F%2Fwww.webofscience.com%2Fwos%2Fwoscc%2Ffull-record%2FWOS:000166794500009","View Full Record in Web of Science")</f>
      </c>
    </row>
    <row x14ac:dyDescent="0.25" r="832" customHeight="1" ht="12.75">
      <c r="A832" s="1" t="s">
        <v>72</v>
      </c>
      <c r="B832" s="1" t="s">
        <v>6896</v>
      </c>
      <c r="C832" s="1"/>
      <c r="D832" s="1"/>
      <c r="E832" s="1"/>
      <c r="F832" s="1" t="s">
        <v>6896</v>
      </c>
      <c r="G832" s="1"/>
      <c r="H832" s="1"/>
      <c r="I832" s="1" t="s">
        <v>6897</v>
      </c>
      <c r="J832" s="1" t="s">
        <v>1669</v>
      </c>
      <c r="K832" s="1"/>
      <c r="L832" s="1"/>
      <c r="M832" s="1"/>
      <c r="N832" s="1"/>
      <c r="O832" s="1"/>
      <c r="P832" s="2"/>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t="s">
        <v>1670</v>
      </c>
      <c r="AP832" s="1"/>
      <c r="AQ832" s="1"/>
      <c r="AR832" s="1"/>
      <c r="AS832" s="1"/>
      <c r="AT832" s="1"/>
      <c r="AU832" s="3">
        <v>1999</v>
      </c>
      <c r="AV832" s="3">
        <v>25</v>
      </c>
      <c r="AW832" s="3">
        <v>50</v>
      </c>
      <c r="AX832" s="2"/>
      <c r="AY832" s="2"/>
      <c r="AZ832" s="1"/>
      <c r="BA832" s="2"/>
      <c r="BB832" s="3">
        <v>29</v>
      </c>
      <c r="BC832" s="3">
        <v>34</v>
      </c>
      <c r="BD832" s="2"/>
      <c r="BE832" s="1"/>
      <c r="BF832" s="1"/>
      <c r="BG832" s="1"/>
      <c r="BH832" s="1"/>
      <c r="BI832" s="1"/>
      <c r="BJ832" s="1"/>
      <c r="BK832" s="1"/>
      <c r="BL832" s="1"/>
      <c r="BM832" s="1"/>
      <c r="BN832" s="2"/>
      <c r="BO832" s="1"/>
      <c r="BP832" s="1"/>
      <c r="BQ832" s="1"/>
      <c r="BR832" s="1"/>
      <c r="BS832" s="1" t="s">
        <v>6898</v>
      </c>
      <c r="BT832" s="5">
        <f>HYPERLINK("https%3A%2F%2Fwww.webofscience.com%2Fwos%2Fwoscc%2Ffull-record%2FWOS:000083455600005","View Full Record in Web of Science")</f>
      </c>
    </row>
    <row x14ac:dyDescent="0.25" r="833" customHeight="1" ht="12.75">
      <c r="A833" s="1" t="s">
        <v>72</v>
      </c>
      <c r="B833" s="1" t="s">
        <v>4624</v>
      </c>
      <c r="C833" s="1"/>
      <c r="D833" s="1"/>
      <c r="E833" s="1"/>
      <c r="F833" s="1" t="s">
        <v>4624</v>
      </c>
      <c r="G833" s="1"/>
      <c r="H833" s="1"/>
      <c r="I833" s="1" t="s">
        <v>6899</v>
      </c>
      <c r="J833" s="1" t="s">
        <v>1774</v>
      </c>
      <c r="K833" s="1"/>
      <c r="L833" s="1"/>
      <c r="M833" s="1"/>
      <c r="N833" s="1"/>
      <c r="O833" s="1"/>
      <c r="P833" s="2"/>
      <c r="Q833" s="1"/>
      <c r="R833" s="1"/>
      <c r="S833" s="1"/>
      <c r="T833" s="1"/>
      <c r="U833" s="1"/>
      <c r="V833" s="1" t="s">
        <v>6900</v>
      </c>
      <c r="W833" s="1"/>
      <c r="X833" s="1"/>
      <c r="Y833" s="1"/>
      <c r="Z833" s="1"/>
      <c r="AA833" s="1"/>
      <c r="AB833" s="1"/>
      <c r="AC833" s="1"/>
      <c r="AD833" s="1"/>
      <c r="AE833" s="1"/>
      <c r="AF833" s="1"/>
      <c r="AG833" s="1"/>
      <c r="AH833" s="1"/>
      <c r="AI833" s="1"/>
      <c r="AJ833" s="1"/>
      <c r="AK833" s="1"/>
      <c r="AL833" s="1"/>
      <c r="AM833" s="1"/>
      <c r="AN833" s="1"/>
      <c r="AO833" s="1" t="s">
        <v>1775</v>
      </c>
      <c r="AP833" s="1"/>
      <c r="AQ833" s="1"/>
      <c r="AR833" s="1"/>
      <c r="AS833" s="1"/>
      <c r="AT833" s="1" t="s">
        <v>605</v>
      </c>
      <c r="AU833" s="3">
        <v>1997</v>
      </c>
      <c r="AV833" s="3">
        <v>29</v>
      </c>
      <c r="AW833" s="3">
        <v>3</v>
      </c>
      <c r="AX833" s="2"/>
      <c r="AY833" s="2"/>
      <c r="AZ833" s="1"/>
      <c r="BA833" s="2"/>
      <c r="BB833" s="3">
        <v>219</v>
      </c>
      <c r="BC833" s="3">
        <v>224</v>
      </c>
      <c r="BD833" s="2"/>
      <c r="BE833" s="1"/>
      <c r="BF833" s="1"/>
      <c r="BG833" s="1"/>
      <c r="BH833" s="1"/>
      <c r="BI833" s="1"/>
      <c r="BJ833" s="1"/>
      <c r="BK833" s="1"/>
      <c r="BL833" s="1"/>
      <c r="BM833" s="1"/>
      <c r="BN833" s="2"/>
      <c r="BO833" s="1"/>
      <c r="BP833" s="1"/>
      <c r="BQ833" s="1"/>
      <c r="BR833" s="1"/>
      <c r="BS833" s="1" t="s">
        <v>6901</v>
      </c>
      <c r="BT833" s="5">
        <f>HYPERLINK("https%3A%2F%2Fwww.webofscience.com%2Fwos%2Fwoscc%2Ffull-record%2FWOS:A1997WH95000009","View Full Record in Web of Science")</f>
      </c>
    </row>
    <row x14ac:dyDescent="0.25" r="834" customHeight="1" ht="12.75">
      <c r="A834" s="1" t="s">
        <v>72</v>
      </c>
      <c r="B834" s="1" t="s">
        <v>3242</v>
      </c>
      <c r="C834" s="1"/>
      <c r="D834" s="1"/>
      <c r="E834" s="1"/>
      <c r="F834" s="1" t="s">
        <v>3242</v>
      </c>
      <c r="G834" s="1"/>
      <c r="H834" s="1"/>
      <c r="I834" s="1" t="s">
        <v>6902</v>
      </c>
      <c r="J834" s="1" t="s">
        <v>6903</v>
      </c>
      <c r="K834" s="1"/>
      <c r="L834" s="1"/>
      <c r="M834" s="1"/>
      <c r="N834" s="1"/>
      <c r="O834" s="1"/>
      <c r="P834" s="2"/>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t="s">
        <v>6904</v>
      </c>
      <c r="AP834" s="1"/>
      <c r="AQ834" s="1"/>
      <c r="AR834" s="1"/>
      <c r="AS834" s="1"/>
      <c r="AT834" s="1" t="s">
        <v>3654</v>
      </c>
      <c r="AU834" s="3">
        <v>1990</v>
      </c>
      <c r="AV834" s="3">
        <v>27</v>
      </c>
      <c r="AW834" s="3">
        <v>3</v>
      </c>
      <c r="AX834" s="2"/>
      <c r="AY834" s="2"/>
      <c r="AZ834" s="1"/>
      <c r="BA834" s="2"/>
      <c r="BB834" s="3">
        <v>191</v>
      </c>
      <c r="BC834" s="3">
        <v>203</v>
      </c>
      <c r="BD834" s="2"/>
      <c r="BE834" s="1"/>
      <c r="BF834" s="1"/>
      <c r="BG834" s="1"/>
      <c r="BH834" s="1"/>
      <c r="BI834" s="1"/>
      <c r="BJ834" s="1"/>
      <c r="BK834" s="1"/>
      <c r="BL834" s="1"/>
      <c r="BM834" s="1"/>
      <c r="BN834" s="2"/>
      <c r="BO834" s="1"/>
      <c r="BP834" s="1"/>
      <c r="BQ834" s="1"/>
      <c r="BR834" s="1"/>
      <c r="BS834" s="1" t="s">
        <v>6905</v>
      </c>
      <c r="BT834" s="5">
        <f>HYPERLINK("https%3A%2F%2Fwww.webofscience.com%2Fwos%2Fwoscc%2Ffull-record%2FWOS:A1990FV31300002","View Full Record in Web of Science")</f>
      </c>
    </row>
    <row x14ac:dyDescent="0.25" r="835" customHeight="1" ht="12.75">
      <c r="A835" s="1" t="s">
        <v>72</v>
      </c>
      <c r="B835" s="1" t="s">
        <v>6906</v>
      </c>
      <c r="C835" s="1"/>
      <c r="D835" s="1"/>
      <c r="E835" s="1"/>
      <c r="F835" s="1" t="s">
        <v>6906</v>
      </c>
      <c r="G835" s="1"/>
      <c r="H835" s="1"/>
      <c r="I835" s="1" t="s">
        <v>6907</v>
      </c>
      <c r="J835" s="1" t="s">
        <v>6908</v>
      </c>
      <c r="K835" s="1"/>
      <c r="L835" s="1"/>
      <c r="M835" s="1"/>
      <c r="N835" s="1"/>
      <c r="O835" s="1"/>
      <c r="P835" s="2"/>
      <c r="Q835" s="1"/>
      <c r="R835" s="1"/>
      <c r="S835" s="1"/>
      <c r="T835" s="1"/>
      <c r="U835" s="1"/>
      <c r="V835" s="1"/>
      <c r="W835" s="1"/>
      <c r="X835" s="1"/>
      <c r="Y835" s="1"/>
      <c r="Z835" s="1"/>
      <c r="AA835" s="1" t="s">
        <v>905</v>
      </c>
      <c r="AB835" s="1"/>
      <c r="AC835" s="1"/>
      <c r="AD835" s="1"/>
      <c r="AE835" s="1"/>
      <c r="AF835" s="1"/>
      <c r="AG835" s="1"/>
      <c r="AH835" s="1"/>
      <c r="AI835" s="1"/>
      <c r="AJ835" s="1"/>
      <c r="AK835" s="1"/>
      <c r="AL835" s="1"/>
      <c r="AM835" s="1"/>
      <c r="AN835" s="1"/>
      <c r="AO835" s="1" t="s">
        <v>6909</v>
      </c>
      <c r="AP835" s="1"/>
      <c r="AQ835" s="1"/>
      <c r="AR835" s="1"/>
      <c r="AS835" s="1"/>
      <c r="AT835" s="1" t="s">
        <v>137</v>
      </c>
      <c r="AU835" s="3">
        <v>1989</v>
      </c>
      <c r="AV835" s="3">
        <v>22</v>
      </c>
      <c r="AW835" s="3">
        <v>2</v>
      </c>
      <c r="AX835" s="2"/>
      <c r="AY835" s="2"/>
      <c r="AZ835" s="1"/>
      <c r="BA835" s="2"/>
      <c r="BB835" s="3">
        <v>563</v>
      </c>
      <c r="BC835" s="3">
        <v>566</v>
      </c>
      <c r="BD835" s="2"/>
      <c r="BE835" s="1" t="s">
        <v>6910</v>
      </c>
      <c r="BF835" s="4">
        <f>HYPERLINK("http://dx.doi.org/10.1021/ma00192a009","http://dx.doi.org/10.1021/ma00192a009")</f>
      </c>
      <c r="BG835" s="1"/>
      <c r="BH835" s="1"/>
      <c r="BI835" s="1"/>
      <c r="BJ835" s="1"/>
      <c r="BK835" s="1"/>
      <c r="BL835" s="1"/>
      <c r="BM835" s="1"/>
      <c r="BN835" s="2"/>
      <c r="BO835" s="1"/>
      <c r="BP835" s="1"/>
      <c r="BQ835" s="1"/>
      <c r="BR835" s="1"/>
      <c r="BS835" s="1" t="s">
        <v>6911</v>
      </c>
      <c r="BT835" s="5">
        <f>HYPERLINK("https%3A%2F%2Fwww.webofscience.com%2Fwos%2Fwoscc%2Ffull-record%2FWOS:A1989T340200009","View Full Record in Web of Science")</f>
      </c>
    </row>
    <row x14ac:dyDescent="0.25" r="836" customHeight="1" ht="12.75">
      <c r="A836" s="1" t="s">
        <v>72</v>
      </c>
      <c r="B836" s="1" t="s">
        <v>6912</v>
      </c>
      <c r="C836" s="1"/>
      <c r="D836" s="1"/>
      <c r="E836" s="1"/>
      <c r="F836" s="1" t="s">
        <v>6912</v>
      </c>
      <c r="G836" s="1"/>
      <c r="H836" s="1"/>
      <c r="I836" s="1" t="s">
        <v>6913</v>
      </c>
      <c r="J836" s="1" t="s">
        <v>1179</v>
      </c>
      <c r="K836" s="1"/>
      <c r="L836" s="1"/>
      <c r="M836" s="1"/>
      <c r="N836" s="1"/>
      <c r="O836" s="1"/>
      <c r="P836" s="2"/>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t="s">
        <v>1182</v>
      </c>
      <c r="AP836" s="1" t="s">
        <v>1183</v>
      </c>
      <c r="AQ836" s="1"/>
      <c r="AR836" s="1"/>
      <c r="AS836" s="1"/>
      <c r="AT836" s="1"/>
      <c r="AU836" s="3">
        <v>1983</v>
      </c>
      <c r="AV836" s="3">
        <v>95</v>
      </c>
      <c r="AW836" s="2"/>
      <c r="AX836" s="2" t="s">
        <v>1479</v>
      </c>
      <c r="AY836" s="2"/>
      <c r="AZ836" s="1"/>
      <c r="BA836" s="2"/>
      <c r="BB836" s="3">
        <v>147</v>
      </c>
      <c r="BC836" s="3">
        <v>152</v>
      </c>
      <c r="BD836" s="2"/>
      <c r="BE836" s="1" t="s">
        <v>6914</v>
      </c>
      <c r="BF836" s="4">
        <f>HYPERLINK("http://dx.doi.org/10.1017/S0308210500015845","http://dx.doi.org/10.1017/S0308210500015845")</f>
      </c>
      <c r="BG836" s="1"/>
      <c r="BH836" s="1"/>
      <c r="BI836" s="1"/>
      <c r="BJ836" s="1"/>
      <c r="BK836" s="1"/>
      <c r="BL836" s="1"/>
      <c r="BM836" s="1"/>
      <c r="BN836" s="2"/>
      <c r="BO836" s="1"/>
      <c r="BP836" s="1"/>
      <c r="BQ836" s="1"/>
      <c r="BR836" s="1"/>
      <c r="BS836" s="1" t="s">
        <v>6915</v>
      </c>
      <c r="BT836" s="5">
        <f>HYPERLINK("https%3A%2F%2Fwww.webofscience.com%2Fwos%2Fwoscc%2Ffull-record%2FWOS:A1983RL62400010","View Full Record in Web of Science")</f>
      </c>
    </row>
    <row x14ac:dyDescent="0.25" r="837" customHeight="1" ht="12.75">
      <c r="A837" s="1" t="s">
        <v>72</v>
      </c>
      <c r="B837" s="1" t="s">
        <v>6916</v>
      </c>
      <c r="C837" s="1"/>
      <c r="D837" s="1"/>
      <c r="E837" s="1"/>
      <c r="F837" s="1" t="s">
        <v>6917</v>
      </c>
      <c r="G837" s="1"/>
      <c r="H837" s="1"/>
      <c r="I837" s="1" t="s">
        <v>6918</v>
      </c>
      <c r="J837" s="1" t="s">
        <v>565</v>
      </c>
      <c r="K837" s="1"/>
      <c r="L837" s="1"/>
      <c r="M837" s="1"/>
      <c r="N837" s="1"/>
      <c r="O837" s="1"/>
      <c r="P837" s="2"/>
      <c r="Q837" s="1"/>
      <c r="R837" s="1"/>
      <c r="S837" s="1"/>
      <c r="T837" s="1"/>
      <c r="U837" s="1"/>
      <c r="V837" s="1" t="s">
        <v>6919</v>
      </c>
      <c r="W837" s="1"/>
      <c r="X837" s="1"/>
      <c r="Y837" s="1"/>
      <c r="Z837" s="1"/>
      <c r="AA837" s="1"/>
      <c r="AB837" s="1"/>
      <c r="AC837" s="1"/>
      <c r="AD837" s="1"/>
      <c r="AE837" s="1"/>
      <c r="AF837" s="1"/>
      <c r="AG837" s="1"/>
      <c r="AH837" s="1"/>
      <c r="AI837" s="1"/>
      <c r="AJ837" s="1"/>
      <c r="AK837" s="1"/>
      <c r="AL837" s="1"/>
      <c r="AM837" s="1"/>
      <c r="AN837" s="1"/>
      <c r="AO837" s="1" t="s">
        <v>566</v>
      </c>
      <c r="AP837" s="1"/>
      <c r="AQ837" s="1"/>
      <c r="AR837" s="1"/>
      <c r="AS837" s="1"/>
      <c r="AT837" s="1" t="s">
        <v>204</v>
      </c>
      <c r="AU837" s="3">
        <v>2024</v>
      </c>
      <c r="AV837" s="2"/>
      <c r="AW837" s="3">
        <v>110</v>
      </c>
      <c r="AX837" s="2"/>
      <c r="AY837" s="2"/>
      <c r="AZ837" s="1"/>
      <c r="BA837" s="2"/>
      <c r="BB837" s="2"/>
      <c r="BC837" s="2"/>
      <c r="BD837" s="2"/>
      <c r="BE837" s="1"/>
      <c r="BF837" s="1"/>
      <c r="BG837" s="1"/>
      <c r="BH837" s="1"/>
      <c r="BI837" s="1"/>
      <c r="BJ837" s="1"/>
      <c r="BK837" s="1"/>
      <c r="BL837" s="1"/>
      <c r="BM837" s="1"/>
      <c r="BN837" s="2"/>
      <c r="BO837" s="1"/>
      <c r="BP837" s="1"/>
      <c r="BQ837" s="1"/>
      <c r="BR837" s="1"/>
      <c r="BS837" s="1" t="s">
        <v>6920</v>
      </c>
      <c r="BT837" s="5">
        <f>HYPERLINK("https%3A%2F%2Fwww.webofscience.com%2Fwos%2Fwoscc%2Ffull-record%2FWOS:001416817200003","View Full Record in Web of Science")</f>
      </c>
    </row>
    <row x14ac:dyDescent="0.25" r="838" customHeight="1" ht="12.75">
      <c r="A838" s="1" t="s">
        <v>72</v>
      </c>
      <c r="B838" s="1" t="s">
        <v>4812</v>
      </c>
      <c r="C838" s="1"/>
      <c r="D838" s="1"/>
      <c r="E838" s="1"/>
      <c r="F838" s="1" t="s">
        <v>4813</v>
      </c>
      <c r="G838" s="1"/>
      <c r="H838" s="1"/>
      <c r="I838" s="1" t="s">
        <v>6921</v>
      </c>
      <c r="J838" s="1" t="s">
        <v>972</v>
      </c>
      <c r="K838" s="1"/>
      <c r="L838" s="1"/>
      <c r="M838" s="1"/>
      <c r="N838" s="1"/>
      <c r="O838" s="1"/>
      <c r="P838" s="2"/>
      <c r="Q838" s="1"/>
      <c r="R838" s="1"/>
      <c r="S838" s="1"/>
      <c r="T838" s="1"/>
      <c r="U838" s="1"/>
      <c r="V838" s="1" t="s">
        <v>6922</v>
      </c>
      <c r="W838" s="1"/>
      <c r="X838" s="1"/>
      <c r="Y838" s="1"/>
      <c r="Z838" s="1"/>
      <c r="AA838" s="1"/>
      <c r="AB838" s="1"/>
      <c r="AC838" s="1"/>
      <c r="AD838" s="1"/>
      <c r="AE838" s="1"/>
      <c r="AF838" s="1"/>
      <c r="AG838" s="1"/>
      <c r="AH838" s="1"/>
      <c r="AI838" s="1"/>
      <c r="AJ838" s="1"/>
      <c r="AK838" s="1"/>
      <c r="AL838" s="1"/>
      <c r="AM838" s="1"/>
      <c r="AN838" s="1"/>
      <c r="AO838" s="1" t="s">
        <v>974</v>
      </c>
      <c r="AP838" s="1"/>
      <c r="AQ838" s="1"/>
      <c r="AR838" s="1"/>
      <c r="AS838" s="1"/>
      <c r="AT838" s="1"/>
      <c r="AU838" s="3">
        <v>2024</v>
      </c>
      <c r="AV838" s="2"/>
      <c r="AW838" s="3">
        <v>24</v>
      </c>
      <c r="AX838" s="2"/>
      <c r="AY838" s="2"/>
      <c r="AZ838" s="1"/>
      <c r="BA838" s="2"/>
      <c r="BB838" s="2"/>
      <c r="BC838" s="2"/>
      <c r="BD838" s="2"/>
      <c r="BE838" s="1" t="s">
        <v>6923</v>
      </c>
      <c r="BF838" s="4">
        <f>HYPERLINK("http://dx.doi.org/10.7203/KAM.24.93854","http://dx.doi.org/10.7203/KAM.24.93854")</f>
      </c>
      <c r="BG838" s="1"/>
      <c r="BH838" s="1"/>
      <c r="BI838" s="1"/>
      <c r="BJ838" s="1"/>
      <c r="BK838" s="1"/>
      <c r="BL838" s="1"/>
      <c r="BM838" s="1"/>
      <c r="BN838" s="2"/>
      <c r="BO838" s="1"/>
      <c r="BP838" s="1"/>
      <c r="BQ838" s="1"/>
      <c r="BR838" s="1"/>
      <c r="BS838" s="1" t="s">
        <v>6924</v>
      </c>
      <c r="BT838" s="5">
        <f>HYPERLINK("https%3A%2F%2Fwww.webofscience.com%2Fwos%2Fwoscc%2Ffull-record%2FWOS:001411162000013","View Full Record in Web of Science")</f>
      </c>
    </row>
    <row x14ac:dyDescent="0.25" r="839" customHeight="1" ht="12.75">
      <c r="A839" s="1" t="s">
        <v>72</v>
      </c>
      <c r="B839" s="1" t="s">
        <v>6925</v>
      </c>
      <c r="C839" s="1"/>
      <c r="D839" s="1"/>
      <c r="E839" s="1"/>
      <c r="F839" s="1" t="s">
        <v>6926</v>
      </c>
      <c r="G839" s="1"/>
      <c r="H839" s="1"/>
      <c r="I839" s="1" t="s">
        <v>6927</v>
      </c>
      <c r="J839" s="1" t="s">
        <v>6928</v>
      </c>
      <c r="K839" s="1"/>
      <c r="L839" s="1"/>
      <c r="M839" s="1"/>
      <c r="N839" s="1"/>
      <c r="O839" s="1"/>
      <c r="P839" s="2"/>
      <c r="Q839" s="1"/>
      <c r="R839" s="1"/>
      <c r="S839" s="1"/>
      <c r="T839" s="1"/>
      <c r="U839" s="1"/>
      <c r="V839" s="1" t="s">
        <v>6929</v>
      </c>
      <c r="W839" s="1"/>
      <c r="X839" s="1"/>
      <c r="Y839" s="1"/>
      <c r="Z839" s="1"/>
      <c r="AA839" s="1" t="s">
        <v>6930</v>
      </c>
      <c r="AB839" s="1" t="s">
        <v>6931</v>
      </c>
      <c r="AC839" s="1"/>
      <c r="AD839" s="1"/>
      <c r="AE839" s="1"/>
      <c r="AF839" s="1"/>
      <c r="AG839" s="1"/>
      <c r="AH839" s="1"/>
      <c r="AI839" s="1"/>
      <c r="AJ839" s="1"/>
      <c r="AK839" s="1"/>
      <c r="AL839" s="1"/>
      <c r="AM839" s="1"/>
      <c r="AN839" s="1"/>
      <c r="AO839" s="1" t="s">
        <v>6932</v>
      </c>
      <c r="AP839" s="1" t="s">
        <v>6933</v>
      </c>
      <c r="AQ839" s="1"/>
      <c r="AR839" s="1"/>
      <c r="AS839" s="1"/>
      <c r="AT839" s="1" t="s">
        <v>204</v>
      </c>
      <c r="AU839" s="3">
        <v>2023</v>
      </c>
      <c r="AV839" s="3">
        <v>101</v>
      </c>
      <c r="AW839" s="2"/>
      <c r="AX839" s="2"/>
      <c r="AY839" s="2"/>
      <c r="AZ839" s="1"/>
      <c r="BA839" s="2"/>
      <c r="BB839" s="2"/>
      <c r="BC839" s="2"/>
      <c r="BD839" s="3">
        <v>106705</v>
      </c>
      <c r="BE839" s="1" t="s">
        <v>6934</v>
      </c>
      <c r="BF839" s="4">
        <f>HYPERLINK("http://dx.doi.org/10.1016/j.ultsonch.2023.106705","http://dx.doi.org/10.1016/j.ultsonch.2023.106705")</f>
      </c>
      <c r="BG839" s="1"/>
      <c r="BH839" s="1" t="s">
        <v>1008</v>
      </c>
      <c r="BI839" s="1"/>
      <c r="BJ839" s="1"/>
      <c r="BK839" s="1"/>
      <c r="BL839" s="1"/>
      <c r="BM839" s="1"/>
      <c r="BN839" s="3">
        <v>38029567</v>
      </c>
      <c r="BO839" s="1"/>
      <c r="BP839" s="1"/>
      <c r="BQ839" s="1"/>
      <c r="BR839" s="1"/>
      <c r="BS839" s="1" t="s">
        <v>6935</v>
      </c>
      <c r="BT839" s="5">
        <f>HYPERLINK("https%3A%2F%2Fwww.webofscience.com%2Fwos%2Fwoscc%2Ffull-record%2FWOS:001127694900001","View Full Record in Web of Science")</f>
      </c>
    </row>
    <row x14ac:dyDescent="0.25" r="840" customHeight="1" ht="12.75">
      <c r="A840" s="1" t="s">
        <v>72</v>
      </c>
      <c r="B840" s="1" t="s">
        <v>6936</v>
      </c>
      <c r="C840" s="1"/>
      <c r="D840" s="1"/>
      <c r="E840" s="1"/>
      <c r="F840" s="1" t="s">
        <v>6937</v>
      </c>
      <c r="G840" s="1"/>
      <c r="H840" s="1"/>
      <c r="I840" s="1" t="s">
        <v>6938</v>
      </c>
      <c r="J840" s="1" t="s">
        <v>6939</v>
      </c>
      <c r="K840" s="1"/>
      <c r="L840" s="1"/>
      <c r="M840" s="1"/>
      <c r="N840" s="1"/>
      <c r="O840" s="1"/>
      <c r="P840" s="2"/>
      <c r="Q840" s="1"/>
      <c r="R840" s="1"/>
      <c r="S840" s="1"/>
      <c r="T840" s="1"/>
      <c r="U840" s="1"/>
      <c r="V840" s="1" t="s">
        <v>6940</v>
      </c>
      <c r="W840" s="1"/>
      <c r="X840" s="1"/>
      <c r="Y840" s="1"/>
      <c r="Z840" s="1"/>
      <c r="AA840" s="1" t="s">
        <v>6941</v>
      </c>
      <c r="AB840" s="1" t="s">
        <v>6942</v>
      </c>
      <c r="AC840" s="1"/>
      <c r="AD840" s="1"/>
      <c r="AE840" s="1"/>
      <c r="AF840" s="1"/>
      <c r="AG840" s="1"/>
      <c r="AH840" s="1"/>
      <c r="AI840" s="1"/>
      <c r="AJ840" s="1"/>
      <c r="AK840" s="1"/>
      <c r="AL840" s="1"/>
      <c r="AM840" s="1"/>
      <c r="AN840" s="1"/>
      <c r="AO840" s="1" t="s">
        <v>6943</v>
      </c>
      <c r="AP840" s="1" t="s">
        <v>6944</v>
      </c>
      <c r="AQ840" s="1"/>
      <c r="AR840" s="1"/>
      <c r="AS840" s="1"/>
      <c r="AT840" s="1" t="s">
        <v>6214</v>
      </c>
      <c r="AU840" s="3">
        <v>2023</v>
      </c>
      <c r="AV840" s="3">
        <v>113</v>
      </c>
      <c r="AW840" s="3">
        <v>2</v>
      </c>
      <c r="AX840" s="2"/>
      <c r="AY840" s="2"/>
      <c r="AZ840" s="1"/>
      <c r="BA840" s="2"/>
      <c r="BB840" s="2"/>
      <c r="BC840" s="2"/>
      <c r="BD840" s="3">
        <v>45</v>
      </c>
      <c r="BE840" s="1" t="s">
        <v>6945</v>
      </c>
      <c r="BF840" s="4">
        <f>HYPERLINK("http://dx.doi.org/10.1007/s11005-023-01669-9","http://dx.doi.org/10.1007/s11005-023-01669-9")</f>
      </c>
      <c r="BG840" s="1"/>
      <c r="BH840" s="1"/>
      <c r="BI840" s="1"/>
      <c r="BJ840" s="1"/>
      <c r="BK840" s="1"/>
      <c r="BL840" s="1"/>
      <c r="BM840" s="1"/>
      <c r="BN840" s="2"/>
      <c r="BO840" s="1"/>
      <c r="BP840" s="1"/>
      <c r="BQ840" s="1"/>
      <c r="BR840" s="1"/>
      <c r="BS840" s="1" t="s">
        <v>6946</v>
      </c>
      <c r="BT840" s="5">
        <f>HYPERLINK("https%3A%2F%2Fwww.webofscience.com%2Fwos%2Fwoscc%2Ffull-record%2FWOS:000970985000001","View Full Record in Web of Science")</f>
      </c>
    </row>
    <row x14ac:dyDescent="0.25" r="841" customHeight="1" ht="12.75">
      <c r="A841" s="1" t="s">
        <v>72</v>
      </c>
      <c r="B841" s="1" t="s">
        <v>6947</v>
      </c>
      <c r="C841" s="1"/>
      <c r="D841" s="1"/>
      <c r="E841" s="1"/>
      <c r="F841" s="1" t="s">
        <v>6948</v>
      </c>
      <c r="G841" s="1"/>
      <c r="H841" s="1"/>
      <c r="I841" s="1" t="s">
        <v>6949</v>
      </c>
      <c r="J841" s="1" t="s">
        <v>6950</v>
      </c>
      <c r="K841" s="1"/>
      <c r="L841" s="1"/>
      <c r="M841" s="1"/>
      <c r="N841" s="1"/>
      <c r="O841" s="1"/>
      <c r="P841" s="2"/>
      <c r="Q841" s="1"/>
      <c r="R841" s="1"/>
      <c r="S841" s="1"/>
      <c r="T841" s="1"/>
      <c r="U841" s="1"/>
      <c r="V841" s="1" t="s">
        <v>6951</v>
      </c>
      <c r="W841" s="1"/>
      <c r="X841" s="1"/>
      <c r="Y841" s="1"/>
      <c r="Z841" s="1"/>
      <c r="AA841" s="1"/>
      <c r="AB841" s="1"/>
      <c r="AC841" s="1"/>
      <c r="AD841" s="1"/>
      <c r="AE841" s="1"/>
      <c r="AF841" s="1"/>
      <c r="AG841" s="1"/>
      <c r="AH841" s="1"/>
      <c r="AI841" s="1"/>
      <c r="AJ841" s="1"/>
      <c r="AK841" s="1"/>
      <c r="AL841" s="1"/>
      <c r="AM841" s="1"/>
      <c r="AN841" s="1"/>
      <c r="AO841" s="1" t="s">
        <v>6952</v>
      </c>
      <c r="AP841" s="1"/>
      <c r="AQ841" s="1"/>
      <c r="AR841" s="1"/>
      <c r="AS841" s="1"/>
      <c r="AT841" s="1" t="s">
        <v>103</v>
      </c>
      <c r="AU841" s="3">
        <v>2023</v>
      </c>
      <c r="AV841" s="3">
        <v>10</v>
      </c>
      <c r="AW841" s="3">
        <v>28</v>
      </c>
      <c r="AX841" s="2"/>
      <c r="AY841" s="2"/>
      <c r="AZ841" s="1"/>
      <c r="BA841" s="2"/>
      <c r="BB841" s="3">
        <v>101</v>
      </c>
      <c r="BC841" s="3">
        <v>120</v>
      </c>
      <c r="BD841" s="2"/>
      <c r="BE841" s="1" t="s">
        <v>6953</v>
      </c>
      <c r="BF841" s="4">
        <f>HYPERLINK("http://dx.doi.org/10.35588/rivar.v10i28.5443","http://dx.doi.org/10.35588/rivar.v10i28.5443")</f>
      </c>
      <c r="BG841" s="1"/>
      <c r="BH841" s="1"/>
      <c r="BI841" s="1"/>
      <c r="BJ841" s="1"/>
      <c r="BK841" s="1"/>
      <c r="BL841" s="1"/>
      <c r="BM841" s="1"/>
      <c r="BN841" s="2"/>
      <c r="BO841" s="1"/>
      <c r="BP841" s="1"/>
      <c r="BQ841" s="1"/>
      <c r="BR841" s="1"/>
      <c r="BS841" s="1" t="s">
        <v>6954</v>
      </c>
      <c r="BT841" s="5">
        <f>HYPERLINK("https%3A%2F%2Fwww.webofscience.com%2Fwos%2Fwoscc%2Ffull-record%2FWOS:001034824700001","View Full Record in Web of Science")</f>
      </c>
    </row>
    <row x14ac:dyDescent="0.25" r="842" customHeight="1" ht="12.75">
      <c r="A842" s="1" t="s">
        <v>72</v>
      </c>
      <c r="B842" s="1" t="s">
        <v>6955</v>
      </c>
      <c r="C842" s="1"/>
      <c r="D842" s="1"/>
      <c r="E842" s="1"/>
      <c r="F842" s="1" t="s">
        <v>6956</v>
      </c>
      <c r="G842" s="1"/>
      <c r="H842" s="1"/>
      <c r="I842" s="1" t="s">
        <v>6957</v>
      </c>
      <c r="J842" s="1" t="s">
        <v>6958</v>
      </c>
      <c r="K842" s="1"/>
      <c r="L842" s="1"/>
      <c r="M842" s="1"/>
      <c r="N842" s="1"/>
      <c r="O842" s="1"/>
      <c r="P842" s="2"/>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t="s">
        <v>6959</v>
      </c>
      <c r="AP842" s="1"/>
      <c r="AQ842" s="1"/>
      <c r="AR842" s="1"/>
      <c r="AS842" s="1"/>
      <c r="AT842" s="1" t="s">
        <v>181</v>
      </c>
      <c r="AU842" s="3">
        <v>2023</v>
      </c>
      <c r="AV842" s="3">
        <v>16</v>
      </c>
      <c r="AW842" s="3">
        <v>1</v>
      </c>
      <c r="AX842" s="2"/>
      <c r="AY842" s="2"/>
      <c r="AZ842" s="1"/>
      <c r="BA842" s="2"/>
      <c r="BB842" s="2"/>
      <c r="BC842" s="2"/>
      <c r="BD842" s="2"/>
      <c r="BE842" s="1" t="s">
        <v>6960</v>
      </c>
      <c r="BF842" s="4">
        <f>HYPERLINK("http://dx.doi.org/10.56754/0718-4867.2023.3375","http://dx.doi.org/10.56754/0718-4867.2023.3375")</f>
      </c>
      <c r="BG842" s="1"/>
      <c r="BH842" s="1"/>
      <c r="BI842" s="1"/>
      <c r="BJ842" s="1"/>
      <c r="BK842" s="1"/>
      <c r="BL842" s="1"/>
      <c r="BM842" s="1"/>
      <c r="BN842" s="2"/>
      <c r="BO842" s="1"/>
      <c r="BP842" s="1"/>
      <c r="BQ842" s="1"/>
      <c r="BR842" s="1"/>
      <c r="BS842" s="1" t="s">
        <v>6961</v>
      </c>
      <c r="BT842" s="5">
        <f>HYPERLINK("https%3A%2F%2Fwww.webofscience.com%2Fwos%2Fwoscc%2Ffull-record%2FWOS:001053183800002","View Full Record in Web of Science")</f>
      </c>
    </row>
    <row x14ac:dyDescent="0.25" r="843" customHeight="1" ht="12.75">
      <c r="A843" s="1" t="s">
        <v>72</v>
      </c>
      <c r="B843" s="1" t="s">
        <v>6962</v>
      </c>
      <c r="C843" s="1"/>
      <c r="D843" s="1"/>
      <c r="E843" s="1"/>
      <c r="F843" s="1" t="s">
        <v>6963</v>
      </c>
      <c r="G843" s="1"/>
      <c r="H843" s="1"/>
      <c r="I843" s="1" t="s">
        <v>6964</v>
      </c>
      <c r="J843" s="1" t="s">
        <v>6965</v>
      </c>
      <c r="K843" s="1"/>
      <c r="L843" s="1"/>
      <c r="M843" s="1"/>
      <c r="N843" s="1"/>
      <c r="O843" s="1"/>
      <c r="P843" s="2"/>
      <c r="Q843" s="1"/>
      <c r="R843" s="1"/>
      <c r="S843" s="1"/>
      <c r="T843" s="1"/>
      <c r="U843" s="1"/>
      <c r="V843" s="1" t="s">
        <v>6966</v>
      </c>
      <c r="W843" s="1"/>
      <c r="X843" s="1"/>
      <c r="Y843" s="1"/>
      <c r="Z843" s="1"/>
      <c r="AA843" s="1"/>
      <c r="AB843" s="1"/>
      <c r="AC843" s="1"/>
      <c r="AD843" s="1"/>
      <c r="AE843" s="1"/>
      <c r="AF843" s="1"/>
      <c r="AG843" s="1"/>
      <c r="AH843" s="1"/>
      <c r="AI843" s="1"/>
      <c r="AJ843" s="1"/>
      <c r="AK843" s="1"/>
      <c r="AL843" s="1"/>
      <c r="AM843" s="1"/>
      <c r="AN843" s="1"/>
      <c r="AO843" s="1" t="s">
        <v>6967</v>
      </c>
      <c r="AP843" s="1" t="s">
        <v>6968</v>
      </c>
      <c r="AQ843" s="1"/>
      <c r="AR843" s="1"/>
      <c r="AS843" s="1"/>
      <c r="AT843" s="1"/>
      <c r="AU843" s="3">
        <v>2023</v>
      </c>
      <c r="AV843" s="3">
        <v>18</v>
      </c>
      <c r="AW843" s="2"/>
      <c r="AX843" s="2"/>
      <c r="AY843" s="2"/>
      <c r="AZ843" s="1"/>
      <c r="BA843" s="2"/>
      <c r="BB843" s="2"/>
      <c r="BC843" s="2"/>
      <c r="BD843" s="2"/>
      <c r="BE843" s="1" t="s">
        <v>6969</v>
      </c>
      <c r="BF843" s="4">
        <f>HYPERLINK("http://dx.doi.org/10.5209/arte.83548","http://dx.doi.org/10.5209/arte.83548")</f>
      </c>
      <c r="BG843" s="1"/>
      <c r="BH843" s="1"/>
      <c r="BI843" s="1"/>
      <c r="BJ843" s="1"/>
      <c r="BK843" s="1"/>
      <c r="BL843" s="1"/>
      <c r="BM843" s="1"/>
      <c r="BN843" s="2"/>
      <c r="BO843" s="1"/>
      <c r="BP843" s="1"/>
      <c r="BQ843" s="1"/>
      <c r="BR843" s="1"/>
      <c r="BS843" s="1" t="s">
        <v>6970</v>
      </c>
      <c r="BT843" s="5">
        <f>HYPERLINK("https%3A%2F%2Fwww.webofscience.com%2Fwos%2Fwoscc%2Ffull-record%2FWOS:000996373900015","View Full Record in Web of Science")</f>
      </c>
    </row>
    <row x14ac:dyDescent="0.25" r="844" customHeight="1" ht="12.75">
      <c r="A844" s="1" t="s">
        <v>72</v>
      </c>
      <c r="B844" s="1" t="s">
        <v>4299</v>
      </c>
      <c r="C844" s="1"/>
      <c r="D844" s="1"/>
      <c r="E844" s="1"/>
      <c r="F844" s="1" t="s">
        <v>4300</v>
      </c>
      <c r="G844" s="1"/>
      <c r="H844" s="1"/>
      <c r="I844" s="1" t="s">
        <v>6971</v>
      </c>
      <c r="J844" s="1" t="s">
        <v>725</v>
      </c>
      <c r="K844" s="1"/>
      <c r="L844" s="1"/>
      <c r="M844" s="1"/>
      <c r="N844" s="1"/>
      <c r="O844" s="1"/>
      <c r="P844" s="2"/>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t="s">
        <v>727</v>
      </c>
      <c r="AP844" s="1" t="s">
        <v>728</v>
      </c>
      <c r="AQ844" s="1"/>
      <c r="AR844" s="1"/>
      <c r="AS844" s="1"/>
      <c r="AT844" s="1" t="s">
        <v>204</v>
      </c>
      <c r="AU844" s="3">
        <v>2022</v>
      </c>
      <c r="AV844" s="2"/>
      <c r="AW844" s="3">
        <v>70</v>
      </c>
      <c r="AX844" s="2"/>
      <c r="AY844" s="2"/>
      <c r="AZ844" s="1"/>
      <c r="BA844" s="2"/>
      <c r="BB844" s="3">
        <v>245</v>
      </c>
      <c r="BC844" s="3">
        <v>246</v>
      </c>
      <c r="BD844" s="2"/>
      <c r="BE844" s="1" t="s">
        <v>6972</v>
      </c>
      <c r="BF844" s="4">
        <f>HYPERLINK("http://dx.doi.org/10.4067/s0071-17132022000200245","http://dx.doi.org/10.4067/s0071-17132022000200245")</f>
      </c>
      <c r="BG844" s="1"/>
      <c r="BH844" s="1"/>
      <c r="BI844" s="1"/>
      <c r="BJ844" s="1"/>
      <c r="BK844" s="1"/>
      <c r="BL844" s="1"/>
      <c r="BM844" s="1"/>
      <c r="BN844" s="2"/>
      <c r="BO844" s="1"/>
      <c r="BP844" s="1"/>
      <c r="BQ844" s="1"/>
      <c r="BR844" s="1"/>
      <c r="BS844" s="1" t="s">
        <v>6973</v>
      </c>
      <c r="BT844" s="5">
        <f>HYPERLINK("https%3A%2F%2Fwww.webofscience.com%2Fwos%2Fwoscc%2Ffull-record%2FWOS:000959872000015","View Full Record in Web of Science")</f>
      </c>
    </row>
    <row x14ac:dyDescent="0.25" r="845" customHeight="1" ht="12.75">
      <c r="A845" s="1" t="s">
        <v>72</v>
      </c>
      <c r="B845" s="1" t="s">
        <v>1941</v>
      </c>
      <c r="C845" s="1"/>
      <c r="D845" s="1"/>
      <c r="E845" s="1"/>
      <c r="F845" s="1" t="s">
        <v>1943</v>
      </c>
      <c r="G845" s="1"/>
      <c r="H845" s="1"/>
      <c r="I845" s="1" t="s">
        <v>6974</v>
      </c>
      <c r="J845" s="1" t="s">
        <v>980</v>
      </c>
      <c r="K845" s="1"/>
      <c r="L845" s="1"/>
      <c r="M845" s="1"/>
      <c r="N845" s="1"/>
      <c r="O845" s="1"/>
      <c r="P845" s="2"/>
      <c r="Q845" s="1"/>
      <c r="R845" s="1"/>
      <c r="S845" s="1"/>
      <c r="T845" s="1"/>
      <c r="U845" s="1"/>
      <c r="V845" s="1" t="s">
        <v>6975</v>
      </c>
      <c r="W845" s="1"/>
      <c r="X845" s="1"/>
      <c r="Y845" s="1"/>
      <c r="Z845" s="1"/>
      <c r="AA845" s="1"/>
      <c r="AB845" s="1"/>
      <c r="AC845" s="1"/>
      <c r="AD845" s="1"/>
      <c r="AE845" s="1"/>
      <c r="AF845" s="1"/>
      <c r="AG845" s="1"/>
      <c r="AH845" s="1"/>
      <c r="AI845" s="1"/>
      <c r="AJ845" s="1"/>
      <c r="AK845" s="1"/>
      <c r="AL845" s="1"/>
      <c r="AM845" s="1"/>
      <c r="AN845" s="1"/>
      <c r="AO845" s="1" t="s">
        <v>983</v>
      </c>
      <c r="AP845" s="1" t="s">
        <v>984</v>
      </c>
      <c r="AQ845" s="1"/>
      <c r="AR845" s="1"/>
      <c r="AS845" s="1"/>
      <c r="AT845" s="1" t="s">
        <v>158</v>
      </c>
      <c r="AU845" s="3">
        <v>2022</v>
      </c>
      <c r="AV845" s="3">
        <v>22</v>
      </c>
      <c r="AW845" s="3">
        <v>2</v>
      </c>
      <c r="AX845" s="2"/>
      <c r="AY845" s="2"/>
      <c r="AZ845" s="1"/>
      <c r="BA845" s="2"/>
      <c r="BB845" s="3">
        <v>65</v>
      </c>
      <c r="BC845" s="3">
        <v>86</v>
      </c>
      <c r="BD845" s="2"/>
      <c r="BE845" s="1"/>
      <c r="BF845" s="1"/>
      <c r="BG845" s="1"/>
      <c r="BH845" s="1"/>
      <c r="BI845" s="1"/>
      <c r="BJ845" s="1"/>
      <c r="BK845" s="1"/>
      <c r="BL845" s="1"/>
      <c r="BM845" s="1"/>
      <c r="BN845" s="2"/>
      <c r="BO845" s="1"/>
      <c r="BP845" s="1"/>
      <c r="BQ845" s="1"/>
      <c r="BR845" s="1"/>
      <c r="BS845" s="1" t="s">
        <v>6976</v>
      </c>
      <c r="BT845" s="5">
        <f>HYPERLINK("https%3A%2F%2Fwww.webofscience.com%2Fwos%2Fwoscc%2Ffull-record%2FWOS:000923290800003","View Full Record in Web of Science")</f>
      </c>
    </row>
    <row x14ac:dyDescent="0.25" r="846" customHeight="1" ht="12.75">
      <c r="A846" s="1" t="s">
        <v>72</v>
      </c>
      <c r="B846" s="1" t="s">
        <v>6977</v>
      </c>
      <c r="C846" s="1"/>
      <c r="D846" s="1"/>
      <c r="E846" s="1"/>
      <c r="F846" s="1" t="s">
        <v>6978</v>
      </c>
      <c r="G846" s="1"/>
      <c r="H846" s="1"/>
      <c r="I846" s="1" t="s">
        <v>6979</v>
      </c>
      <c r="J846" s="1" t="s">
        <v>6980</v>
      </c>
      <c r="K846" s="1"/>
      <c r="L846" s="1"/>
      <c r="M846" s="1"/>
      <c r="N846" s="1"/>
      <c r="O846" s="1"/>
      <c r="P846" s="2"/>
      <c r="Q846" s="1"/>
      <c r="R846" s="1"/>
      <c r="S846" s="1"/>
      <c r="T846" s="1"/>
      <c r="U846" s="1"/>
      <c r="V846" s="1" t="s">
        <v>6981</v>
      </c>
      <c r="W846" s="1"/>
      <c r="X846" s="1"/>
      <c r="Y846" s="1"/>
      <c r="Z846" s="1"/>
      <c r="AA846" s="1"/>
      <c r="AB846" s="1"/>
      <c r="AC846" s="1"/>
      <c r="AD846" s="1"/>
      <c r="AE846" s="1"/>
      <c r="AF846" s="1"/>
      <c r="AG846" s="1"/>
      <c r="AH846" s="1"/>
      <c r="AI846" s="1"/>
      <c r="AJ846" s="1"/>
      <c r="AK846" s="1"/>
      <c r="AL846" s="1"/>
      <c r="AM846" s="1"/>
      <c r="AN846" s="1"/>
      <c r="AO846" s="1"/>
      <c r="AP846" s="1" t="s">
        <v>6982</v>
      </c>
      <c r="AQ846" s="1"/>
      <c r="AR846" s="1"/>
      <c r="AS846" s="1"/>
      <c r="AT846" s="1" t="s">
        <v>6983</v>
      </c>
      <c r="AU846" s="3">
        <v>2022</v>
      </c>
      <c r="AV846" s="3">
        <v>48</v>
      </c>
      <c r="AW846" s="2"/>
      <c r="AX846" s="2"/>
      <c r="AY846" s="2"/>
      <c r="AZ846" s="1"/>
      <c r="BA846" s="2"/>
      <c r="BB846" s="2"/>
      <c r="BC846" s="2"/>
      <c r="BD846" s="2"/>
      <c r="BE846" s="1" t="s">
        <v>6984</v>
      </c>
      <c r="BF846" s="4">
        <f>HYPERLINK("http://dx.doi.org/10.21134/eurjhm.2022.48.7","http://dx.doi.org/10.21134/eurjhm.2022.48.7")</f>
      </c>
      <c r="BG846" s="1"/>
      <c r="BH846" s="1"/>
      <c r="BI846" s="1"/>
      <c r="BJ846" s="1"/>
      <c r="BK846" s="1"/>
      <c r="BL846" s="1"/>
      <c r="BM846" s="1"/>
      <c r="BN846" s="2"/>
      <c r="BO846" s="1"/>
      <c r="BP846" s="1"/>
      <c r="BQ846" s="1"/>
      <c r="BR846" s="1"/>
      <c r="BS846" s="1" t="s">
        <v>6985</v>
      </c>
      <c r="BT846" s="5">
        <f>HYPERLINK("https%3A%2F%2Fwww.webofscience.com%2Fwos%2Fwoscc%2Ffull-record%2FWOS:000822496700011","View Full Record in Web of Science")</f>
      </c>
    </row>
    <row x14ac:dyDescent="0.25" r="847" customHeight="1" ht="12.75">
      <c r="A847" s="1" t="s">
        <v>72</v>
      </c>
      <c r="B847" s="1" t="s">
        <v>3319</v>
      </c>
      <c r="C847" s="1"/>
      <c r="D847" s="1"/>
      <c r="E847" s="1"/>
      <c r="F847" s="1" t="s">
        <v>3320</v>
      </c>
      <c r="G847" s="1"/>
      <c r="H847" s="1"/>
      <c r="I847" s="1" t="s">
        <v>6986</v>
      </c>
      <c r="J847" s="1" t="s">
        <v>3322</v>
      </c>
      <c r="K847" s="1"/>
      <c r="L847" s="1"/>
      <c r="M847" s="1"/>
      <c r="N847" s="1"/>
      <c r="O847" s="1"/>
      <c r="P847" s="2"/>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t="s">
        <v>3323</v>
      </c>
      <c r="AP847" s="1" t="s">
        <v>3324</v>
      </c>
      <c r="AQ847" s="1"/>
      <c r="AR847" s="1"/>
      <c r="AS847" s="1"/>
      <c r="AT847" s="1" t="s">
        <v>757</v>
      </c>
      <c r="AU847" s="3">
        <v>2022</v>
      </c>
      <c r="AV847" s="3">
        <v>23</v>
      </c>
      <c r="AW847" s="3">
        <v>37</v>
      </c>
      <c r="AX847" s="2"/>
      <c r="AY847" s="2"/>
      <c r="AZ847" s="1"/>
      <c r="BA847" s="2"/>
      <c r="BB847" s="3">
        <v>301</v>
      </c>
      <c r="BC847" s="3">
        <v>304</v>
      </c>
      <c r="BD847" s="2"/>
      <c r="BE847" s="1"/>
      <c r="BF847" s="1"/>
      <c r="BG847" s="1"/>
      <c r="BH847" s="1"/>
      <c r="BI847" s="1"/>
      <c r="BJ847" s="1"/>
      <c r="BK847" s="1"/>
      <c r="BL847" s="1"/>
      <c r="BM847" s="1"/>
      <c r="BN847" s="2"/>
      <c r="BO847" s="1"/>
      <c r="BP847" s="1"/>
      <c r="BQ847" s="1"/>
      <c r="BR847" s="1"/>
      <c r="BS847" s="1" t="s">
        <v>6987</v>
      </c>
      <c r="BT847" s="5">
        <f>HYPERLINK("https%3A%2F%2Fwww.webofscience.com%2Fwos%2Fwoscc%2Ffull-record%2FWOS:000817165400027","View Full Record in Web of Science")</f>
      </c>
    </row>
    <row x14ac:dyDescent="0.25" r="848" customHeight="1" ht="12.75">
      <c r="A848" s="1" t="s">
        <v>72</v>
      </c>
      <c r="B848" s="1" t="s">
        <v>6988</v>
      </c>
      <c r="C848" s="1"/>
      <c r="D848" s="1"/>
      <c r="E848" s="1"/>
      <c r="F848" s="1" t="s">
        <v>6989</v>
      </c>
      <c r="G848" s="1"/>
      <c r="H848" s="1"/>
      <c r="I848" s="1" t="s">
        <v>6990</v>
      </c>
      <c r="J848" s="1" t="s">
        <v>6340</v>
      </c>
      <c r="K848" s="1"/>
      <c r="L848" s="1"/>
      <c r="M848" s="1"/>
      <c r="N848" s="1"/>
      <c r="O848" s="1"/>
      <c r="P848" s="2"/>
      <c r="Q848" s="1"/>
      <c r="R848" s="1"/>
      <c r="S848" s="1"/>
      <c r="T848" s="1"/>
      <c r="U848" s="1"/>
      <c r="V848" s="1" t="s">
        <v>6991</v>
      </c>
      <c r="W848" s="1"/>
      <c r="X848" s="1"/>
      <c r="Y848" s="1"/>
      <c r="Z848" s="1"/>
      <c r="AA848" s="1"/>
      <c r="AB848" s="1"/>
      <c r="AC848" s="1"/>
      <c r="AD848" s="1"/>
      <c r="AE848" s="1"/>
      <c r="AF848" s="1"/>
      <c r="AG848" s="1"/>
      <c r="AH848" s="1"/>
      <c r="AI848" s="1"/>
      <c r="AJ848" s="1"/>
      <c r="AK848" s="1"/>
      <c r="AL848" s="1"/>
      <c r="AM848" s="1"/>
      <c r="AN848" s="1"/>
      <c r="AO848" s="1" t="s">
        <v>6342</v>
      </c>
      <c r="AP848" s="1" t="s">
        <v>6343</v>
      </c>
      <c r="AQ848" s="1"/>
      <c r="AR848" s="1"/>
      <c r="AS848" s="1"/>
      <c r="AT848" s="1"/>
      <c r="AU848" s="3">
        <v>2022</v>
      </c>
      <c r="AV848" s="3">
        <v>59</v>
      </c>
      <c r="AW848" s="3">
        <v>3</v>
      </c>
      <c r="AX848" s="2"/>
      <c r="AY848" s="2"/>
      <c r="AZ848" s="1"/>
      <c r="BA848" s="2"/>
      <c r="BB848" s="2"/>
      <c r="BC848" s="2"/>
      <c r="BD848" s="2" t="s">
        <v>6992</v>
      </c>
      <c r="BE848" s="1" t="s">
        <v>6993</v>
      </c>
      <c r="BF848" s="4">
        <f>HYPERLINK("http://dx.doi.org/10.5209/poso.77697","http://dx.doi.org/10.5209/poso.77697")</f>
      </c>
      <c r="BG848" s="1"/>
      <c r="BH848" s="1"/>
      <c r="BI848" s="1"/>
      <c r="BJ848" s="1"/>
      <c r="BK848" s="1"/>
      <c r="BL848" s="1"/>
      <c r="BM848" s="1"/>
      <c r="BN848" s="2"/>
      <c r="BO848" s="1"/>
      <c r="BP848" s="1"/>
      <c r="BQ848" s="1"/>
      <c r="BR848" s="1"/>
      <c r="BS848" s="1" t="s">
        <v>6994</v>
      </c>
      <c r="BT848" s="5">
        <f>HYPERLINK("https%3A%2F%2Fwww.webofscience.com%2Fwos%2Fwoscc%2Ffull-record%2FWOS:000904054900004","View Full Record in Web of Science")</f>
      </c>
    </row>
    <row x14ac:dyDescent="0.25" r="849" customHeight="1" ht="12.75">
      <c r="A849" s="1" t="s">
        <v>72</v>
      </c>
      <c r="B849" s="1" t="s">
        <v>6995</v>
      </c>
      <c r="C849" s="1"/>
      <c r="D849" s="1"/>
      <c r="E849" s="1"/>
      <c r="F849" s="1" t="s">
        <v>6996</v>
      </c>
      <c r="G849" s="1"/>
      <c r="H849" s="1"/>
      <c r="I849" s="1" t="s">
        <v>6997</v>
      </c>
      <c r="J849" s="1" t="s">
        <v>4302</v>
      </c>
      <c r="K849" s="1"/>
      <c r="L849" s="1"/>
      <c r="M849" s="1"/>
      <c r="N849" s="1"/>
      <c r="O849" s="1"/>
      <c r="P849" s="2"/>
      <c r="Q849" s="1"/>
      <c r="R849" s="1"/>
      <c r="S849" s="1"/>
      <c r="T849" s="1"/>
      <c r="U849" s="1"/>
      <c r="V849" s="1" t="s">
        <v>6998</v>
      </c>
      <c r="W849" s="1"/>
      <c r="X849" s="1"/>
      <c r="Y849" s="1"/>
      <c r="Z849" s="1"/>
      <c r="AA849" s="1"/>
      <c r="AB849" s="1"/>
      <c r="AC849" s="1"/>
      <c r="AD849" s="1"/>
      <c r="AE849" s="1"/>
      <c r="AF849" s="1"/>
      <c r="AG849" s="1"/>
      <c r="AH849" s="1"/>
      <c r="AI849" s="1"/>
      <c r="AJ849" s="1"/>
      <c r="AK849" s="1"/>
      <c r="AL849" s="1"/>
      <c r="AM849" s="1"/>
      <c r="AN849" s="1"/>
      <c r="AO849" s="1" t="s">
        <v>6999</v>
      </c>
      <c r="AP849" s="1" t="s">
        <v>4303</v>
      </c>
      <c r="AQ849" s="1"/>
      <c r="AR849" s="1"/>
      <c r="AS849" s="1"/>
      <c r="AT849" s="1" t="s">
        <v>126</v>
      </c>
      <c r="AU849" s="3">
        <v>2021</v>
      </c>
      <c r="AV849" s="2"/>
      <c r="AW849" s="3">
        <v>52</v>
      </c>
      <c r="AX849" s="2"/>
      <c r="AY849" s="2"/>
      <c r="AZ849" s="1"/>
      <c r="BA849" s="2"/>
      <c r="BB849" s="3">
        <v>229</v>
      </c>
      <c r="BC849" s="3">
        <v>242</v>
      </c>
      <c r="BD849" s="2"/>
      <c r="BE849" s="1" t="s">
        <v>7000</v>
      </c>
      <c r="BF849" s="4">
        <f>HYPERLINK("http://dx.doi.org/10.32735/S0718-2201202100052892","http://dx.doi.org/10.32735/S0718-2201202100052892")</f>
      </c>
      <c r="BG849" s="1"/>
      <c r="BH849" s="1"/>
      <c r="BI849" s="1"/>
      <c r="BJ849" s="1"/>
      <c r="BK849" s="1"/>
      <c r="BL849" s="1"/>
      <c r="BM849" s="1"/>
      <c r="BN849" s="2"/>
      <c r="BO849" s="1"/>
      <c r="BP849" s="1"/>
      <c r="BQ849" s="1"/>
      <c r="BR849" s="1"/>
      <c r="BS849" s="1" t="s">
        <v>7001</v>
      </c>
      <c r="BT849" s="5">
        <f>HYPERLINK("https%3A%2F%2Fwww.webofscience.com%2Fwos%2Fwoscc%2Ffull-record%2FWOS:000692518600013","View Full Record in Web of Science")</f>
      </c>
    </row>
    <row x14ac:dyDescent="0.25" r="850" customHeight="1" ht="12.75">
      <c r="A850" s="1" t="s">
        <v>303</v>
      </c>
      <c r="B850" s="1" t="s">
        <v>2717</v>
      </c>
      <c r="C850" s="1"/>
      <c r="D850" s="1"/>
      <c r="E850" s="1" t="s">
        <v>305</v>
      </c>
      <c r="F850" s="1" t="s">
        <v>2718</v>
      </c>
      <c r="G850" s="1"/>
      <c r="H850" s="1"/>
      <c r="I850" s="1" t="s">
        <v>7002</v>
      </c>
      <c r="J850" s="1" t="s">
        <v>7003</v>
      </c>
      <c r="K850" s="1" t="s">
        <v>7004</v>
      </c>
      <c r="L850" s="1"/>
      <c r="M850" s="1"/>
      <c r="N850" s="1"/>
      <c r="O850" s="1" t="s">
        <v>7005</v>
      </c>
      <c r="P850" s="2" t="s">
        <v>7006</v>
      </c>
      <c r="Q850" s="1" t="s">
        <v>1218</v>
      </c>
      <c r="R850" s="1" t="s">
        <v>7007</v>
      </c>
      <c r="S850" s="1"/>
      <c r="T850" s="1"/>
      <c r="U850" s="1"/>
      <c r="V850" s="1" t="s">
        <v>7008</v>
      </c>
      <c r="W850" s="1"/>
      <c r="X850" s="1"/>
      <c r="Y850" s="1"/>
      <c r="Z850" s="1"/>
      <c r="AA850" s="1" t="s">
        <v>7009</v>
      </c>
      <c r="AB850" s="1"/>
      <c r="AC850" s="1"/>
      <c r="AD850" s="1"/>
      <c r="AE850" s="1"/>
      <c r="AF850" s="1"/>
      <c r="AG850" s="1"/>
      <c r="AH850" s="1"/>
      <c r="AI850" s="1"/>
      <c r="AJ850" s="1"/>
      <c r="AK850" s="1"/>
      <c r="AL850" s="1"/>
      <c r="AM850" s="1"/>
      <c r="AN850" s="1"/>
      <c r="AO850" s="1" t="s">
        <v>7010</v>
      </c>
      <c r="AP850" s="1" t="s">
        <v>7011</v>
      </c>
      <c r="AQ850" s="1" t="s">
        <v>7012</v>
      </c>
      <c r="AR850" s="1"/>
      <c r="AS850" s="1"/>
      <c r="AT850" s="1"/>
      <c r="AU850" s="3">
        <v>2021</v>
      </c>
      <c r="AV850" s="2"/>
      <c r="AW850" s="2"/>
      <c r="AX850" s="2"/>
      <c r="AY850" s="2"/>
      <c r="AZ850" s="1"/>
      <c r="BA850" s="2"/>
      <c r="BB850" s="3">
        <v>2485</v>
      </c>
      <c r="BC850" s="3">
        <v>2490</v>
      </c>
      <c r="BD850" s="2"/>
      <c r="BE850" s="1"/>
      <c r="BF850" s="1"/>
      <c r="BG850" s="1"/>
      <c r="BH850" s="1"/>
      <c r="BI850" s="1"/>
      <c r="BJ850" s="1"/>
      <c r="BK850" s="1"/>
      <c r="BL850" s="1"/>
      <c r="BM850" s="1"/>
      <c r="BN850" s="2"/>
      <c r="BO850" s="1"/>
      <c r="BP850" s="1"/>
      <c r="BQ850" s="1"/>
      <c r="BR850" s="1"/>
      <c r="BS850" s="1" t="s">
        <v>7013</v>
      </c>
      <c r="BT850" s="5">
        <f>HYPERLINK("https%3A%2F%2Fwww.webofscience.com%2Fwos%2Fwoscc%2Ffull-record%2FWOS:000702263302092","View Full Record in Web of Science")</f>
      </c>
    </row>
    <row x14ac:dyDescent="0.25" r="851" customHeight="1" ht="12.75">
      <c r="A851" s="1" t="s">
        <v>72</v>
      </c>
      <c r="B851" s="1" t="s">
        <v>7014</v>
      </c>
      <c r="C851" s="1"/>
      <c r="D851" s="1"/>
      <c r="E851" s="1"/>
      <c r="F851" s="1" t="s">
        <v>7015</v>
      </c>
      <c r="G851" s="1"/>
      <c r="H851" s="1"/>
      <c r="I851" s="1" t="s">
        <v>7016</v>
      </c>
      <c r="J851" s="1" t="s">
        <v>940</v>
      </c>
      <c r="K851" s="1"/>
      <c r="L851" s="1"/>
      <c r="M851" s="1"/>
      <c r="N851" s="1"/>
      <c r="O851" s="1"/>
      <c r="P851" s="2"/>
      <c r="Q851" s="1"/>
      <c r="R851" s="1"/>
      <c r="S851" s="1"/>
      <c r="T851" s="1"/>
      <c r="U851" s="1"/>
      <c r="V851" s="1" t="s">
        <v>7017</v>
      </c>
      <c r="W851" s="1"/>
      <c r="X851" s="1"/>
      <c r="Y851" s="1"/>
      <c r="Z851" s="1"/>
      <c r="AA851" s="1" t="s">
        <v>201</v>
      </c>
      <c r="AB851" s="1" t="s">
        <v>7018</v>
      </c>
      <c r="AC851" s="1"/>
      <c r="AD851" s="1"/>
      <c r="AE851" s="1"/>
      <c r="AF851" s="1"/>
      <c r="AG851" s="1"/>
      <c r="AH851" s="1"/>
      <c r="AI851" s="1"/>
      <c r="AJ851" s="1"/>
      <c r="AK851" s="1"/>
      <c r="AL851" s="1"/>
      <c r="AM851" s="1"/>
      <c r="AN851" s="1"/>
      <c r="AO851" s="1"/>
      <c r="AP851" s="1" t="s">
        <v>942</v>
      </c>
      <c r="AQ851" s="1"/>
      <c r="AR851" s="1"/>
      <c r="AS851" s="1"/>
      <c r="AT851" s="1" t="s">
        <v>169</v>
      </c>
      <c r="AU851" s="3">
        <v>2020</v>
      </c>
      <c r="AV851" s="3">
        <v>10</v>
      </c>
      <c r="AW851" s="3">
        <v>21</v>
      </c>
      <c r="AX851" s="2"/>
      <c r="AY851" s="2"/>
      <c r="AZ851" s="1"/>
      <c r="BA851" s="2"/>
      <c r="BB851" s="2"/>
      <c r="BC851" s="2"/>
      <c r="BD851" s="3">
        <v>7482</v>
      </c>
      <c r="BE851" s="1" t="s">
        <v>7019</v>
      </c>
      <c r="BF851" s="4">
        <f>HYPERLINK("http://dx.doi.org/10.3390/app10217482","http://dx.doi.org/10.3390/app10217482")</f>
      </c>
      <c r="BG851" s="1"/>
      <c r="BH851" s="1"/>
      <c r="BI851" s="1"/>
      <c r="BJ851" s="1"/>
      <c r="BK851" s="1"/>
      <c r="BL851" s="1"/>
      <c r="BM851" s="1"/>
      <c r="BN851" s="2"/>
      <c r="BO851" s="1"/>
      <c r="BP851" s="1"/>
      <c r="BQ851" s="1"/>
      <c r="BR851" s="1"/>
      <c r="BS851" s="1" t="s">
        <v>7020</v>
      </c>
      <c r="BT851" s="5">
        <f>HYPERLINK("https%3A%2F%2Fwww.webofscience.com%2Fwos%2Fwoscc%2Ffull-record%2FWOS:000589140200001","View Full Record in Web of Science")</f>
      </c>
    </row>
    <row x14ac:dyDescent="0.25" r="852" customHeight="1" ht="12.75">
      <c r="A852" s="1" t="s">
        <v>72</v>
      </c>
      <c r="B852" s="1" t="s">
        <v>7021</v>
      </c>
      <c r="C852" s="1"/>
      <c r="D852" s="1"/>
      <c r="E852" s="1"/>
      <c r="F852" s="1" t="s">
        <v>7022</v>
      </c>
      <c r="G852" s="1"/>
      <c r="H852" s="1"/>
      <c r="I852" s="1" t="s">
        <v>7023</v>
      </c>
      <c r="J852" s="1" t="s">
        <v>7024</v>
      </c>
      <c r="K852" s="1"/>
      <c r="L852" s="1"/>
      <c r="M852" s="1"/>
      <c r="N852" s="1"/>
      <c r="O852" s="1"/>
      <c r="P852" s="2"/>
      <c r="Q852" s="1"/>
      <c r="R852" s="1"/>
      <c r="S852" s="1"/>
      <c r="T852" s="1"/>
      <c r="U852" s="1"/>
      <c r="V852" s="1" t="s">
        <v>7025</v>
      </c>
      <c r="W852" s="1"/>
      <c r="X852" s="1"/>
      <c r="Y852" s="1"/>
      <c r="Z852" s="1"/>
      <c r="AA852" s="1"/>
      <c r="AB852" s="1"/>
      <c r="AC852" s="1"/>
      <c r="AD852" s="1"/>
      <c r="AE852" s="1"/>
      <c r="AF852" s="1"/>
      <c r="AG852" s="1"/>
      <c r="AH852" s="1"/>
      <c r="AI852" s="1"/>
      <c r="AJ852" s="1"/>
      <c r="AK852" s="1"/>
      <c r="AL852" s="1"/>
      <c r="AM852" s="1"/>
      <c r="AN852" s="1"/>
      <c r="AO852" s="1" t="s">
        <v>7026</v>
      </c>
      <c r="AP852" s="1" t="s">
        <v>7027</v>
      </c>
      <c r="AQ852" s="1"/>
      <c r="AR852" s="1"/>
      <c r="AS852" s="1"/>
      <c r="AT852" s="1" t="s">
        <v>7028</v>
      </c>
      <c r="AU852" s="3">
        <v>2020</v>
      </c>
      <c r="AV852" s="3">
        <v>72</v>
      </c>
      <c r="AW852" s="3">
        <v>560</v>
      </c>
      <c r="AX852" s="2"/>
      <c r="AY852" s="2"/>
      <c r="AZ852" s="1"/>
      <c r="BA852" s="2"/>
      <c r="BB852" s="2"/>
      <c r="BC852" s="2"/>
      <c r="BD852" s="2" t="s">
        <v>7029</v>
      </c>
      <c r="BE852" s="1" t="s">
        <v>7030</v>
      </c>
      <c r="BF852" s="4">
        <f>HYPERLINK("http://dx.doi.org/10.3989/ic.73728","http://dx.doi.org/10.3989/ic.73728")</f>
      </c>
      <c r="BG852" s="1"/>
      <c r="BH852" s="1"/>
      <c r="BI852" s="1"/>
      <c r="BJ852" s="1"/>
      <c r="BK852" s="1"/>
      <c r="BL852" s="1"/>
      <c r="BM852" s="1"/>
      <c r="BN852" s="2"/>
      <c r="BO852" s="1"/>
      <c r="BP852" s="1"/>
      <c r="BQ852" s="1"/>
      <c r="BR852" s="1"/>
      <c r="BS852" s="1" t="s">
        <v>7031</v>
      </c>
      <c r="BT852" s="5">
        <f>HYPERLINK("https%3A%2F%2Fwww.webofscience.com%2Fwos%2Fwoscc%2Ffull-record%2FWOS:000610835000009","View Full Record in Web of Science")</f>
      </c>
    </row>
    <row x14ac:dyDescent="0.25" r="853" customHeight="1" ht="12.75">
      <c r="A853" s="1" t="s">
        <v>72</v>
      </c>
      <c r="B853" s="1" t="s">
        <v>7032</v>
      </c>
      <c r="C853" s="1"/>
      <c r="D853" s="1"/>
      <c r="E853" s="1"/>
      <c r="F853" s="1" t="s">
        <v>7033</v>
      </c>
      <c r="G853" s="1"/>
      <c r="H853" s="1"/>
      <c r="I853" s="1" t="s">
        <v>7034</v>
      </c>
      <c r="J853" s="1" t="s">
        <v>7035</v>
      </c>
      <c r="K853" s="1"/>
      <c r="L853" s="1"/>
      <c r="M853" s="1"/>
      <c r="N853" s="1"/>
      <c r="O853" s="1"/>
      <c r="P853" s="2"/>
      <c r="Q853" s="1"/>
      <c r="R853" s="1"/>
      <c r="S853" s="1"/>
      <c r="T853" s="1"/>
      <c r="U853" s="1"/>
      <c r="V853" s="1" t="s">
        <v>7036</v>
      </c>
      <c r="W853" s="1"/>
      <c r="X853" s="1"/>
      <c r="Y853" s="1"/>
      <c r="Z853" s="1"/>
      <c r="AA853" s="1" t="s">
        <v>7037</v>
      </c>
      <c r="AB853" s="1" t="s">
        <v>7038</v>
      </c>
      <c r="AC853" s="1"/>
      <c r="AD853" s="1"/>
      <c r="AE853" s="1"/>
      <c r="AF853" s="1"/>
      <c r="AG853" s="1"/>
      <c r="AH853" s="1"/>
      <c r="AI853" s="1"/>
      <c r="AJ853" s="1"/>
      <c r="AK853" s="1"/>
      <c r="AL853" s="1"/>
      <c r="AM853" s="1"/>
      <c r="AN853" s="1"/>
      <c r="AO853" s="1" t="s">
        <v>7039</v>
      </c>
      <c r="AP853" s="1" t="s">
        <v>7040</v>
      </c>
      <c r="AQ853" s="1"/>
      <c r="AR853" s="1"/>
      <c r="AS853" s="1"/>
      <c r="AT853" s="1" t="s">
        <v>7041</v>
      </c>
      <c r="AU853" s="3">
        <v>2020</v>
      </c>
      <c r="AV853" s="3">
        <v>321</v>
      </c>
      <c r="AW853" s="2"/>
      <c r="AX853" s="2"/>
      <c r="AY853" s="2"/>
      <c r="AZ853" s="1"/>
      <c r="BA853" s="2"/>
      <c r="BB853" s="2"/>
      <c r="BC853" s="2"/>
      <c r="BD853" s="3">
        <v>126682</v>
      </c>
      <c r="BE853" s="1" t="s">
        <v>7042</v>
      </c>
      <c r="BF853" s="4">
        <f>HYPERLINK("http://dx.doi.org/10.1016/j.foodchem.2020.126682","http://dx.doi.org/10.1016/j.foodchem.2020.126682")</f>
      </c>
      <c r="BG853" s="1"/>
      <c r="BH853" s="1"/>
      <c r="BI853" s="1"/>
      <c r="BJ853" s="1"/>
      <c r="BK853" s="1"/>
      <c r="BL853" s="1"/>
      <c r="BM853" s="1"/>
      <c r="BN853" s="3">
        <v>32278274</v>
      </c>
      <c r="BO853" s="1"/>
      <c r="BP853" s="1"/>
      <c r="BQ853" s="1"/>
      <c r="BR853" s="1"/>
      <c r="BS853" s="1" t="s">
        <v>7043</v>
      </c>
      <c r="BT853" s="5">
        <f>HYPERLINK("https%3A%2F%2Fwww.webofscience.com%2Fwos%2Fwoscc%2Ffull-record%2FWOS:000526394400015","View Full Record in Web of Science")</f>
      </c>
    </row>
    <row x14ac:dyDescent="0.25" r="854" customHeight="1" ht="12.75">
      <c r="A854" s="1" t="s">
        <v>72</v>
      </c>
      <c r="B854" s="1" t="s">
        <v>7044</v>
      </c>
      <c r="C854" s="1"/>
      <c r="D854" s="1"/>
      <c r="E854" s="1"/>
      <c r="F854" s="1" t="s">
        <v>7045</v>
      </c>
      <c r="G854" s="1"/>
      <c r="H854" s="1"/>
      <c r="I854" s="1" t="s">
        <v>7046</v>
      </c>
      <c r="J854" s="1" t="s">
        <v>7047</v>
      </c>
      <c r="K854" s="1"/>
      <c r="L854" s="1"/>
      <c r="M854" s="1"/>
      <c r="N854" s="1"/>
      <c r="O854" s="1"/>
      <c r="P854" s="2"/>
      <c r="Q854" s="1"/>
      <c r="R854" s="1"/>
      <c r="S854" s="1"/>
      <c r="T854" s="1"/>
      <c r="U854" s="1"/>
      <c r="V854" s="1" t="s">
        <v>7048</v>
      </c>
      <c r="W854" s="1"/>
      <c r="X854" s="1"/>
      <c r="Y854" s="1"/>
      <c r="Z854" s="1"/>
      <c r="AA854" s="1" t="s">
        <v>7049</v>
      </c>
      <c r="AB854" s="1" t="s">
        <v>7050</v>
      </c>
      <c r="AC854" s="1"/>
      <c r="AD854" s="1"/>
      <c r="AE854" s="1"/>
      <c r="AF854" s="1"/>
      <c r="AG854" s="1"/>
      <c r="AH854" s="1"/>
      <c r="AI854" s="1"/>
      <c r="AJ854" s="1"/>
      <c r="AK854" s="1"/>
      <c r="AL854" s="1"/>
      <c r="AM854" s="1"/>
      <c r="AN854" s="1"/>
      <c r="AO854" s="1" t="s">
        <v>7051</v>
      </c>
      <c r="AP854" s="1"/>
      <c r="AQ854" s="1"/>
      <c r="AR854" s="1"/>
      <c r="AS854" s="1"/>
      <c r="AT854" s="1" t="s">
        <v>7052</v>
      </c>
      <c r="AU854" s="3">
        <v>2020</v>
      </c>
      <c r="AV854" s="3">
        <v>8</v>
      </c>
      <c r="AW854" s="2"/>
      <c r="AX854" s="2"/>
      <c r="AY854" s="2"/>
      <c r="AZ854" s="1"/>
      <c r="BA854" s="2"/>
      <c r="BB854" s="2"/>
      <c r="BC854" s="2"/>
      <c r="BD854" s="3">
        <v>365</v>
      </c>
      <c r="BE854" s="1" t="s">
        <v>7053</v>
      </c>
      <c r="BF854" s="4">
        <f>HYPERLINK("http://dx.doi.org/10.3389/fchem.2020.00365","http://dx.doi.org/10.3389/fchem.2020.00365")</f>
      </c>
      <c r="BG854" s="1"/>
      <c r="BH854" s="1"/>
      <c r="BI854" s="1"/>
      <c r="BJ854" s="1"/>
      <c r="BK854" s="1"/>
      <c r="BL854" s="1"/>
      <c r="BM854" s="1"/>
      <c r="BN854" s="3">
        <v>32432085</v>
      </c>
      <c r="BO854" s="1"/>
      <c r="BP854" s="1"/>
      <c r="BQ854" s="1"/>
      <c r="BR854" s="1"/>
      <c r="BS854" s="1" t="s">
        <v>7054</v>
      </c>
      <c r="BT854" s="5">
        <f>HYPERLINK("https%3A%2F%2Fwww.webofscience.com%2Fwos%2Fwoscc%2Ffull-record%2FWOS:000536331700001","View Full Record in Web of Science")</f>
      </c>
    </row>
    <row x14ac:dyDescent="0.25" r="855" customHeight="1" ht="12.75">
      <c r="A855" s="1" t="s">
        <v>72</v>
      </c>
      <c r="B855" s="1" t="s">
        <v>1010</v>
      </c>
      <c r="C855" s="1"/>
      <c r="D855" s="1"/>
      <c r="E855" s="1"/>
      <c r="F855" s="1" t="s">
        <v>1011</v>
      </c>
      <c r="G855" s="1"/>
      <c r="H855" s="1"/>
      <c r="I855" s="1" t="s">
        <v>7055</v>
      </c>
      <c r="J855" s="1" t="s">
        <v>7056</v>
      </c>
      <c r="K855" s="1"/>
      <c r="L855" s="1"/>
      <c r="M855" s="1"/>
      <c r="N855" s="1"/>
      <c r="O855" s="1"/>
      <c r="P855" s="2"/>
      <c r="Q855" s="1"/>
      <c r="R855" s="1"/>
      <c r="S855" s="1"/>
      <c r="T855" s="1"/>
      <c r="U855" s="1"/>
      <c r="V855" s="1" t="s">
        <v>7057</v>
      </c>
      <c r="W855" s="1"/>
      <c r="X855" s="1"/>
      <c r="Y855" s="1"/>
      <c r="Z855" s="1"/>
      <c r="AA855" s="1" t="s">
        <v>1014</v>
      </c>
      <c r="AB855" s="1" t="s">
        <v>1015</v>
      </c>
      <c r="AC855" s="1"/>
      <c r="AD855" s="1"/>
      <c r="AE855" s="1"/>
      <c r="AF855" s="1"/>
      <c r="AG855" s="1"/>
      <c r="AH855" s="1"/>
      <c r="AI855" s="1"/>
      <c r="AJ855" s="1"/>
      <c r="AK855" s="1"/>
      <c r="AL855" s="1"/>
      <c r="AM855" s="1"/>
      <c r="AN855" s="1"/>
      <c r="AO855" s="1" t="s">
        <v>7058</v>
      </c>
      <c r="AP855" s="1" t="s">
        <v>7059</v>
      </c>
      <c r="AQ855" s="1"/>
      <c r="AR855" s="1"/>
      <c r="AS855" s="1"/>
      <c r="AT855" s="1" t="s">
        <v>683</v>
      </c>
      <c r="AU855" s="3">
        <v>2020</v>
      </c>
      <c r="AV855" s="3">
        <v>52</v>
      </c>
      <c r="AW855" s="3">
        <v>5</v>
      </c>
      <c r="AX855" s="2"/>
      <c r="AY855" s="2"/>
      <c r="AZ855" s="1"/>
      <c r="BA855" s="2"/>
      <c r="BB855" s="3">
        <v>690</v>
      </c>
      <c r="BC855" s="3">
        <v>717</v>
      </c>
      <c r="BD855" s="2"/>
      <c r="BE855" s="1" t="s">
        <v>7060</v>
      </c>
      <c r="BF855" s="4">
        <f>HYPERLINK("http://dx.doi.org/10.1177/0095399718786878","http://dx.doi.org/10.1177/0095399718786878")</f>
      </c>
      <c r="BG855" s="1"/>
      <c r="BH855" s="1"/>
      <c r="BI855" s="1"/>
      <c r="BJ855" s="1"/>
      <c r="BK855" s="1"/>
      <c r="BL855" s="1"/>
      <c r="BM855" s="1"/>
      <c r="BN855" s="2"/>
      <c r="BO855" s="1"/>
      <c r="BP855" s="1"/>
      <c r="BQ855" s="1"/>
      <c r="BR855" s="1"/>
      <c r="BS855" s="1" t="s">
        <v>7061</v>
      </c>
      <c r="BT855" s="5">
        <f>HYPERLINK("https%3A%2F%2Fwww.webofscience.com%2Fwos%2Fwoscc%2Ffull-record%2FWOS:000526458600003","View Full Record in Web of Science")</f>
      </c>
    </row>
    <row x14ac:dyDescent="0.25" r="856" customHeight="1" ht="12.75">
      <c r="A856" s="1" t="s">
        <v>72</v>
      </c>
      <c r="B856" s="1" t="s">
        <v>7062</v>
      </c>
      <c r="C856" s="1"/>
      <c r="D856" s="1"/>
      <c r="E856" s="1"/>
      <c r="F856" s="1" t="s">
        <v>7063</v>
      </c>
      <c r="G856" s="1"/>
      <c r="H856" s="1"/>
      <c r="I856" s="1" t="s">
        <v>7064</v>
      </c>
      <c r="J856" s="1" t="s">
        <v>689</v>
      </c>
      <c r="K856" s="1"/>
      <c r="L856" s="1"/>
      <c r="M856" s="1"/>
      <c r="N856" s="1"/>
      <c r="O856" s="1"/>
      <c r="P856" s="2"/>
      <c r="Q856" s="1"/>
      <c r="R856" s="1"/>
      <c r="S856" s="1"/>
      <c r="T856" s="1"/>
      <c r="U856" s="1"/>
      <c r="V856" s="1" t="s">
        <v>7065</v>
      </c>
      <c r="W856" s="1"/>
      <c r="X856" s="1"/>
      <c r="Y856" s="1"/>
      <c r="Z856" s="1"/>
      <c r="AA856" s="1" t="s">
        <v>7066</v>
      </c>
      <c r="AB856" s="1" t="s">
        <v>7067</v>
      </c>
      <c r="AC856" s="1"/>
      <c r="AD856" s="1"/>
      <c r="AE856" s="1"/>
      <c r="AF856" s="1"/>
      <c r="AG856" s="1"/>
      <c r="AH856" s="1"/>
      <c r="AI856" s="1"/>
      <c r="AJ856" s="1"/>
      <c r="AK856" s="1"/>
      <c r="AL856" s="1"/>
      <c r="AM856" s="1"/>
      <c r="AN856" s="1"/>
      <c r="AO856" s="1" t="s">
        <v>693</v>
      </c>
      <c r="AP856" s="1" t="s">
        <v>694</v>
      </c>
      <c r="AQ856" s="1"/>
      <c r="AR856" s="1"/>
      <c r="AS856" s="1"/>
      <c r="AT856" s="1" t="s">
        <v>683</v>
      </c>
      <c r="AU856" s="3">
        <v>2020</v>
      </c>
      <c r="AV856" s="3">
        <v>273</v>
      </c>
      <c r="AW856" s="2"/>
      <c r="AX856" s="2"/>
      <c r="AY856" s="2"/>
      <c r="AZ856" s="1"/>
      <c r="BA856" s="2"/>
      <c r="BB856" s="2"/>
      <c r="BC856" s="2"/>
      <c r="BD856" s="3">
        <v>109900</v>
      </c>
      <c r="BE856" s="1" t="s">
        <v>7068</v>
      </c>
      <c r="BF856" s="4">
        <f>HYPERLINK("http://dx.doi.org/10.1016/j.jfoodeng.2019.109900","http://dx.doi.org/10.1016/j.jfoodeng.2019.109900")</f>
      </c>
      <c r="BG856" s="1"/>
      <c r="BH856" s="1"/>
      <c r="BI856" s="1"/>
      <c r="BJ856" s="1"/>
      <c r="BK856" s="1"/>
      <c r="BL856" s="1"/>
      <c r="BM856" s="1"/>
      <c r="BN856" s="2"/>
      <c r="BO856" s="1"/>
      <c r="BP856" s="1"/>
      <c r="BQ856" s="1"/>
      <c r="BR856" s="1"/>
      <c r="BS856" s="1" t="s">
        <v>7069</v>
      </c>
      <c r="BT856" s="5">
        <f>HYPERLINK("https%3A%2F%2Fwww.webofscience.com%2Fwos%2Fwoscc%2Ffull-record%2FWOS:000516885600015","View Full Record in Web of Science")</f>
      </c>
    </row>
    <row x14ac:dyDescent="0.25" r="857" customHeight="1" ht="12.75">
      <c r="A857" s="1" t="s">
        <v>72</v>
      </c>
      <c r="B857" s="1" t="s">
        <v>7070</v>
      </c>
      <c r="C857" s="1"/>
      <c r="D857" s="1"/>
      <c r="E857" s="1"/>
      <c r="F857" s="1" t="s">
        <v>7071</v>
      </c>
      <c r="G857" s="1"/>
      <c r="H857" s="1"/>
      <c r="I857" s="1" t="s">
        <v>7072</v>
      </c>
      <c r="J857" s="1" t="s">
        <v>7073</v>
      </c>
      <c r="K857" s="1"/>
      <c r="L857" s="1"/>
      <c r="M857" s="1"/>
      <c r="N857" s="1"/>
      <c r="O857" s="1"/>
      <c r="P857" s="2"/>
      <c r="Q857" s="1"/>
      <c r="R857" s="1"/>
      <c r="S857" s="1"/>
      <c r="T857" s="1"/>
      <c r="U857" s="1"/>
      <c r="V857" s="1" t="s">
        <v>7074</v>
      </c>
      <c r="W857" s="1"/>
      <c r="X857" s="1"/>
      <c r="Y857" s="1"/>
      <c r="Z857" s="1"/>
      <c r="AA857" s="1" t="s">
        <v>7075</v>
      </c>
      <c r="AB857" s="1" t="s">
        <v>7076</v>
      </c>
      <c r="AC857" s="1"/>
      <c r="AD857" s="1"/>
      <c r="AE857" s="1"/>
      <c r="AF857" s="1"/>
      <c r="AG857" s="1"/>
      <c r="AH857" s="1"/>
      <c r="AI857" s="1"/>
      <c r="AJ857" s="1"/>
      <c r="AK857" s="1"/>
      <c r="AL857" s="1"/>
      <c r="AM857" s="1"/>
      <c r="AN857" s="1"/>
      <c r="AO857" s="1" t="s">
        <v>7077</v>
      </c>
      <c r="AP857" s="1" t="s">
        <v>7078</v>
      </c>
      <c r="AQ857" s="1"/>
      <c r="AR857" s="1"/>
      <c r="AS857" s="1"/>
      <c r="AT857" s="1" t="s">
        <v>683</v>
      </c>
      <c r="AU857" s="3">
        <v>2020</v>
      </c>
      <c r="AV857" s="3">
        <v>14</v>
      </c>
      <c r="AW857" s="3">
        <v>3</v>
      </c>
      <c r="AX857" s="2"/>
      <c r="AY857" s="2"/>
      <c r="AZ857" s="1"/>
      <c r="BA857" s="2"/>
      <c r="BB857" s="3">
        <v>544</v>
      </c>
      <c r="BC857" s="3">
        <v>552</v>
      </c>
      <c r="BD857" s="2"/>
      <c r="BE857" s="1" t="s">
        <v>7079</v>
      </c>
      <c r="BF857" s="4">
        <f>HYPERLINK("http://dx.doi.org/10.1002/bbb.2097","http://dx.doi.org/10.1002/bbb.2097")</f>
      </c>
      <c r="BG857" s="1"/>
      <c r="BH857" s="1" t="s">
        <v>7080</v>
      </c>
      <c r="BI857" s="1"/>
      <c r="BJ857" s="1"/>
      <c r="BK857" s="1"/>
      <c r="BL857" s="1"/>
      <c r="BM857" s="1"/>
      <c r="BN857" s="2"/>
      <c r="BO857" s="1"/>
      <c r="BP857" s="1"/>
      <c r="BQ857" s="1"/>
      <c r="BR857" s="1"/>
      <c r="BS857" s="1" t="s">
        <v>7081</v>
      </c>
      <c r="BT857" s="5">
        <f>HYPERLINK("https%3A%2F%2Fwww.webofscience.com%2Fwos%2Fwoscc%2Ffull-record%2FWOS:000520568600001","View Full Record in Web of Science")</f>
      </c>
    </row>
    <row x14ac:dyDescent="0.25" r="858" customHeight="1" ht="12.75">
      <c r="A858" s="1" t="s">
        <v>267</v>
      </c>
      <c r="B858" s="1" t="s">
        <v>295</v>
      </c>
      <c r="C858" s="1"/>
      <c r="D858" s="1" t="s">
        <v>296</v>
      </c>
      <c r="E858" s="1"/>
      <c r="F858" s="1" t="s">
        <v>297</v>
      </c>
      <c r="G858" s="1"/>
      <c r="H858" s="1"/>
      <c r="I858" s="1" t="s">
        <v>7082</v>
      </c>
      <c r="J858" s="1" t="s">
        <v>299</v>
      </c>
      <c r="K858" s="1" t="s">
        <v>300</v>
      </c>
      <c r="L858" s="1"/>
      <c r="M858" s="1"/>
      <c r="N858" s="1"/>
      <c r="O858" s="1"/>
      <c r="P858" s="2"/>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t="s">
        <v>301</v>
      </c>
      <c r="AR858" s="1"/>
      <c r="AS858" s="1"/>
      <c r="AT858" s="1"/>
      <c r="AU858" s="3">
        <v>2020</v>
      </c>
      <c r="AV858" s="3">
        <v>8</v>
      </c>
      <c r="AW858" s="2"/>
      <c r="AX858" s="2"/>
      <c r="AY858" s="2"/>
      <c r="AZ858" s="1"/>
      <c r="BA858" s="2"/>
      <c r="BB858" s="3">
        <v>135</v>
      </c>
      <c r="BC858" s="3">
        <v>139</v>
      </c>
      <c r="BD858" s="2"/>
      <c r="BE858" s="1"/>
      <c r="BF858" s="1"/>
      <c r="BG858" s="1"/>
      <c r="BH858" s="1"/>
      <c r="BI858" s="1"/>
      <c r="BJ858" s="1"/>
      <c r="BK858" s="1"/>
      <c r="BL858" s="1"/>
      <c r="BM858" s="1"/>
      <c r="BN858" s="2"/>
      <c r="BO858" s="1"/>
      <c r="BP858" s="1"/>
      <c r="BQ858" s="1"/>
      <c r="BR858" s="1"/>
      <c r="BS858" s="1" t="s">
        <v>7083</v>
      </c>
      <c r="BT858" s="5">
        <f>HYPERLINK("https%3A%2F%2Fwww.webofscience.com%2Fwos%2Fwoscc%2Ffull-record%2FWOS:000608865900033","View Full Record in Web of Science")</f>
      </c>
    </row>
    <row x14ac:dyDescent="0.25" r="859" customHeight="1" ht="12.75">
      <c r="A859" s="1" t="s">
        <v>303</v>
      </c>
      <c r="B859" s="1" t="s">
        <v>7084</v>
      </c>
      <c r="C859" s="1"/>
      <c r="D859" s="1"/>
      <c r="E859" s="1" t="s">
        <v>305</v>
      </c>
      <c r="F859" s="1" t="s">
        <v>7085</v>
      </c>
      <c r="G859" s="1"/>
      <c r="H859" s="1"/>
      <c r="I859" s="1" t="s">
        <v>7086</v>
      </c>
      <c r="J859" s="1" t="s">
        <v>308</v>
      </c>
      <c r="K859" s="1" t="s">
        <v>309</v>
      </c>
      <c r="L859" s="1"/>
      <c r="M859" s="1"/>
      <c r="N859" s="1"/>
      <c r="O859" s="1" t="s">
        <v>310</v>
      </c>
      <c r="P859" s="2" t="s">
        <v>311</v>
      </c>
      <c r="Q859" s="1" t="s">
        <v>312</v>
      </c>
      <c r="R859" s="1" t="s">
        <v>313</v>
      </c>
      <c r="S859" s="1"/>
      <c r="T859" s="1"/>
      <c r="U859" s="1"/>
      <c r="V859" s="1" t="s">
        <v>7087</v>
      </c>
      <c r="W859" s="1"/>
      <c r="X859" s="1"/>
      <c r="Y859" s="1"/>
      <c r="Z859" s="1"/>
      <c r="AA859" s="1" t="s">
        <v>3478</v>
      </c>
      <c r="AB859" s="1"/>
      <c r="AC859" s="1"/>
      <c r="AD859" s="1"/>
      <c r="AE859" s="1"/>
      <c r="AF859" s="1"/>
      <c r="AG859" s="1"/>
      <c r="AH859" s="1"/>
      <c r="AI859" s="1"/>
      <c r="AJ859" s="1"/>
      <c r="AK859" s="1"/>
      <c r="AL859" s="1"/>
      <c r="AM859" s="1"/>
      <c r="AN859" s="1"/>
      <c r="AO859" s="1" t="s">
        <v>315</v>
      </c>
      <c r="AP859" s="1"/>
      <c r="AQ859" s="1" t="s">
        <v>316</v>
      </c>
      <c r="AR859" s="1"/>
      <c r="AS859" s="1"/>
      <c r="AT859" s="1"/>
      <c r="AU859" s="3">
        <v>2020</v>
      </c>
      <c r="AV859" s="2"/>
      <c r="AW859" s="2"/>
      <c r="AX859" s="2"/>
      <c r="AY859" s="2"/>
      <c r="AZ859" s="1"/>
      <c r="BA859" s="2"/>
      <c r="BB859" s="2"/>
      <c r="BC859" s="2"/>
      <c r="BD859" s="2"/>
      <c r="BE859" s="1" t="s">
        <v>7088</v>
      </c>
      <c r="BF859" s="4">
        <f>HYPERLINK("http://dx.doi.org/10.1109/TDLA47668.2020.9326220","http://dx.doi.org/10.1109/TDLA47668.2020.9326220")</f>
      </c>
      <c r="BG859" s="1"/>
      <c r="BH859" s="1"/>
      <c r="BI859" s="1"/>
      <c r="BJ859" s="1"/>
      <c r="BK859" s="1"/>
      <c r="BL859" s="1"/>
      <c r="BM859" s="1"/>
      <c r="BN859" s="2"/>
      <c r="BO859" s="1"/>
      <c r="BP859" s="1"/>
      <c r="BQ859" s="1"/>
      <c r="BR859" s="1"/>
      <c r="BS859" s="1" t="s">
        <v>7089</v>
      </c>
      <c r="BT859" s="5">
        <f>HYPERLINK("https%3A%2F%2Fwww.webofscience.com%2Fwos%2Fwoscc%2Ffull-record%2FWOS:000666965600057","View Full Record in Web of Science")</f>
      </c>
    </row>
    <row x14ac:dyDescent="0.25" r="860" customHeight="1" ht="12.75">
      <c r="A860" s="1" t="s">
        <v>72</v>
      </c>
      <c r="B860" s="1" t="s">
        <v>7090</v>
      </c>
      <c r="C860" s="1"/>
      <c r="D860" s="1"/>
      <c r="E860" s="1"/>
      <c r="F860" s="1" t="s">
        <v>7091</v>
      </c>
      <c r="G860" s="1"/>
      <c r="H860" s="1"/>
      <c r="I860" s="1" t="s">
        <v>7092</v>
      </c>
      <c r="J860" s="1" t="s">
        <v>3542</v>
      </c>
      <c r="K860" s="1"/>
      <c r="L860" s="1"/>
      <c r="M860" s="1"/>
      <c r="N860" s="1"/>
      <c r="O860" s="1"/>
      <c r="P860" s="2"/>
      <c r="Q860" s="1"/>
      <c r="R860" s="1"/>
      <c r="S860" s="1"/>
      <c r="T860" s="1"/>
      <c r="U860" s="1"/>
      <c r="V860" s="1" t="s">
        <v>7093</v>
      </c>
      <c r="W860" s="1"/>
      <c r="X860" s="1"/>
      <c r="Y860" s="1"/>
      <c r="Z860" s="1"/>
      <c r="AA860" s="1" t="s">
        <v>1935</v>
      </c>
      <c r="AB860" s="1" t="s">
        <v>1936</v>
      </c>
      <c r="AC860" s="1"/>
      <c r="AD860" s="1"/>
      <c r="AE860" s="1"/>
      <c r="AF860" s="1"/>
      <c r="AG860" s="1"/>
      <c r="AH860" s="1"/>
      <c r="AI860" s="1"/>
      <c r="AJ860" s="1"/>
      <c r="AK860" s="1"/>
      <c r="AL860" s="1"/>
      <c r="AM860" s="1"/>
      <c r="AN860" s="1"/>
      <c r="AO860" s="1" t="s">
        <v>3546</v>
      </c>
      <c r="AP860" s="1" t="s">
        <v>3547</v>
      </c>
      <c r="AQ860" s="1"/>
      <c r="AR860" s="1"/>
      <c r="AS860" s="1"/>
      <c r="AT860" s="1" t="s">
        <v>103</v>
      </c>
      <c r="AU860" s="3">
        <v>2020</v>
      </c>
      <c r="AV860" s="3">
        <v>145</v>
      </c>
      <c r="AW860" s="2"/>
      <c r="AX860" s="2"/>
      <c r="AY860" s="2"/>
      <c r="AZ860" s="1"/>
      <c r="BA860" s="2"/>
      <c r="BB860" s="3">
        <v>41</v>
      </c>
      <c r="BC860" s="3">
        <v>51</v>
      </c>
      <c r="BD860" s="2"/>
      <c r="BE860" s="1" t="s">
        <v>7094</v>
      </c>
      <c r="BF860" s="4">
        <f>HYPERLINK("http://dx.doi.org/10.1016/j.renene.2019.06.007","http://dx.doi.org/10.1016/j.renene.2019.06.007")</f>
      </c>
      <c r="BG860" s="1"/>
      <c r="BH860" s="1"/>
      <c r="BI860" s="1"/>
      <c r="BJ860" s="1"/>
      <c r="BK860" s="1"/>
      <c r="BL860" s="1"/>
      <c r="BM860" s="1"/>
      <c r="BN860" s="2"/>
      <c r="BO860" s="1"/>
      <c r="BP860" s="1"/>
      <c r="BQ860" s="1"/>
      <c r="BR860" s="1"/>
      <c r="BS860" s="1" t="s">
        <v>7095</v>
      </c>
      <c r="BT860" s="5">
        <f>HYPERLINK("https%3A%2F%2Fwww.webofscience.com%2Fwos%2Fwoscc%2Ffull-record%2FWOS:000494885700006","View Full Record in Web of Science")</f>
      </c>
    </row>
    <row x14ac:dyDescent="0.25" r="861" customHeight="1" ht="12.75">
      <c r="A861" s="1" t="s">
        <v>72</v>
      </c>
      <c r="B861" s="1" t="s">
        <v>1058</v>
      </c>
      <c r="C861" s="1"/>
      <c r="D861" s="1"/>
      <c r="E861" s="1"/>
      <c r="F861" s="1" t="s">
        <v>7096</v>
      </c>
      <c r="G861" s="1"/>
      <c r="H861" s="1"/>
      <c r="I861" s="1" t="s">
        <v>7097</v>
      </c>
      <c r="J861" s="1" t="s">
        <v>980</v>
      </c>
      <c r="K861" s="1"/>
      <c r="L861" s="1"/>
      <c r="M861" s="1"/>
      <c r="N861" s="1"/>
      <c r="O861" s="1"/>
      <c r="P861" s="2"/>
      <c r="Q861" s="1"/>
      <c r="R861" s="1"/>
      <c r="S861" s="1"/>
      <c r="T861" s="1"/>
      <c r="U861" s="1"/>
      <c r="V861" s="1" t="s">
        <v>7098</v>
      </c>
      <c r="W861" s="1"/>
      <c r="X861" s="1"/>
      <c r="Y861" s="1"/>
      <c r="Z861" s="1"/>
      <c r="AA861" s="1" t="s">
        <v>7099</v>
      </c>
      <c r="AB861" s="1"/>
      <c r="AC861" s="1"/>
      <c r="AD861" s="1"/>
      <c r="AE861" s="1"/>
      <c r="AF861" s="1"/>
      <c r="AG861" s="1"/>
      <c r="AH861" s="1"/>
      <c r="AI861" s="1"/>
      <c r="AJ861" s="1"/>
      <c r="AK861" s="1"/>
      <c r="AL861" s="1"/>
      <c r="AM861" s="1"/>
      <c r="AN861" s="1"/>
      <c r="AO861" s="1" t="s">
        <v>983</v>
      </c>
      <c r="AP861" s="1" t="s">
        <v>984</v>
      </c>
      <c r="AQ861" s="1"/>
      <c r="AR861" s="1"/>
      <c r="AS861" s="1"/>
      <c r="AT861" s="1"/>
      <c r="AU861" s="3">
        <v>2020</v>
      </c>
      <c r="AV861" s="3">
        <v>20</v>
      </c>
      <c r="AW861" s="3">
        <v>1</v>
      </c>
      <c r="AX861" s="2"/>
      <c r="AY861" s="2"/>
      <c r="AZ861" s="1"/>
      <c r="BA861" s="2"/>
      <c r="BB861" s="3">
        <v>55</v>
      </c>
      <c r="BC861" s="3">
        <v>77</v>
      </c>
      <c r="BD861" s="2"/>
      <c r="BE861" s="1" t="s">
        <v>7100</v>
      </c>
      <c r="BF861" s="4">
        <f>HYPERLINK("http://dx.doi.org/10.4067/S0719-09482020000100055","http://dx.doi.org/10.4067/S0719-09482020000100055")</f>
      </c>
      <c r="BG861" s="1"/>
      <c r="BH861" s="1"/>
      <c r="BI861" s="1"/>
      <c r="BJ861" s="1"/>
      <c r="BK861" s="1"/>
      <c r="BL861" s="1"/>
      <c r="BM861" s="1"/>
      <c r="BN861" s="2"/>
      <c r="BO861" s="1"/>
      <c r="BP861" s="1"/>
      <c r="BQ861" s="1"/>
      <c r="BR861" s="1"/>
      <c r="BS861" s="1" t="s">
        <v>7101</v>
      </c>
      <c r="BT861" s="5">
        <f>HYPERLINK("https%3A%2F%2Fwww.webofscience.com%2Fwos%2Fwoscc%2Ffull-record%2FWOS:000550992500003","View Full Record in Web of Science")</f>
      </c>
    </row>
    <row x14ac:dyDescent="0.25" r="862" customHeight="1" ht="12.75">
      <c r="A862" s="1" t="s">
        <v>267</v>
      </c>
      <c r="B862" s="1" t="s">
        <v>7102</v>
      </c>
      <c r="C862" s="1"/>
      <c r="D862" s="1"/>
      <c r="E862" s="1" t="s">
        <v>370</v>
      </c>
      <c r="F862" s="1" t="s">
        <v>7103</v>
      </c>
      <c r="G862" s="1"/>
      <c r="H862" s="1"/>
      <c r="I862" s="1" t="s">
        <v>7104</v>
      </c>
      <c r="J862" s="1" t="s">
        <v>3439</v>
      </c>
      <c r="K862" s="1"/>
      <c r="L862" s="1"/>
      <c r="M862" s="1"/>
      <c r="N862" s="1"/>
      <c r="O862" s="1"/>
      <c r="P862" s="2"/>
      <c r="Q862" s="1"/>
      <c r="R862" s="1"/>
      <c r="S862" s="1"/>
      <c r="T862" s="1"/>
      <c r="U862" s="1"/>
      <c r="V862" s="1" t="s">
        <v>7105</v>
      </c>
      <c r="W862" s="1"/>
      <c r="X862" s="1"/>
      <c r="Y862" s="1"/>
      <c r="Z862" s="1"/>
      <c r="AA862" s="1"/>
      <c r="AB862" s="1"/>
      <c r="AC862" s="1"/>
      <c r="AD862" s="1"/>
      <c r="AE862" s="1"/>
      <c r="AF862" s="1"/>
      <c r="AG862" s="1"/>
      <c r="AH862" s="1"/>
      <c r="AI862" s="1"/>
      <c r="AJ862" s="1"/>
      <c r="AK862" s="1"/>
      <c r="AL862" s="1"/>
      <c r="AM862" s="1"/>
      <c r="AN862" s="1"/>
      <c r="AO862" s="1"/>
      <c r="AP862" s="1"/>
      <c r="AQ862" s="1" t="s">
        <v>3441</v>
      </c>
      <c r="AR862" s="1"/>
      <c r="AS862" s="1"/>
      <c r="AT862" s="1"/>
      <c r="AU862" s="3">
        <v>2020</v>
      </c>
      <c r="AV862" s="2"/>
      <c r="AW862" s="2"/>
      <c r="AX862" s="2"/>
      <c r="AY862" s="2"/>
      <c r="AZ862" s="1"/>
      <c r="BA862" s="2"/>
      <c r="BB862" s="3">
        <v>181</v>
      </c>
      <c r="BC862" s="3">
        <v>196</v>
      </c>
      <c r="BD862" s="2"/>
      <c r="BE862" s="1"/>
      <c r="BF862" s="1"/>
      <c r="BG862" s="1"/>
      <c r="BH862" s="1"/>
      <c r="BI862" s="1"/>
      <c r="BJ862" s="1"/>
      <c r="BK862" s="1"/>
      <c r="BL862" s="1"/>
      <c r="BM862" s="1"/>
      <c r="BN862" s="2"/>
      <c r="BO862" s="1"/>
      <c r="BP862" s="1"/>
      <c r="BQ862" s="1"/>
      <c r="BR862" s="1"/>
      <c r="BS862" s="1" t="s">
        <v>7106</v>
      </c>
      <c r="BT862" s="5">
        <f>HYPERLINK("https%3A%2F%2Fwww.webofscience.com%2Fwos%2Fwoscc%2Ffull-record%2FWOS:000608874800012","View Full Record in Web of Science")</f>
      </c>
    </row>
    <row x14ac:dyDescent="0.25" r="863" customHeight="1" ht="12.75">
      <c r="A863" s="1" t="s">
        <v>72</v>
      </c>
      <c r="B863" s="1" t="s">
        <v>7107</v>
      </c>
      <c r="C863" s="1"/>
      <c r="D863" s="1"/>
      <c r="E863" s="1"/>
      <c r="F863" s="1" t="s">
        <v>7108</v>
      </c>
      <c r="G863" s="1"/>
      <c r="H863" s="1"/>
      <c r="I863" s="1" t="s">
        <v>7109</v>
      </c>
      <c r="J863" s="1" t="s">
        <v>7110</v>
      </c>
      <c r="K863" s="1"/>
      <c r="L863" s="1"/>
      <c r="M863" s="1"/>
      <c r="N863" s="1"/>
      <c r="O863" s="1"/>
      <c r="P863" s="2"/>
      <c r="Q863" s="1"/>
      <c r="R863" s="1"/>
      <c r="S863" s="1"/>
      <c r="T863" s="1"/>
      <c r="U863" s="1"/>
      <c r="V863" s="1" t="s">
        <v>7111</v>
      </c>
      <c r="W863" s="1"/>
      <c r="X863" s="1"/>
      <c r="Y863" s="1"/>
      <c r="Z863" s="1"/>
      <c r="AA863" s="1" t="s">
        <v>450</v>
      </c>
      <c r="AB863" s="1" t="s">
        <v>2216</v>
      </c>
      <c r="AC863" s="1"/>
      <c r="AD863" s="1"/>
      <c r="AE863" s="1"/>
      <c r="AF863" s="1"/>
      <c r="AG863" s="1"/>
      <c r="AH863" s="1"/>
      <c r="AI863" s="1"/>
      <c r="AJ863" s="1"/>
      <c r="AK863" s="1"/>
      <c r="AL863" s="1"/>
      <c r="AM863" s="1"/>
      <c r="AN863" s="1"/>
      <c r="AO863" s="1" t="s">
        <v>7112</v>
      </c>
      <c r="AP863" s="1" t="s">
        <v>7113</v>
      </c>
      <c r="AQ863" s="1"/>
      <c r="AR863" s="1"/>
      <c r="AS863" s="1"/>
      <c r="AT863" s="1" t="s">
        <v>567</v>
      </c>
      <c r="AU863" s="3">
        <v>2018</v>
      </c>
      <c r="AV863" s="2"/>
      <c r="AW863" s="3">
        <v>74</v>
      </c>
      <c r="AX863" s="2"/>
      <c r="AY863" s="2"/>
      <c r="AZ863" s="1"/>
      <c r="BA863" s="2"/>
      <c r="BB863" s="3">
        <v>103</v>
      </c>
      <c r="BC863" s="3">
        <v>133</v>
      </c>
      <c r="BD863" s="2"/>
      <c r="BE863" s="1" t="s">
        <v>7114</v>
      </c>
      <c r="BF863" s="4">
        <f>HYPERLINK("http://dx.doi.org/10.26882/histagrar.074e04l","http://dx.doi.org/10.26882/histagrar.074e04l")</f>
      </c>
      <c r="BG863" s="1"/>
      <c r="BH863" s="1"/>
      <c r="BI863" s="1"/>
      <c r="BJ863" s="1"/>
      <c r="BK863" s="1"/>
      <c r="BL863" s="1"/>
      <c r="BM863" s="1"/>
      <c r="BN863" s="2"/>
      <c r="BO863" s="1"/>
      <c r="BP863" s="1"/>
      <c r="BQ863" s="1"/>
      <c r="BR863" s="1"/>
      <c r="BS863" s="1" t="s">
        <v>7115</v>
      </c>
      <c r="BT863" s="5">
        <f>HYPERLINK("https%3A%2F%2Fwww.webofscience.com%2Fwos%2Fwoscc%2Ffull-record%2FWOS:000426332400007","View Full Record in Web of Science")</f>
      </c>
    </row>
    <row x14ac:dyDescent="0.25" r="864" customHeight="1" ht="12.75">
      <c r="A864" s="1" t="s">
        <v>72</v>
      </c>
      <c r="B864" s="1" t="s">
        <v>555</v>
      </c>
      <c r="C864" s="1"/>
      <c r="D864" s="1"/>
      <c r="E864" s="1"/>
      <c r="F864" s="1" t="s">
        <v>556</v>
      </c>
      <c r="G864" s="1"/>
      <c r="H864" s="1"/>
      <c r="I864" s="1" t="s">
        <v>7116</v>
      </c>
      <c r="J864" s="1" t="s">
        <v>7117</v>
      </c>
      <c r="K864" s="1"/>
      <c r="L864" s="1"/>
      <c r="M864" s="1"/>
      <c r="N864" s="1"/>
      <c r="O864" s="1"/>
      <c r="P864" s="2"/>
      <c r="Q864" s="1"/>
      <c r="R864" s="1"/>
      <c r="S864" s="1"/>
      <c r="T864" s="1"/>
      <c r="U864" s="1"/>
      <c r="V864" s="1" t="s">
        <v>7118</v>
      </c>
      <c r="W864" s="1"/>
      <c r="X864" s="1"/>
      <c r="Y864" s="1"/>
      <c r="Z864" s="1"/>
      <c r="AA864" s="1"/>
      <c r="AB864" s="1" t="s">
        <v>559</v>
      </c>
      <c r="AC864" s="1"/>
      <c r="AD864" s="1"/>
      <c r="AE864" s="1"/>
      <c r="AF864" s="1"/>
      <c r="AG864" s="1"/>
      <c r="AH864" s="1"/>
      <c r="AI864" s="1"/>
      <c r="AJ864" s="1"/>
      <c r="AK864" s="1"/>
      <c r="AL864" s="1"/>
      <c r="AM864" s="1"/>
      <c r="AN864" s="1"/>
      <c r="AO864" s="1" t="s">
        <v>7119</v>
      </c>
      <c r="AP864" s="1" t="s">
        <v>7120</v>
      </c>
      <c r="AQ864" s="1"/>
      <c r="AR864" s="1"/>
      <c r="AS864" s="1"/>
      <c r="AT864" s="1" t="s">
        <v>103</v>
      </c>
      <c r="AU864" s="3">
        <v>2018</v>
      </c>
      <c r="AV864" s="3">
        <v>16</v>
      </c>
      <c r="AW864" s="3">
        <v>1</v>
      </c>
      <c r="AX864" s="2"/>
      <c r="AY864" s="2"/>
      <c r="AZ864" s="1"/>
      <c r="BA864" s="2"/>
      <c r="BB864" s="3">
        <v>129</v>
      </c>
      <c r="BC864" s="3">
        <v>146</v>
      </c>
      <c r="BD864" s="2"/>
      <c r="BE864" s="1" t="s">
        <v>7121</v>
      </c>
      <c r="BF864" s="4">
        <f>HYPERLINK("http://dx.doi.org/10.4335/16.1.129-146(2018)","http://dx.doi.org/10.4335/16.1.129-146(2018)")</f>
      </c>
      <c r="BG864" s="1"/>
      <c r="BH864" s="1"/>
      <c r="BI864" s="1"/>
      <c r="BJ864" s="1"/>
      <c r="BK864" s="1"/>
      <c r="BL864" s="1"/>
      <c r="BM864" s="1"/>
      <c r="BN864" s="2"/>
      <c r="BO864" s="1"/>
      <c r="BP864" s="1"/>
      <c r="BQ864" s="1"/>
      <c r="BR864" s="1"/>
      <c r="BS864" s="1" t="s">
        <v>7122</v>
      </c>
      <c r="BT864" s="5">
        <f>HYPERLINK("https%3A%2F%2Fwww.webofscience.com%2Fwos%2Fwoscc%2Ffull-record%2FWOS:000425586900006","View Full Record in Web of Science")</f>
      </c>
    </row>
    <row x14ac:dyDescent="0.25" r="865" customHeight="1" ht="12.75">
      <c r="A865" s="1" t="s">
        <v>72</v>
      </c>
      <c r="B865" s="1" t="s">
        <v>7123</v>
      </c>
      <c r="C865" s="1"/>
      <c r="D865" s="1"/>
      <c r="E865" s="1"/>
      <c r="F865" s="1" t="s">
        <v>7124</v>
      </c>
      <c r="G865" s="1"/>
      <c r="H865" s="1"/>
      <c r="I865" s="1" t="s">
        <v>7125</v>
      </c>
      <c r="J865" s="1" t="s">
        <v>261</v>
      </c>
      <c r="K865" s="1"/>
      <c r="L865" s="1"/>
      <c r="M865" s="1"/>
      <c r="N865" s="1"/>
      <c r="O865" s="1"/>
      <c r="P865" s="2"/>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t="s">
        <v>263</v>
      </c>
      <c r="AP865" s="1" t="s">
        <v>264</v>
      </c>
      <c r="AQ865" s="1"/>
      <c r="AR865" s="1"/>
      <c r="AS865" s="1"/>
      <c r="AT865" s="1"/>
      <c r="AU865" s="3">
        <v>2018</v>
      </c>
      <c r="AV865" s="3">
        <v>35</v>
      </c>
      <c r="AW865" s="3">
        <v>5</v>
      </c>
      <c r="AX865" s="2"/>
      <c r="AY865" s="2"/>
      <c r="AZ865" s="1"/>
      <c r="BA865" s="2"/>
      <c r="BB865" s="3">
        <v>619</v>
      </c>
      <c r="BC865" s="3">
        <v>619</v>
      </c>
      <c r="BD865" s="2"/>
      <c r="BE865" s="1"/>
      <c r="BF865" s="1"/>
      <c r="BG865" s="1"/>
      <c r="BH865" s="1"/>
      <c r="BI865" s="1"/>
      <c r="BJ865" s="1"/>
      <c r="BK865" s="1"/>
      <c r="BL865" s="1"/>
      <c r="BM865" s="1"/>
      <c r="BN865" s="3">
        <v>30725013</v>
      </c>
      <c r="BO865" s="1"/>
      <c r="BP865" s="1"/>
      <c r="BQ865" s="1"/>
      <c r="BR865" s="1"/>
      <c r="BS865" s="1" t="s">
        <v>7126</v>
      </c>
      <c r="BT865" s="5">
        <f>HYPERLINK("https%3A%2F%2Fwww.webofscience.com%2Fwos%2Fwoscc%2Ffull-record%2FWOS:000452408600022","View Full Record in Web of Science")</f>
      </c>
    </row>
    <row x14ac:dyDescent="0.25" r="866" customHeight="1" ht="12.75">
      <c r="A866" s="1" t="s">
        <v>267</v>
      </c>
      <c r="B866" s="1" t="s">
        <v>7127</v>
      </c>
      <c r="C866" s="1"/>
      <c r="D866" s="1" t="s">
        <v>7128</v>
      </c>
      <c r="E866" s="1"/>
      <c r="F866" s="1" t="s">
        <v>7129</v>
      </c>
      <c r="G866" s="1"/>
      <c r="H866" s="1"/>
      <c r="I866" s="1" t="s">
        <v>7130</v>
      </c>
      <c r="J866" s="1" t="s">
        <v>7131</v>
      </c>
      <c r="K866" s="1"/>
      <c r="L866" s="1"/>
      <c r="M866" s="1"/>
      <c r="N866" s="1"/>
      <c r="O866" s="1"/>
      <c r="P866" s="2"/>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t="s">
        <v>7132</v>
      </c>
      <c r="AR866" s="1"/>
      <c r="AS866" s="1"/>
      <c r="AT866" s="1"/>
      <c r="AU866" s="3">
        <v>2018</v>
      </c>
      <c r="AV866" s="2"/>
      <c r="AW866" s="2"/>
      <c r="AX866" s="2"/>
      <c r="AY866" s="2"/>
      <c r="AZ866" s="1"/>
      <c r="BA866" s="2"/>
      <c r="BB866" s="3">
        <v>183</v>
      </c>
      <c r="BC866" s="3">
        <v>203</v>
      </c>
      <c r="BD866" s="2"/>
      <c r="BE866" s="1"/>
      <c r="BF866" s="1"/>
      <c r="BG866" s="1"/>
      <c r="BH866" s="1"/>
      <c r="BI866" s="1"/>
      <c r="BJ866" s="1"/>
      <c r="BK866" s="1"/>
      <c r="BL866" s="1"/>
      <c r="BM866" s="1"/>
      <c r="BN866" s="2"/>
      <c r="BO866" s="1"/>
      <c r="BP866" s="1"/>
      <c r="BQ866" s="1"/>
      <c r="BR866" s="1"/>
      <c r="BS866" s="1" t="s">
        <v>7133</v>
      </c>
      <c r="BT866" s="5">
        <f>HYPERLINK("https%3A%2F%2Fwww.webofscience.com%2Fwos%2Fwoscc%2Ffull-record%2FWOS:000668284400009","View Full Record in Web of Science")</f>
      </c>
    </row>
    <row x14ac:dyDescent="0.25" r="867" customHeight="1" ht="12.75">
      <c r="A867" s="1" t="s">
        <v>72</v>
      </c>
      <c r="B867" s="1" t="s">
        <v>7134</v>
      </c>
      <c r="C867" s="1"/>
      <c r="D867" s="1"/>
      <c r="E867" s="1"/>
      <c r="F867" s="1" t="s">
        <v>7135</v>
      </c>
      <c r="G867" s="1"/>
      <c r="H867" s="1"/>
      <c r="I867" s="1" t="s">
        <v>7136</v>
      </c>
      <c r="J867" s="1" t="s">
        <v>7137</v>
      </c>
      <c r="K867" s="1"/>
      <c r="L867" s="1"/>
      <c r="M867" s="1"/>
      <c r="N867" s="1"/>
      <c r="O867" s="1" t="s">
        <v>7138</v>
      </c>
      <c r="P867" s="2" t="s">
        <v>7139</v>
      </c>
      <c r="Q867" s="1" t="s">
        <v>7140</v>
      </c>
      <c r="R867" s="1" t="s">
        <v>7141</v>
      </c>
      <c r="S867" s="1"/>
      <c r="T867" s="1"/>
      <c r="U867" s="1"/>
      <c r="V867" s="1"/>
      <c r="W867" s="1"/>
      <c r="X867" s="1"/>
      <c r="Y867" s="1"/>
      <c r="Z867" s="1"/>
      <c r="AA867" s="1"/>
      <c r="AB867" s="1"/>
      <c r="AC867" s="1"/>
      <c r="AD867" s="1"/>
      <c r="AE867" s="1"/>
      <c r="AF867" s="1"/>
      <c r="AG867" s="1"/>
      <c r="AH867" s="1"/>
      <c r="AI867" s="1"/>
      <c r="AJ867" s="1"/>
      <c r="AK867" s="1"/>
      <c r="AL867" s="1"/>
      <c r="AM867" s="1"/>
      <c r="AN867" s="1"/>
      <c r="AO867" s="1" t="s">
        <v>7142</v>
      </c>
      <c r="AP867" s="1" t="s">
        <v>7143</v>
      </c>
      <c r="AQ867" s="1"/>
      <c r="AR867" s="1"/>
      <c r="AS867" s="1"/>
      <c r="AT867" s="1" t="s">
        <v>126</v>
      </c>
      <c r="AU867" s="3">
        <v>2017</v>
      </c>
      <c r="AV867" s="3">
        <v>22</v>
      </c>
      <c r="AW867" s="2"/>
      <c r="AX867" s="2"/>
      <c r="AY867" s="3">
        <v>1</v>
      </c>
      <c r="AZ867" s="1"/>
      <c r="BA867" s="2"/>
      <c r="BB867" s="2" t="s">
        <v>7144</v>
      </c>
      <c r="BC867" s="2" t="s">
        <v>7144</v>
      </c>
      <c r="BD867" s="2"/>
      <c r="BE867" s="1"/>
      <c r="BF867" s="1"/>
      <c r="BG867" s="1"/>
      <c r="BH867" s="1"/>
      <c r="BI867" s="1"/>
      <c r="BJ867" s="1"/>
      <c r="BK867" s="1"/>
      <c r="BL867" s="1"/>
      <c r="BM867" s="1"/>
      <c r="BN867" s="2"/>
      <c r="BO867" s="1"/>
      <c r="BP867" s="1"/>
      <c r="BQ867" s="1"/>
      <c r="BR867" s="1"/>
      <c r="BS867" s="1" t="s">
        <v>7145</v>
      </c>
      <c r="BT867" s="5">
        <f>HYPERLINK("https%3A%2F%2Fwww.webofscience.com%2Fwos%2Fwoscc%2Ffull-record%2FWOS:000419606600107","View Full Record in Web of Science")</f>
      </c>
    </row>
    <row x14ac:dyDescent="0.25" r="868" customHeight="1" ht="12.75">
      <c r="A868" s="1" t="s">
        <v>72</v>
      </c>
      <c r="B868" s="1" t="s">
        <v>7146</v>
      </c>
      <c r="C868" s="1"/>
      <c r="D868" s="1"/>
      <c r="E868" s="1"/>
      <c r="F868" s="1" t="s">
        <v>7147</v>
      </c>
      <c r="G868" s="1"/>
      <c r="H868" s="1"/>
      <c r="I868" s="1" t="s">
        <v>7148</v>
      </c>
      <c r="J868" s="1" t="s">
        <v>7149</v>
      </c>
      <c r="K868" s="1"/>
      <c r="L868" s="1"/>
      <c r="M868" s="1"/>
      <c r="N868" s="1"/>
      <c r="O868" s="1"/>
      <c r="P868" s="2"/>
      <c r="Q868" s="1"/>
      <c r="R868" s="1"/>
      <c r="S868" s="1"/>
      <c r="T868" s="1"/>
      <c r="U868" s="1"/>
      <c r="V868" s="1" t="s">
        <v>7150</v>
      </c>
      <c r="W868" s="1"/>
      <c r="X868" s="1"/>
      <c r="Y868" s="1"/>
      <c r="Z868" s="1"/>
      <c r="AA868" s="1" t="s">
        <v>7151</v>
      </c>
      <c r="AB868" s="1" t="s">
        <v>7152</v>
      </c>
      <c r="AC868" s="1"/>
      <c r="AD868" s="1"/>
      <c r="AE868" s="1"/>
      <c r="AF868" s="1"/>
      <c r="AG868" s="1"/>
      <c r="AH868" s="1"/>
      <c r="AI868" s="1"/>
      <c r="AJ868" s="1"/>
      <c r="AK868" s="1"/>
      <c r="AL868" s="1"/>
      <c r="AM868" s="1"/>
      <c r="AN868" s="1"/>
      <c r="AO868" s="1" t="s">
        <v>7153</v>
      </c>
      <c r="AP868" s="1" t="s">
        <v>7154</v>
      </c>
      <c r="AQ868" s="1"/>
      <c r="AR868" s="1"/>
      <c r="AS868" s="1"/>
      <c r="AT868" s="1" t="s">
        <v>192</v>
      </c>
      <c r="AU868" s="3">
        <v>2017</v>
      </c>
      <c r="AV868" s="3">
        <v>134</v>
      </c>
      <c r="AW868" s="3">
        <v>15</v>
      </c>
      <c r="AX868" s="2"/>
      <c r="AY868" s="2"/>
      <c r="AZ868" s="1"/>
      <c r="BA868" s="2"/>
      <c r="BB868" s="2"/>
      <c r="BC868" s="2"/>
      <c r="BD868" s="3">
        <v>44692</v>
      </c>
      <c r="BE868" s="1" t="s">
        <v>7155</v>
      </c>
      <c r="BF868" s="4">
        <f>HYPERLINK("http://dx.doi.org/10.1002/app.44692","http://dx.doi.org/10.1002/app.44692")</f>
      </c>
      <c r="BG868" s="1"/>
      <c r="BH868" s="1"/>
      <c r="BI868" s="1"/>
      <c r="BJ868" s="1"/>
      <c r="BK868" s="1"/>
      <c r="BL868" s="1"/>
      <c r="BM868" s="1"/>
      <c r="BN868" s="2"/>
      <c r="BO868" s="1"/>
      <c r="BP868" s="1"/>
      <c r="BQ868" s="1"/>
      <c r="BR868" s="1"/>
      <c r="BS868" s="1" t="s">
        <v>7156</v>
      </c>
      <c r="BT868" s="5">
        <f>HYPERLINK("https%3A%2F%2Fwww.webofscience.com%2Fwos%2Fwoscc%2Ffull-record%2FWOS:000392612800005","View Full Record in Web of Science")</f>
      </c>
    </row>
    <row x14ac:dyDescent="0.25" r="869" customHeight="1" ht="12.75">
      <c r="A869" s="1" t="s">
        <v>303</v>
      </c>
      <c r="B869" s="1" t="s">
        <v>7157</v>
      </c>
      <c r="C869" s="1"/>
      <c r="D869" s="1"/>
      <c r="E869" s="1" t="s">
        <v>305</v>
      </c>
      <c r="F869" s="1" t="s">
        <v>7158</v>
      </c>
      <c r="G869" s="1"/>
      <c r="H869" s="1"/>
      <c r="I869" s="1" t="s">
        <v>7159</v>
      </c>
      <c r="J869" s="1" t="s">
        <v>481</v>
      </c>
      <c r="K869" s="1"/>
      <c r="L869" s="1"/>
      <c r="M869" s="1"/>
      <c r="N869" s="1"/>
      <c r="O869" s="1" t="s">
        <v>482</v>
      </c>
      <c r="P869" s="2" t="s">
        <v>483</v>
      </c>
      <c r="Q869" s="1" t="s">
        <v>484</v>
      </c>
      <c r="R869" s="1" t="s">
        <v>485</v>
      </c>
      <c r="S869" s="1"/>
      <c r="T869" s="1"/>
      <c r="U869" s="1"/>
      <c r="V869" s="1" t="s">
        <v>7160</v>
      </c>
      <c r="W869" s="1"/>
      <c r="X869" s="1"/>
      <c r="Y869" s="1"/>
      <c r="Z869" s="1"/>
      <c r="AA869" s="1"/>
      <c r="AB869" s="1"/>
      <c r="AC869" s="1"/>
      <c r="AD869" s="1"/>
      <c r="AE869" s="1"/>
      <c r="AF869" s="1"/>
      <c r="AG869" s="1"/>
      <c r="AH869" s="1"/>
      <c r="AI869" s="1"/>
      <c r="AJ869" s="1"/>
      <c r="AK869" s="1"/>
      <c r="AL869" s="1"/>
      <c r="AM869" s="1"/>
      <c r="AN869" s="1"/>
      <c r="AO869" s="1"/>
      <c r="AP869" s="1"/>
      <c r="AQ869" s="1" t="s">
        <v>488</v>
      </c>
      <c r="AR869" s="1"/>
      <c r="AS869" s="1"/>
      <c r="AT869" s="1"/>
      <c r="AU869" s="3">
        <v>2017</v>
      </c>
      <c r="AV869" s="2"/>
      <c r="AW869" s="2"/>
      <c r="AX869" s="2"/>
      <c r="AY869" s="2"/>
      <c r="AZ869" s="1"/>
      <c r="BA869" s="2"/>
      <c r="BB869" s="2"/>
      <c r="BC869" s="2"/>
      <c r="BD869" s="2"/>
      <c r="BE869" s="1"/>
      <c r="BF869" s="1"/>
      <c r="BG869" s="1"/>
      <c r="BH869" s="1"/>
      <c r="BI869" s="1"/>
      <c r="BJ869" s="1"/>
      <c r="BK869" s="1"/>
      <c r="BL869" s="1"/>
      <c r="BM869" s="1"/>
      <c r="BN869" s="2"/>
      <c r="BO869" s="1"/>
      <c r="BP869" s="1"/>
      <c r="BQ869" s="1"/>
      <c r="BR869" s="1"/>
      <c r="BS869" s="1" t="s">
        <v>7161</v>
      </c>
      <c r="BT869" s="5">
        <f>HYPERLINK("https%3A%2F%2Fwww.webofscience.com%2Fwos%2Fwoscc%2Ffull-record%2FWOS:000425925000086","View Full Record in Web of Science")</f>
      </c>
    </row>
    <row x14ac:dyDescent="0.25" r="870" customHeight="1" ht="12.75">
      <c r="A870" s="1" t="s">
        <v>72</v>
      </c>
      <c r="B870" s="1" t="s">
        <v>7162</v>
      </c>
      <c r="C870" s="1"/>
      <c r="D870" s="1"/>
      <c r="E870" s="1"/>
      <c r="F870" s="1" t="s">
        <v>7163</v>
      </c>
      <c r="G870" s="1"/>
      <c r="H870" s="1"/>
      <c r="I870" s="1" t="s">
        <v>7164</v>
      </c>
      <c r="J870" s="1" t="s">
        <v>7165</v>
      </c>
      <c r="K870" s="1"/>
      <c r="L870" s="1"/>
      <c r="M870" s="1"/>
      <c r="N870" s="1"/>
      <c r="O870" s="1"/>
      <c r="P870" s="2"/>
      <c r="Q870" s="1"/>
      <c r="R870" s="1"/>
      <c r="S870" s="1"/>
      <c r="T870" s="1"/>
      <c r="U870" s="1"/>
      <c r="V870" s="1" t="s">
        <v>7166</v>
      </c>
      <c r="W870" s="1"/>
      <c r="X870" s="1"/>
      <c r="Y870" s="1"/>
      <c r="Z870" s="1"/>
      <c r="AA870" s="1"/>
      <c r="AB870" s="1" t="s">
        <v>7167</v>
      </c>
      <c r="AC870" s="1"/>
      <c r="AD870" s="1"/>
      <c r="AE870" s="1"/>
      <c r="AF870" s="1"/>
      <c r="AG870" s="1"/>
      <c r="AH870" s="1"/>
      <c r="AI870" s="1"/>
      <c r="AJ870" s="1"/>
      <c r="AK870" s="1"/>
      <c r="AL870" s="1"/>
      <c r="AM870" s="1"/>
      <c r="AN870" s="1"/>
      <c r="AO870" s="1" t="s">
        <v>7168</v>
      </c>
      <c r="AP870" s="1" t="s">
        <v>7169</v>
      </c>
      <c r="AQ870" s="1"/>
      <c r="AR870" s="1"/>
      <c r="AS870" s="1"/>
      <c r="AT870" s="1"/>
      <c r="AU870" s="3">
        <v>2017</v>
      </c>
      <c r="AV870" s="3">
        <v>15</v>
      </c>
      <c r="AW870" s="3">
        <v>3</v>
      </c>
      <c r="AX870" s="2"/>
      <c r="AY870" s="2"/>
      <c r="AZ870" s="1"/>
      <c r="BA870" s="2"/>
      <c r="BB870" s="3">
        <v>344</v>
      </c>
      <c r="BC870" s="3">
        <v>351</v>
      </c>
      <c r="BD870" s="2"/>
      <c r="BE870" s="1" t="s">
        <v>7170</v>
      </c>
      <c r="BF870" s="4">
        <f>HYPERLINK("http://dx.doi.org/10.1080/19476337.2016.1256913","http://dx.doi.org/10.1080/19476337.2016.1256913")</f>
      </c>
      <c r="BG870" s="1"/>
      <c r="BH870" s="1"/>
      <c r="BI870" s="1"/>
      <c r="BJ870" s="1"/>
      <c r="BK870" s="1"/>
      <c r="BL870" s="1"/>
      <c r="BM870" s="1"/>
      <c r="BN870" s="2"/>
      <c r="BO870" s="1"/>
      <c r="BP870" s="1"/>
      <c r="BQ870" s="1"/>
      <c r="BR870" s="1"/>
      <c r="BS870" s="1" t="s">
        <v>7171</v>
      </c>
      <c r="BT870" s="5">
        <f>HYPERLINK("https%3A%2F%2Fwww.webofscience.com%2Fwos%2Fwoscc%2Ffull-record%2FWOS:000402612300003","View Full Record in Web of Science")</f>
      </c>
    </row>
    <row x14ac:dyDescent="0.25" r="871" customHeight="1" ht="12.75">
      <c r="A871" s="1" t="s">
        <v>72</v>
      </c>
      <c r="B871" s="1" t="s">
        <v>7172</v>
      </c>
      <c r="C871" s="1"/>
      <c r="D871" s="1"/>
      <c r="E871" s="1"/>
      <c r="F871" s="1" t="s">
        <v>7173</v>
      </c>
      <c r="G871" s="1"/>
      <c r="H871" s="1"/>
      <c r="I871" s="1" t="s">
        <v>7174</v>
      </c>
      <c r="J871" s="1" t="s">
        <v>1507</v>
      </c>
      <c r="K871" s="1"/>
      <c r="L871" s="1"/>
      <c r="M871" s="1"/>
      <c r="N871" s="1"/>
      <c r="O871" s="1"/>
      <c r="P871" s="2"/>
      <c r="Q871" s="1"/>
      <c r="R871" s="1"/>
      <c r="S871" s="1"/>
      <c r="T871" s="1"/>
      <c r="U871" s="1"/>
      <c r="V871" s="1" t="s">
        <v>7175</v>
      </c>
      <c r="W871" s="1"/>
      <c r="X871" s="1"/>
      <c r="Y871" s="1"/>
      <c r="Z871" s="1"/>
      <c r="AA871" s="1" t="s">
        <v>7176</v>
      </c>
      <c r="AB871" s="1" t="s">
        <v>7177</v>
      </c>
      <c r="AC871" s="1"/>
      <c r="AD871" s="1"/>
      <c r="AE871" s="1"/>
      <c r="AF871" s="1"/>
      <c r="AG871" s="1"/>
      <c r="AH871" s="1"/>
      <c r="AI871" s="1"/>
      <c r="AJ871" s="1"/>
      <c r="AK871" s="1"/>
      <c r="AL871" s="1"/>
      <c r="AM871" s="1"/>
      <c r="AN871" s="1"/>
      <c r="AO871" s="1" t="s">
        <v>2886</v>
      </c>
      <c r="AP871" s="1"/>
      <c r="AQ871" s="1"/>
      <c r="AR871" s="1"/>
      <c r="AS871" s="1"/>
      <c r="AT871" s="1"/>
      <c r="AU871" s="3">
        <v>2017</v>
      </c>
      <c r="AV871" s="3">
        <v>62</v>
      </c>
      <c r="AW871" s="3">
        <v>4</v>
      </c>
      <c r="AX871" s="2"/>
      <c r="AY871" s="2"/>
      <c r="AZ871" s="1"/>
      <c r="BA871" s="2"/>
      <c r="BB871" s="3">
        <v>3726</v>
      </c>
      <c r="BC871" s="3">
        <v>3730</v>
      </c>
      <c r="BD871" s="2"/>
      <c r="BE871" s="1" t="s">
        <v>7178</v>
      </c>
      <c r="BF871" s="4">
        <f>HYPERLINK("http://dx.doi.org/10.4067/s0717-97072017000403726","http://dx.doi.org/10.4067/s0717-97072017000403726")</f>
      </c>
      <c r="BG871" s="1"/>
      <c r="BH871" s="1"/>
      <c r="BI871" s="1"/>
      <c r="BJ871" s="1"/>
      <c r="BK871" s="1"/>
      <c r="BL871" s="1"/>
      <c r="BM871" s="1"/>
      <c r="BN871" s="2"/>
      <c r="BO871" s="1"/>
      <c r="BP871" s="1"/>
      <c r="BQ871" s="1"/>
      <c r="BR871" s="1"/>
      <c r="BS871" s="1" t="s">
        <v>7179</v>
      </c>
      <c r="BT871" s="5">
        <f>HYPERLINK("https%3A%2F%2Fwww.webofscience.com%2Fwos%2Fwoscc%2Ffull-record%2FWOS:000431863100011","View Full Record in Web of Science")</f>
      </c>
    </row>
    <row x14ac:dyDescent="0.25" r="872" customHeight="1" ht="12.75">
      <c r="A872" s="1" t="s">
        <v>778</v>
      </c>
      <c r="B872" s="1" t="s">
        <v>7180</v>
      </c>
      <c r="C872" s="1"/>
      <c r="D872" s="1" t="s">
        <v>7181</v>
      </c>
      <c r="E872" s="1"/>
      <c r="F872" s="1" t="s">
        <v>7182</v>
      </c>
      <c r="G872" s="1"/>
      <c r="H872" s="1"/>
      <c r="I872" s="1" t="s">
        <v>7183</v>
      </c>
      <c r="J872" s="1" t="s">
        <v>7184</v>
      </c>
      <c r="K872" s="1" t="s">
        <v>7185</v>
      </c>
      <c r="L872" s="1"/>
      <c r="M872" s="1"/>
      <c r="N872" s="1"/>
      <c r="O872" s="1"/>
      <c r="P872" s="2"/>
      <c r="Q872" s="1"/>
      <c r="R872" s="1"/>
      <c r="S872" s="1"/>
      <c r="T872" s="1"/>
      <c r="U872" s="1"/>
      <c r="V872" s="1" t="s">
        <v>7186</v>
      </c>
      <c r="W872" s="1"/>
      <c r="X872" s="1"/>
      <c r="Y872" s="1"/>
      <c r="Z872" s="1"/>
      <c r="AA872" s="1" t="s">
        <v>7187</v>
      </c>
      <c r="AB872" s="1" t="s">
        <v>7188</v>
      </c>
      <c r="AC872" s="1"/>
      <c r="AD872" s="1"/>
      <c r="AE872" s="1"/>
      <c r="AF872" s="1"/>
      <c r="AG872" s="1"/>
      <c r="AH872" s="1"/>
      <c r="AI872" s="1"/>
      <c r="AJ872" s="1"/>
      <c r="AK872" s="1"/>
      <c r="AL872" s="1"/>
      <c r="AM872" s="1"/>
      <c r="AN872" s="1"/>
      <c r="AO872" s="1" t="s">
        <v>7189</v>
      </c>
      <c r="AP872" s="1" t="s">
        <v>7190</v>
      </c>
      <c r="AQ872" s="1" t="s">
        <v>7191</v>
      </c>
      <c r="AR872" s="1"/>
      <c r="AS872" s="1"/>
      <c r="AT872" s="1"/>
      <c r="AU872" s="3">
        <v>2017</v>
      </c>
      <c r="AV872" s="3">
        <v>1602</v>
      </c>
      <c r="AW872" s="2"/>
      <c r="AX872" s="2"/>
      <c r="AY872" s="2"/>
      <c r="AZ872" s="1"/>
      <c r="BA872" s="2"/>
      <c r="BB872" s="3">
        <v>239</v>
      </c>
      <c r="BC872" s="3">
        <v>250</v>
      </c>
      <c r="BD872" s="2"/>
      <c r="BE872" s="1" t="s">
        <v>7192</v>
      </c>
      <c r="BF872" s="4">
        <f>HYPERLINK("http://dx.doi.org/10.1007/978-1-4939-6964-7_15","http://dx.doi.org/10.1007/978-1-4939-6964-7_15")</f>
      </c>
      <c r="BG872" s="1" t="s">
        <v>7193</v>
      </c>
      <c r="BH872" s="1"/>
      <c r="BI872" s="1"/>
      <c r="BJ872" s="1"/>
      <c r="BK872" s="1"/>
      <c r="BL872" s="1"/>
      <c r="BM872" s="1"/>
      <c r="BN872" s="3">
        <v>28508224</v>
      </c>
      <c r="BO872" s="1"/>
      <c r="BP872" s="1"/>
      <c r="BQ872" s="1"/>
      <c r="BR872" s="1"/>
      <c r="BS872" s="1" t="s">
        <v>7194</v>
      </c>
      <c r="BT872" s="5">
        <f>HYPERLINK("https%3A%2F%2Fwww.webofscience.com%2Fwos%2Fwoscc%2Ffull-record%2FWOS:000428870100016","View Full Record in Web of Science")</f>
      </c>
    </row>
    <row x14ac:dyDescent="0.25" r="873" customHeight="1" ht="12.75">
      <c r="A873" s="1" t="s">
        <v>72</v>
      </c>
      <c r="B873" s="1" t="s">
        <v>319</v>
      </c>
      <c r="C873" s="1"/>
      <c r="D873" s="1"/>
      <c r="E873" s="1"/>
      <c r="F873" s="1" t="s">
        <v>320</v>
      </c>
      <c r="G873" s="1"/>
      <c r="H873" s="1"/>
      <c r="I873" s="1" t="s">
        <v>7195</v>
      </c>
      <c r="J873" s="1" t="s">
        <v>2098</v>
      </c>
      <c r="K873" s="1"/>
      <c r="L873" s="1"/>
      <c r="M873" s="1"/>
      <c r="N873" s="1"/>
      <c r="O873" s="1"/>
      <c r="P873" s="2"/>
      <c r="Q873" s="1"/>
      <c r="R873" s="1"/>
      <c r="S873" s="1"/>
      <c r="T873" s="1"/>
      <c r="U873" s="1"/>
      <c r="V873" s="1" t="s">
        <v>7196</v>
      </c>
      <c r="W873" s="1"/>
      <c r="X873" s="1"/>
      <c r="Y873" s="1"/>
      <c r="Z873" s="1"/>
      <c r="AA873" s="1" t="s">
        <v>324</v>
      </c>
      <c r="AB873" s="1"/>
      <c r="AC873" s="1"/>
      <c r="AD873" s="1"/>
      <c r="AE873" s="1"/>
      <c r="AF873" s="1"/>
      <c r="AG873" s="1"/>
      <c r="AH873" s="1"/>
      <c r="AI873" s="1"/>
      <c r="AJ873" s="1"/>
      <c r="AK873" s="1"/>
      <c r="AL873" s="1"/>
      <c r="AM873" s="1"/>
      <c r="AN873" s="1"/>
      <c r="AO873" s="1" t="s">
        <v>2102</v>
      </c>
      <c r="AP873" s="1" t="s">
        <v>2103</v>
      </c>
      <c r="AQ873" s="1"/>
      <c r="AR873" s="1"/>
      <c r="AS873" s="1"/>
      <c r="AT873" s="1" t="s">
        <v>204</v>
      </c>
      <c r="AU873" s="3">
        <v>2016</v>
      </c>
      <c r="AV873" s="2"/>
      <c r="AW873" s="3">
        <v>34</v>
      </c>
      <c r="AX873" s="2"/>
      <c r="AY873" s="2"/>
      <c r="AZ873" s="1"/>
      <c r="BA873" s="2"/>
      <c r="BB873" s="3">
        <v>278</v>
      </c>
      <c r="BC873" s="3">
        <v>295</v>
      </c>
      <c r="BD873" s="2"/>
      <c r="BE873" s="1" t="s">
        <v>7197</v>
      </c>
      <c r="BF873" s="4">
        <f>HYPERLINK("http://dx.doi.org/10.7764/onomazein.34.17","http://dx.doi.org/10.7764/onomazein.34.17")</f>
      </c>
      <c r="BG873" s="1"/>
      <c r="BH873" s="1"/>
      <c r="BI873" s="1"/>
      <c r="BJ873" s="1"/>
      <c r="BK873" s="1"/>
      <c r="BL873" s="1"/>
      <c r="BM873" s="1"/>
      <c r="BN873" s="2"/>
      <c r="BO873" s="1"/>
      <c r="BP873" s="1"/>
      <c r="BQ873" s="1"/>
      <c r="BR873" s="1"/>
      <c r="BS873" s="1" t="s">
        <v>7198</v>
      </c>
      <c r="BT873" s="5">
        <f>HYPERLINK("https%3A%2F%2Fwww.webofscience.com%2Fwos%2Fwoscc%2Ffull-record%2FWOS:000393208600018","View Full Record in Web of Science")</f>
      </c>
    </row>
    <row x14ac:dyDescent="0.25" r="874" customHeight="1" ht="12.75">
      <c r="A874" s="1" t="s">
        <v>72</v>
      </c>
      <c r="B874" s="1" t="s">
        <v>7199</v>
      </c>
      <c r="C874" s="1"/>
      <c r="D874" s="1"/>
      <c r="E874" s="1"/>
      <c r="F874" s="1" t="s">
        <v>7200</v>
      </c>
      <c r="G874" s="1"/>
      <c r="H874" s="1"/>
      <c r="I874" s="1" t="s">
        <v>7201</v>
      </c>
      <c r="J874" s="1" t="s">
        <v>7202</v>
      </c>
      <c r="K874" s="1"/>
      <c r="L874" s="1"/>
      <c r="M874" s="1"/>
      <c r="N874" s="1"/>
      <c r="O874" s="1"/>
      <c r="P874" s="2"/>
      <c r="Q874" s="1"/>
      <c r="R874" s="1"/>
      <c r="S874" s="1"/>
      <c r="T874" s="1"/>
      <c r="U874" s="1"/>
      <c r="V874" s="1" t="s">
        <v>7203</v>
      </c>
      <c r="W874" s="1"/>
      <c r="X874" s="1"/>
      <c r="Y874" s="1"/>
      <c r="Z874" s="1"/>
      <c r="AA874" s="1" t="s">
        <v>7204</v>
      </c>
      <c r="AB874" s="1" t="s">
        <v>7205</v>
      </c>
      <c r="AC874" s="1"/>
      <c r="AD874" s="1"/>
      <c r="AE874" s="1"/>
      <c r="AF874" s="1"/>
      <c r="AG874" s="1"/>
      <c r="AH874" s="1"/>
      <c r="AI874" s="1"/>
      <c r="AJ874" s="1"/>
      <c r="AK874" s="1"/>
      <c r="AL874" s="1"/>
      <c r="AM874" s="1"/>
      <c r="AN874" s="1"/>
      <c r="AO874" s="1" t="s">
        <v>7206</v>
      </c>
      <c r="AP874" s="1" t="s">
        <v>7207</v>
      </c>
      <c r="AQ874" s="1"/>
      <c r="AR874" s="1"/>
      <c r="AS874" s="1"/>
      <c r="AT874" s="1"/>
      <c r="AU874" s="3">
        <v>2016</v>
      </c>
      <c r="AV874" s="3">
        <v>36</v>
      </c>
      <c r="AW874" s="3">
        <v>3</v>
      </c>
      <c r="AX874" s="2"/>
      <c r="AY874" s="2"/>
      <c r="AZ874" s="1"/>
      <c r="BA874" s="2"/>
      <c r="BB874" s="3">
        <v>366</v>
      </c>
      <c r="BC874" s="3">
        <v>368</v>
      </c>
      <c r="BD874" s="2"/>
      <c r="BE874" s="1"/>
      <c r="BF874" s="1"/>
      <c r="BG874" s="1"/>
      <c r="BH874" s="1"/>
      <c r="BI874" s="1"/>
      <c r="BJ874" s="1"/>
      <c r="BK874" s="1"/>
      <c r="BL874" s="1"/>
      <c r="BM874" s="1"/>
      <c r="BN874" s="2"/>
      <c r="BO874" s="1"/>
      <c r="BP874" s="1"/>
      <c r="BQ874" s="1"/>
      <c r="BR874" s="1"/>
      <c r="BS874" s="1" t="s">
        <v>7208</v>
      </c>
      <c r="BT874" s="5">
        <f>HYPERLINK("https%3A%2F%2Fwww.webofscience.com%2Fwos%2Fwoscc%2Ffull-record%2FWOS:000380062400022","View Full Record in Web of Science")</f>
      </c>
    </row>
    <row x14ac:dyDescent="0.25" r="875" customHeight="1" ht="12.75">
      <c r="A875" s="1" t="s">
        <v>303</v>
      </c>
      <c r="B875" s="1" t="s">
        <v>7209</v>
      </c>
      <c r="C875" s="1"/>
      <c r="D875" s="1"/>
      <c r="E875" s="1" t="s">
        <v>305</v>
      </c>
      <c r="F875" s="1" t="s">
        <v>7210</v>
      </c>
      <c r="G875" s="1"/>
      <c r="H875" s="1"/>
      <c r="I875" s="1" t="s">
        <v>7211</v>
      </c>
      <c r="J875" s="1" t="s">
        <v>5036</v>
      </c>
      <c r="K875" s="1"/>
      <c r="L875" s="1"/>
      <c r="M875" s="1"/>
      <c r="N875" s="1"/>
      <c r="O875" s="1" t="s">
        <v>5037</v>
      </c>
      <c r="P875" s="2" t="s">
        <v>5038</v>
      </c>
      <c r="Q875" s="1" t="s">
        <v>5039</v>
      </c>
      <c r="R875" s="1" t="s">
        <v>305</v>
      </c>
      <c r="S875" s="1" t="s">
        <v>5040</v>
      </c>
      <c r="T875" s="1"/>
      <c r="U875" s="1"/>
      <c r="V875" s="1" t="s">
        <v>7212</v>
      </c>
      <c r="W875" s="1"/>
      <c r="X875" s="1"/>
      <c r="Y875" s="1"/>
      <c r="Z875" s="1"/>
      <c r="AA875" s="1"/>
      <c r="AB875" s="1"/>
      <c r="AC875" s="1"/>
      <c r="AD875" s="1"/>
      <c r="AE875" s="1"/>
      <c r="AF875" s="1"/>
      <c r="AG875" s="1"/>
      <c r="AH875" s="1"/>
      <c r="AI875" s="1"/>
      <c r="AJ875" s="1"/>
      <c r="AK875" s="1"/>
      <c r="AL875" s="1"/>
      <c r="AM875" s="1"/>
      <c r="AN875" s="1"/>
      <c r="AO875" s="1"/>
      <c r="AP875" s="1"/>
      <c r="AQ875" s="1" t="s">
        <v>5042</v>
      </c>
      <c r="AR875" s="1"/>
      <c r="AS875" s="1"/>
      <c r="AT875" s="1"/>
      <c r="AU875" s="3">
        <v>2016</v>
      </c>
      <c r="AV875" s="2"/>
      <c r="AW875" s="2"/>
      <c r="AX875" s="2"/>
      <c r="AY875" s="2"/>
      <c r="AZ875" s="1"/>
      <c r="BA875" s="2"/>
      <c r="BB875" s="2"/>
      <c r="BC875" s="2"/>
      <c r="BD875" s="2"/>
      <c r="BE875" s="1"/>
      <c r="BF875" s="1"/>
      <c r="BG875" s="1"/>
      <c r="BH875" s="1"/>
      <c r="BI875" s="1"/>
      <c r="BJ875" s="1"/>
      <c r="BK875" s="1"/>
      <c r="BL875" s="1"/>
      <c r="BM875" s="1"/>
      <c r="BN875" s="2"/>
      <c r="BO875" s="1"/>
      <c r="BP875" s="1"/>
      <c r="BQ875" s="1"/>
      <c r="BR875" s="1"/>
      <c r="BS875" s="1" t="s">
        <v>7213</v>
      </c>
      <c r="BT875" s="5">
        <f>HYPERLINK("https%3A%2F%2Fwww.webofscience.com%2Fwos%2Fwoscc%2Ffull-record%2FWOS:000390556300081","View Full Record in Web of Science")</f>
      </c>
    </row>
    <row x14ac:dyDescent="0.25" r="876" customHeight="1" ht="12.75">
      <c r="A876" s="1" t="s">
        <v>72</v>
      </c>
      <c r="B876" s="1" t="s">
        <v>7214</v>
      </c>
      <c r="C876" s="1"/>
      <c r="D876" s="1"/>
      <c r="E876" s="1"/>
      <c r="F876" s="1" t="s">
        <v>7215</v>
      </c>
      <c r="G876" s="1"/>
      <c r="H876" s="1"/>
      <c r="I876" s="1" t="s">
        <v>7216</v>
      </c>
      <c r="J876" s="1" t="s">
        <v>7217</v>
      </c>
      <c r="K876" s="1"/>
      <c r="L876" s="1"/>
      <c r="M876" s="1"/>
      <c r="N876" s="1"/>
      <c r="O876" s="1"/>
      <c r="P876" s="2"/>
      <c r="Q876" s="1"/>
      <c r="R876" s="1"/>
      <c r="S876" s="1"/>
      <c r="T876" s="1"/>
      <c r="U876" s="1"/>
      <c r="V876" s="1" t="s">
        <v>7218</v>
      </c>
      <c r="W876" s="1"/>
      <c r="X876" s="1"/>
      <c r="Y876" s="1"/>
      <c r="Z876" s="1"/>
      <c r="AA876" s="1" t="s">
        <v>524</v>
      </c>
      <c r="AB876" s="1" t="s">
        <v>525</v>
      </c>
      <c r="AC876" s="1"/>
      <c r="AD876" s="1"/>
      <c r="AE876" s="1"/>
      <c r="AF876" s="1"/>
      <c r="AG876" s="1"/>
      <c r="AH876" s="1"/>
      <c r="AI876" s="1"/>
      <c r="AJ876" s="1"/>
      <c r="AK876" s="1"/>
      <c r="AL876" s="1"/>
      <c r="AM876" s="1"/>
      <c r="AN876" s="1"/>
      <c r="AO876" s="1" t="s">
        <v>7219</v>
      </c>
      <c r="AP876" s="1" t="s">
        <v>7220</v>
      </c>
      <c r="AQ876" s="1"/>
      <c r="AR876" s="1"/>
      <c r="AS876" s="1"/>
      <c r="AT876" s="1" t="s">
        <v>103</v>
      </c>
      <c r="AU876" s="3">
        <v>2016</v>
      </c>
      <c r="AV876" s="3">
        <v>54</v>
      </c>
      <c r="AW876" s="2"/>
      <c r="AX876" s="2"/>
      <c r="AY876" s="2"/>
      <c r="AZ876" s="1"/>
      <c r="BA876" s="2"/>
      <c r="BB876" s="3">
        <v>560</v>
      </c>
      <c r="BC876" s="3">
        <v>568</v>
      </c>
      <c r="BD876" s="2"/>
      <c r="BE876" s="1" t="s">
        <v>7221</v>
      </c>
      <c r="BF876" s="4">
        <f>HYPERLINK("http://dx.doi.org/10.1016/j.chb.2015.08.046","http://dx.doi.org/10.1016/j.chb.2015.08.046")</f>
      </c>
      <c r="BG876" s="1"/>
      <c r="BH876" s="1"/>
      <c r="BI876" s="1"/>
      <c r="BJ876" s="1"/>
      <c r="BK876" s="1"/>
      <c r="BL876" s="1"/>
      <c r="BM876" s="1"/>
      <c r="BN876" s="2"/>
      <c r="BO876" s="1"/>
      <c r="BP876" s="1"/>
      <c r="BQ876" s="1"/>
      <c r="BR876" s="1"/>
      <c r="BS876" s="1" t="s">
        <v>7222</v>
      </c>
      <c r="BT876" s="5">
        <f>HYPERLINK("https%3A%2F%2Fwww.webofscience.com%2Fwos%2Fwoscc%2Ffull-record%2FWOS:000364890100060","View Full Record in Web of Science")</f>
      </c>
    </row>
    <row x14ac:dyDescent="0.25" r="877" customHeight="1" ht="12.75">
      <c r="A877" s="1" t="s">
        <v>72</v>
      </c>
      <c r="B877" s="1" t="s">
        <v>7223</v>
      </c>
      <c r="C877" s="1"/>
      <c r="D877" s="1"/>
      <c r="E877" s="1"/>
      <c r="F877" s="1" t="s">
        <v>7224</v>
      </c>
      <c r="G877" s="1"/>
      <c r="H877" s="1"/>
      <c r="I877" s="1" t="s">
        <v>7225</v>
      </c>
      <c r="J877" s="1" t="s">
        <v>2976</v>
      </c>
      <c r="K877" s="1"/>
      <c r="L877" s="1"/>
      <c r="M877" s="1"/>
      <c r="N877" s="1"/>
      <c r="O877" s="1"/>
      <c r="P877" s="2"/>
      <c r="Q877" s="1"/>
      <c r="R877" s="1"/>
      <c r="S877" s="1"/>
      <c r="T877" s="1"/>
      <c r="U877" s="1"/>
      <c r="V877" s="1" t="s">
        <v>7226</v>
      </c>
      <c r="W877" s="1"/>
      <c r="X877" s="1"/>
      <c r="Y877" s="1"/>
      <c r="Z877" s="1"/>
      <c r="AA877" s="1" t="s">
        <v>2904</v>
      </c>
      <c r="AB877" s="1" t="s">
        <v>7227</v>
      </c>
      <c r="AC877" s="1"/>
      <c r="AD877" s="1"/>
      <c r="AE877" s="1"/>
      <c r="AF877" s="1"/>
      <c r="AG877" s="1"/>
      <c r="AH877" s="1"/>
      <c r="AI877" s="1"/>
      <c r="AJ877" s="1"/>
      <c r="AK877" s="1"/>
      <c r="AL877" s="1"/>
      <c r="AM877" s="1"/>
      <c r="AN877" s="1"/>
      <c r="AO877" s="1" t="s">
        <v>2983</v>
      </c>
      <c r="AP877" s="1" t="s">
        <v>2984</v>
      </c>
      <c r="AQ877" s="1"/>
      <c r="AR877" s="1"/>
      <c r="AS877" s="1"/>
      <c r="AT877" s="1" t="s">
        <v>292</v>
      </c>
      <c r="AU877" s="3">
        <v>2014</v>
      </c>
      <c r="AV877" s="3">
        <v>94</v>
      </c>
      <c r="AW877" s="3">
        <v>12</v>
      </c>
      <c r="AX877" s="2"/>
      <c r="AY877" s="2"/>
      <c r="AZ877" s="1"/>
      <c r="BA877" s="2"/>
      <c r="BB877" s="3">
        <v>2555</v>
      </c>
      <c r="BC877" s="3">
        <v>2561</v>
      </c>
      <c r="BD877" s="2"/>
      <c r="BE877" s="1" t="s">
        <v>7228</v>
      </c>
      <c r="BF877" s="4">
        <f>HYPERLINK("http://dx.doi.org/10.1002/jsfa.6596","http://dx.doi.org/10.1002/jsfa.6596")</f>
      </c>
      <c r="BG877" s="1"/>
      <c r="BH877" s="1"/>
      <c r="BI877" s="1"/>
      <c r="BJ877" s="1"/>
      <c r="BK877" s="1"/>
      <c r="BL877" s="1"/>
      <c r="BM877" s="1"/>
      <c r="BN877" s="3">
        <v>24497113</v>
      </c>
      <c r="BO877" s="1"/>
      <c r="BP877" s="1"/>
      <c r="BQ877" s="1"/>
      <c r="BR877" s="1"/>
      <c r="BS877" s="1" t="s">
        <v>7229</v>
      </c>
      <c r="BT877" s="5">
        <f>HYPERLINK("https%3A%2F%2Fwww.webofscience.com%2Fwos%2Fwoscc%2Ffull-record%2FWOS:000339712900026","View Full Record in Web of Science")</f>
      </c>
    </row>
    <row x14ac:dyDescent="0.25" r="878" customHeight="1" ht="12.75">
      <c r="A878" s="1" t="s">
        <v>72</v>
      </c>
      <c r="B878" s="1" t="s">
        <v>7230</v>
      </c>
      <c r="C878" s="1"/>
      <c r="D878" s="1"/>
      <c r="E878" s="1"/>
      <c r="F878" s="1" t="s">
        <v>7231</v>
      </c>
      <c r="G878" s="1"/>
      <c r="H878" s="1"/>
      <c r="I878" s="1" t="s">
        <v>7232</v>
      </c>
      <c r="J878" s="1" t="s">
        <v>230</v>
      </c>
      <c r="K878" s="1"/>
      <c r="L878" s="1"/>
      <c r="M878" s="1"/>
      <c r="N878" s="1"/>
      <c r="O878" s="1"/>
      <c r="P878" s="2"/>
      <c r="Q878" s="1"/>
      <c r="R878" s="1"/>
      <c r="S878" s="1"/>
      <c r="T878" s="1"/>
      <c r="U878" s="1"/>
      <c r="V878" s="1" t="s">
        <v>7233</v>
      </c>
      <c r="W878" s="1"/>
      <c r="X878" s="1"/>
      <c r="Y878" s="1"/>
      <c r="Z878" s="1"/>
      <c r="AA878" s="1" t="s">
        <v>7234</v>
      </c>
      <c r="AB878" s="1" t="s">
        <v>7235</v>
      </c>
      <c r="AC878" s="1"/>
      <c r="AD878" s="1"/>
      <c r="AE878" s="1"/>
      <c r="AF878" s="1"/>
      <c r="AG878" s="1"/>
      <c r="AH878" s="1"/>
      <c r="AI878" s="1"/>
      <c r="AJ878" s="1"/>
      <c r="AK878" s="1"/>
      <c r="AL878" s="1"/>
      <c r="AM878" s="1"/>
      <c r="AN878" s="1"/>
      <c r="AO878" s="1"/>
      <c r="AP878" s="1" t="s">
        <v>233</v>
      </c>
      <c r="AQ878" s="1"/>
      <c r="AR878" s="1"/>
      <c r="AS878" s="1"/>
      <c r="AT878" s="1" t="s">
        <v>265</v>
      </c>
      <c r="AU878" s="3">
        <v>2013</v>
      </c>
      <c r="AV878" s="3">
        <v>18</v>
      </c>
      <c r="AW878" s="3">
        <v>8</v>
      </c>
      <c r="AX878" s="2"/>
      <c r="AY878" s="2"/>
      <c r="AZ878" s="1"/>
      <c r="BA878" s="2"/>
      <c r="BB878" s="3">
        <v>8740</v>
      </c>
      <c r="BC878" s="3">
        <v>8751</v>
      </c>
      <c r="BD878" s="2"/>
      <c r="BE878" s="1" t="s">
        <v>7236</v>
      </c>
      <c r="BF878" s="4">
        <f>HYPERLINK("http://dx.doi.org/10.3390/molecules18088740","http://dx.doi.org/10.3390/molecules18088740")</f>
      </c>
      <c r="BG878" s="1"/>
      <c r="BH878" s="1"/>
      <c r="BI878" s="1"/>
      <c r="BJ878" s="1"/>
      <c r="BK878" s="1"/>
      <c r="BL878" s="1"/>
      <c r="BM878" s="1"/>
      <c r="BN878" s="3">
        <v>23887716</v>
      </c>
      <c r="BO878" s="1"/>
      <c r="BP878" s="1"/>
      <c r="BQ878" s="1"/>
      <c r="BR878" s="1"/>
      <c r="BS878" s="1" t="s">
        <v>7237</v>
      </c>
      <c r="BT878" s="5">
        <f>HYPERLINK("https%3A%2F%2Fwww.webofscience.com%2Fwos%2Fwoscc%2Ffull-record%2FWOS:000330304100003","View Full Record in Web of Science")</f>
      </c>
    </row>
    <row x14ac:dyDescent="0.25" r="879" customHeight="1" ht="12.75">
      <c r="A879" s="1" t="s">
        <v>72</v>
      </c>
      <c r="B879" s="1" t="s">
        <v>7238</v>
      </c>
      <c r="C879" s="1"/>
      <c r="D879" s="1"/>
      <c r="E879" s="1"/>
      <c r="F879" s="1" t="s">
        <v>7239</v>
      </c>
      <c r="G879" s="1"/>
      <c r="H879" s="1"/>
      <c r="I879" s="1" t="s">
        <v>7240</v>
      </c>
      <c r="J879" s="1" t="s">
        <v>1382</v>
      </c>
      <c r="K879" s="1"/>
      <c r="L879" s="1"/>
      <c r="M879" s="1"/>
      <c r="N879" s="1"/>
      <c r="O879" s="1"/>
      <c r="P879" s="2"/>
      <c r="Q879" s="1"/>
      <c r="R879" s="1"/>
      <c r="S879" s="1"/>
      <c r="T879" s="1"/>
      <c r="U879" s="1"/>
      <c r="V879" s="1" t="s">
        <v>7241</v>
      </c>
      <c r="W879" s="1"/>
      <c r="X879" s="1"/>
      <c r="Y879" s="1"/>
      <c r="Z879" s="1"/>
      <c r="AA879" s="1" t="s">
        <v>7242</v>
      </c>
      <c r="AB879" s="1" t="s">
        <v>7243</v>
      </c>
      <c r="AC879" s="1"/>
      <c r="AD879" s="1"/>
      <c r="AE879" s="1"/>
      <c r="AF879" s="1"/>
      <c r="AG879" s="1"/>
      <c r="AH879" s="1"/>
      <c r="AI879" s="1"/>
      <c r="AJ879" s="1"/>
      <c r="AK879" s="1"/>
      <c r="AL879" s="1"/>
      <c r="AM879" s="1"/>
      <c r="AN879" s="1"/>
      <c r="AO879" s="1"/>
      <c r="AP879" s="1" t="s">
        <v>1386</v>
      </c>
      <c r="AQ879" s="1"/>
      <c r="AR879" s="1"/>
      <c r="AS879" s="1"/>
      <c r="AT879" s="1" t="s">
        <v>7244</v>
      </c>
      <c r="AU879" s="3">
        <v>2013</v>
      </c>
      <c r="AV879" s="3">
        <v>10</v>
      </c>
      <c r="AW879" s="2"/>
      <c r="AX879" s="2"/>
      <c r="AY879" s="2"/>
      <c r="AZ879" s="1"/>
      <c r="BA879" s="2"/>
      <c r="BB879" s="2"/>
      <c r="BC879" s="2"/>
      <c r="BD879" s="3">
        <v>223</v>
      </c>
      <c r="BE879" s="1" t="s">
        <v>7245</v>
      </c>
      <c r="BF879" s="4">
        <f>HYPERLINK("http://dx.doi.org/10.1186/1743-422X-10-223","http://dx.doi.org/10.1186/1743-422X-10-223")</f>
      </c>
      <c r="BG879" s="1"/>
      <c r="BH879" s="1"/>
      <c r="BI879" s="1"/>
      <c r="BJ879" s="1"/>
      <c r="BK879" s="1"/>
      <c r="BL879" s="1"/>
      <c r="BM879" s="1"/>
      <c r="BN879" s="3">
        <v>23829271</v>
      </c>
      <c r="BO879" s="1"/>
      <c r="BP879" s="1"/>
      <c r="BQ879" s="1"/>
      <c r="BR879" s="1"/>
      <c r="BS879" s="1" t="s">
        <v>7246</v>
      </c>
      <c r="BT879" s="5">
        <f>HYPERLINK("https%3A%2F%2Fwww.webofscience.com%2Fwos%2Fwoscc%2Ffull-record%2FWOS:000321438800001","View Full Record in Web of Science")</f>
      </c>
    </row>
    <row x14ac:dyDescent="0.25" r="880" customHeight="1" ht="12.75">
      <c r="A880" s="1" t="s">
        <v>72</v>
      </c>
      <c r="B880" s="1" t="s">
        <v>7247</v>
      </c>
      <c r="C880" s="1"/>
      <c r="D880" s="1"/>
      <c r="E880" s="1"/>
      <c r="F880" s="1" t="s">
        <v>7248</v>
      </c>
      <c r="G880" s="1"/>
      <c r="H880" s="1"/>
      <c r="I880" s="1" t="s">
        <v>7249</v>
      </c>
      <c r="J880" s="1" t="s">
        <v>7250</v>
      </c>
      <c r="K880" s="1"/>
      <c r="L880" s="1"/>
      <c r="M880" s="1"/>
      <c r="N880" s="1"/>
      <c r="O880" s="1"/>
      <c r="P880" s="2"/>
      <c r="Q880" s="1"/>
      <c r="R880" s="1"/>
      <c r="S880" s="1"/>
      <c r="T880" s="1"/>
      <c r="U880" s="1"/>
      <c r="V880" s="1" t="s">
        <v>7251</v>
      </c>
      <c r="W880" s="1"/>
      <c r="X880" s="1"/>
      <c r="Y880" s="1"/>
      <c r="Z880" s="1"/>
      <c r="AA880" s="1" t="s">
        <v>4364</v>
      </c>
      <c r="AB880" s="1" t="s">
        <v>2240</v>
      </c>
      <c r="AC880" s="1"/>
      <c r="AD880" s="1"/>
      <c r="AE880" s="1"/>
      <c r="AF880" s="1"/>
      <c r="AG880" s="1"/>
      <c r="AH880" s="1"/>
      <c r="AI880" s="1"/>
      <c r="AJ880" s="1"/>
      <c r="AK880" s="1"/>
      <c r="AL880" s="1"/>
      <c r="AM880" s="1"/>
      <c r="AN880" s="1"/>
      <c r="AO880" s="1" t="s">
        <v>7252</v>
      </c>
      <c r="AP880" s="1" t="s">
        <v>7253</v>
      </c>
      <c r="AQ880" s="1"/>
      <c r="AR880" s="1"/>
      <c r="AS880" s="1"/>
      <c r="AT880" s="1" t="s">
        <v>7254</v>
      </c>
      <c r="AU880" s="3">
        <v>2013</v>
      </c>
      <c r="AV880" s="3">
        <v>26</v>
      </c>
      <c r="AW880" s="3">
        <v>3</v>
      </c>
      <c r="AX880" s="2"/>
      <c r="AY880" s="2"/>
      <c r="AZ880" s="1"/>
      <c r="BA880" s="2"/>
      <c r="BB880" s="3">
        <v>149</v>
      </c>
      <c r="BC880" s="3">
        <v>160</v>
      </c>
      <c r="BD880" s="2"/>
      <c r="BE880" s="1" t="s">
        <v>7255</v>
      </c>
      <c r="BF880" s="4">
        <f>HYPERLINK("http://dx.doi.org/10.1002/pts.1980","http://dx.doi.org/10.1002/pts.1980")</f>
      </c>
      <c r="BG880" s="1"/>
      <c r="BH880" s="1"/>
      <c r="BI880" s="1"/>
      <c r="BJ880" s="1"/>
      <c r="BK880" s="1"/>
      <c r="BL880" s="1"/>
      <c r="BM880" s="1"/>
      <c r="BN880" s="2"/>
      <c r="BO880" s="1"/>
      <c r="BP880" s="1"/>
      <c r="BQ880" s="1"/>
      <c r="BR880" s="1"/>
      <c r="BS880" s="1" t="s">
        <v>7256</v>
      </c>
      <c r="BT880" s="5">
        <f>HYPERLINK("https%3A%2F%2Fwww.webofscience.com%2Fwos%2Fwoscc%2Ffull-record%2FWOS:000317987300003","View Full Record in Web of Science")</f>
      </c>
    </row>
    <row x14ac:dyDescent="0.25" r="881" customHeight="1" ht="12.75">
      <c r="A881" s="1" t="s">
        <v>72</v>
      </c>
      <c r="B881" s="1" t="s">
        <v>7257</v>
      </c>
      <c r="C881" s="1"/>
      <c r="D881" s="1"/>
      <c r="E881" s="1"/>
      <c r="F881" s="1" t="s">
        <v>7258</v>
      </c>
      <c r="G881" s="1"/>
      <c r="H881" s="1"/>
      <c r="I881" s="1" t="s">
        <v>7259</v>
      </c>
      <c r="J881" s="1" t="s">
        <v>7260</v>
      </c>
      <c r="K881" s="1"/>
      <c r="L881" s="1"/>
      <c r="M881" s="1"/>
      <c r="N881" s="1"/>
      <c r="O881" s="1"/>
      <c r="P881" s="2"/>
      <c r="Q881" s="1"/>
      <c r="R881" s="1"/>
      <c r="S881" s="1"/>
      <c r="T881" s="1"/>
      <c r="U881" s="1"/>
      <c r="V881" s="1" t="s">
        <v>7261</v>
      </c>
      <c r="W881" s="1"/>
      <c r="X881" s="1"/>
      <c r="Y881" s="1"/>
      <c r="Z881" s="1"/>
      <c r="AA881" s="1"/>
      <c r="AB881" s="1"/>
      <c r="AC881" s="1"/>
      <c r="AD881" s="1"/>
      <c r="AE881" s="1"/>
      <c r="AF881" s="1"/>
      <c r="AG881" s="1"/>
      <c r="AH881" s="1"/>
      <c r="AI881" s="1"/>
      <c r="AJ881" s="1"/>
      <c r="AK881" s="1"/>
      <c r="AL881" s="1"/>
      <c r="AM881" s="1"/>
      <c r="AN881" s="1"/>
      <c r="AO881" s="1" t="s">
        <v>7262</v>
      </c>
      <c r="AP881" s="1" t="s">
        <v>7263</v>
      </c>
      <c r="AQ881" s="1"/>
      <c r="AR881" s="1"/>
      <c r="AS881" s="1"/>
      <c r="AT881" s="1" t="s">
        <v>244</v>
      </c>
      <c r="AU881" s="3">
        <v>2013</v>
      </c>
      <c r="AV881" s="3">
        <v>105</v>
      </c>
      <c r="AW881" s="3">
        <v>1</v>
      </c>
      <c r="AX881" s="2"/>
      <c r="AY881" s="2"/>
      <c r="AZ881" s="1"/>
      <c r="BA881" s="2"/>
      <c r="BB881" s="3">
        <v>28</v>
      </c>
      <c r="BC881" s="3">
        <v>33</v>
      </c>
      <c r="BD881" s="2"/>
      <c r="BE881" s="1" t="s">
        <v>7264</v>
      </c>
      <c r="BF881" s="4">
        <f>HYPERLINK("http://dx.doi.org/10.3852/12-012","http://dx.doi.org/10.3852/12-012")</f>
      </c>
      <c r="BG881" s="1"/>
      <c r="BH881" s="1"/>
      <c r="BI881" s="1"/>
      <c r="BJ881" s="1"/>
      <c r="BK881" s="1"/>
      <c r="BL881" s="1"/>
      <c r="BM881" s="1"/>
      <c r="BN881" s="3">
        <v>22962358</v>
      </c>
      <c r="BO881" s="1"/>
      <c r="BP881" s="1"/>
      <c r="BQ881" s="1"/>
      <c r="BR881" s="1"/>
      <c r="BS881" s="1" t="s">
        <v>7265</v>
      </c>
      <c r="BT881" s="5">
        <f>HYPERLINK("https%3A%2F%2Fwww.webofscience.com%2Fwos%2Fwoscc%2Ffull-record%2FWOS:000314387000002","View Full Record in Web of Science")</f>
      </c>
    </row>
    <row x14ac:dyDescent="0.25" r="882" customHeight="1" ht="12.75">
      <c r="A882" s="1" t="s">
        <v>72</v>
      </c>
      <c r="B882" s="1" t="s">
        <v>2291</v>
      </c>
      <c r="C882" s="1"/>
      <c r="D882" s="1"/>
      <c r="E882" s="1"/>
      <c r="F882" s="1" t="s">
        <v>4466</v>
      </c>
      <c r="G882" s="1"/>
      <c r="H882" s="1"/>
      <c r="I882" s="1" t="s">
        <v>7266</v>
      </c>
      <c r="J882" s="1" t="s">
        <v>4997</v>
      </c>
      <c r="K882" s="1"/>
      <c r="L882" s="1"/>
      <c r="M882" s="1"/>
      <c r="N882" s="1"/>
      <c r="O882" s="1"/>
      <c r="P882" s="2"/>
      <c r="Q882" s="1"/>
      <c r="R882" s="1"/>
      <c r="S882" s="1"/>
      <c r="T882" s="1"/>
      <c r="U882" s="1"/>
      <c r="V882" s="1"/>
      <c r="W882" s="1"/>
      <c r="X882" s="1"/>
      <c r="Y882" s="1"/>
      <c r="Z882" s="1"/>
      <c r="AA882" s="1"/>
      <c r="AB882" s="1" t="s">
        <v>7267</v>
      </c>
      <c r="AC882" s="1"/>
      <c r="AD882" s="1"/>
      <c r="AE882" s="1"/>
      <c r="AF882" s="1"/>
      <c r="AG882" s="1"/>
      <c r="AH882" s="1"/>
      <c r="AI882" s="1"/>
      <c r="AJ882" s="1"/>
      <c r="AK882" s="1"/>
      <c r="AL882" s="1"/>
      <c r="AM882" s="1"/>
      <c r="AN882" s="1"/>
      <c r="AO882" s="1" t="s">
        <v>4999</v>
      </c>
      <c r="AP882" s="1"/>
      <c r="AQ882" s="1"/>
      <c r="AR882" s="1"/>
      <c r="AS882" s="1"/>
      <c r="AT882" s="1"/>
      <c r="AU882" s="3">
        <v>2013</v>
      </c>
      <c r="AV882" s="2"/>
      <c r="AW882" s="3">
        <v>46</v>
      </c>
      <c r="AX882" s="2"/>
      <c r="AY882" s="2"/>
      <c r="AZ882" s="1"/>
      <c r="BA882" s="2"/>
      <c r="BB882" s="3">
        <v>151</v>
      </c>
      <c r="BC882" s="3">
        <v>155</v>
      </c>
      <c r="BD882" s="2"/>
      <c r="BE882" s="1" t="s">
        <v>7268</v>
      </c>
      <c r="BF882" s="4">
        <f>HYPERLINK("http://dx.doi.org/10.4067/S0717-68482013000100011","http://dx.doi.org/10.4067/S0717-68482013000100011")</f>
      </c>
      <c r="BG882" s="1"/>
      <c r="BH882" s="1"/>
      <c r="BI882" s="1"/>
      <c r="BJ882" s="1"/>
      <c r="BK882" s="1"/>
      <c r="BL882" s="1"/>
      <c r="BM882" s="1"/>
      <c r="BN882" s="2"/>
      <c r="BO882" s="1"/>
      <c r="BP882" s="1"/>
      <c r="BQ882" s="1"/>
      <c r="BR882" s="1"/>
      <c r="BS882" s="1" t="s">
        <v>7269</v>
      </c>
      <c r="BT882" s="5">
        <f>HYPERLINK("https%3A%2F%2Fwww.webofscience.com%2Fwos%2Fwoscc%2Ffull-record%2FWOS:000322936900011","View Full Record in Web of Science")</f>
      </c>
    </row>
    <row x14ac:dyDescent="0.25" r="883" customHeight="1" ht="12.75">
      <c r="A883" s="1" t="s">
        <v>72</v>
      </c>
      <c r="B883" s="1" t="s">
        <v>2208</v>
      </c>
      <c r="C883" s="1"/>
      <c r="D883" s="1"/>
      <c r="E883" s="1"/>
      <c r="F883" s="1" t="s">
        <v>2209</v>
      </c>
      <c r="G883" s="1"/>
      <c r="H883" s="1"/>
      <c r="I883" s="1" t="s">
        <v>7270</v>
      </c>
      <c r="J883" s="1" t="s">
        <v>544</v>
      </c>
      <c r="K883" s="1"/>
      <c r="L883" s="1"/>
      <c r="M883" s="1"/>
      <c r="N883" s="1"/>
      <c r="O883" s="1"/>
      <c r="P883" s="2"/>
      <c r="Q883" s="1"/>
      <c r="R883" s="1"/>
      <c r="S883" s="1"/>
      <c r="T883" s="1"/>
      <c r="U883" s="1"/>
      <c r="V883" s="1" t="s">
        <v>7271</v>
      </c>
      <c r="W883" s="1"/>
      <c r="X883" s="1"/>
      <c r="Y883" s="1"/>
      <c r="Z883" s="1"/>
      <c r="AA883" s="1"/>
      <c r="AB883" s="1"/>
      <c r="AC883" s="1"/>
      <c r="AD883" s="1"/>
      <c r="AE883" s="1"/>
      <c r="AF883" s="1"/>
      <c r="AG883" s="1"/>
      <c r="AH883" s="1"/>
      <c r="AI883" s="1"/>
      <c r="AJ883" s="1"/>
      <c r="AK883" s="1"/>
      <c r="AL883" s="1"/>
      <c r="AM883" s="1"/>
      <c r="AN883" s="1"/>
      <c r="AO883" s="1" t="s">
        <v>546</v>
      </c>
      <c r="AP883" s="1"/>
      <c r="AQ883" s="1"/>
      <c r="AR883" s="1"/>
      <c r="AS883" s="1"/>
      <c r="AT883" s="1"/>
      <c r="AU883" s="3">
        <v>2013</v>
      </c>
      <c r="AV883" s="2"/>
      <c r="AW883" s="3">
        <v>53</v>
      </c>
      <c r="AX883" s="2"/>
      <c r="AY883" s="2"/>
      <c r="AZ883" s="1"/>
      <c r="BA883" s="2"/>
      <c r="BB883" s="3">
        <v>83</v>
      </c>
      <c r="BC883" s="3">
        <v>97</v>
      </c>
      <c r="BD883" s="2"/>
      <c r="BE883" s="1"/>
      <c r="BF883" s="1"/>
      <c r="BG883" s="1"/>
      <c r="BH883" s="1"/>
      <c r="BI883" s="1"/>
      <c r="BJ883" s="1"/>
      <c r="BK883" s="1"/>
      <c r="BL883" s="1"/>
      <c r="BM883" s="1"/>
      <c r="BN883" s="2"/>
      <c r="BO883" s="1"/>
      <c r="BP883" s="1"/>
      <c r="BQ883" s="1"/>
      <c r="BR883" s="1"/>
      <c r="BS883" s="1" t="s">
        <v>7272</v>
      </c>
      <c r="BT883" s="5">
        <f>HYPERLINK("https%3A%2F%2Fwww.webofscience.com%2Fwos%2Fwoscc%2Ffull-record%2FWOS:000329767300006","View Full Record in Web of Science")</f>
      </c>
    </row>
    <row x14ac:dyDescent="0.25" r="884" customHeight="1" ht="12.75">
      <c r="A884" s="1" t="s">
        <v>72</v>
      </c>
      <c r="B884" s="1" t="s">
        <v>7273</v>
      </c>
      <c r="C884" s="1"/>
      <c r="D884" s="1"/>
      <c r="E884" s="1"/>
      <c r="F884" s="1" t="s">
        <v>7274</v>
      </c>
      <c r="G884" s="1"/>
      <c r="H884" s="1"/>
      <c r="I884" s="1" t="s">
        <v>7275</v>
      </c>
      <c r="J884" s="1" t="s">
        <v>5780</v>
      </c>
      <c r="K884" s="1"/>
      <c r="L884" s="1"/>
      <c r="M884" s="1"/>
      <c r="N884" s="1"/>
      <c r="O884" s="1"/>
      <c r="P884" s="2"/>
      <c r="Q884" s="1"/>
      <c r="R884" s="1"/>
      <c r="S884" s="1"/>
      <c r="T884" s="1"/>
      <c r="U884" s="1"/>
      <c r="V884" s="1" t="s">
        <v>7276</v>
      </c>
      <c r="W884" s="1"/>
      <c r="X884" s="1"/>
      <c r="Y884" s="1"/>
      <c r="Z884" s="1"/>
      <c r="AA884" s="1" t="s">
        <v>7277</v>
      </c>
      <c r="AB884" s="1" t="s">
        <v>7278</v>
      </c>
      <c r="AC884" s="1"/>
      <c r="AD884" s="1"/>
      <c r="AE884" s="1"/>
      <c r="AF884" s="1"/>
      <c r="AG884" s="1"/>
      <c r="AH884" s="1"/>
      <c r="AI884" s="1"/>
      <c r="AJ884" s="1"/>
      <c r="AK884" s="1"/>
      <c r="AL884" s="1"/>
      <c r="AM884" s="1"/>
      <c r="AN884" s="1"/>
      <c r="AO884" s="1" t="s">
        <v>5784</v>
      </c>
      <c r="AP884" s="1"/>
      <c r="AQ884" s="1"/>
      <c r="AR884" s="1"/>
      <c r="AS884" s="1"/>
      <c r="AT884" s="1" t="s">
        <v>7279</v>
      </c>
      <c r="AU884" s="3">
        <v>2012</v>
      </c>
      <c r="AV884" s="3">
        <v>109</v>
      </c>
      <c r="AW884" s="3">
        <v>15</v>
      </c>
      <c r="AX884" s="2"/>
      <c r="AY884" s="2"/>
      <c r="AZ884" s="1"/>
      <c r="BA884" s="2"/>
      <c r="BB884" s="2"/>
      <c r="BC884" s="2"/>
      <c r="BD884" s="3">
        <v>158301</v>
      </c>
      <c r="BE884" s="1" t="s">
        <v>7280</v>
      </c>
      <c r="BF884" s="4">
        <f>HYPERLINK("http://dx.doi.org/10.1103/PhysRevLett.109.158301","http://dx.doi.org/10.1103/PhysRevLett.109.158301")</f>
      </c>
      <c r="BG884" s="1"/>
      <c r="BH884" s="1"/>
      <c r="BI884" s="1"/>
      <c r="BJ884" s="1"/>
      <c r="BK884" s="1"/>
      <c r="BL884" s="1"/>
      <c r="BM884" s="1"/>
      <c r="BN884" s="3">
        <v>23102371</v>
      </c>
      <c r="BO884" s="1"/>
      <c r="BP884" s="1"/>
      <c r="BQ884" s="1"/>
      <c r="BR884" s="1"/>
      <c r="BS884" s="1" t="s">
        <v>7281</v>
      </c>
      <c r="BT884" s="5">
        <f>HYPERLINK("https%3A%2F%2Fwww.webofscience.com%2Fwos%2Fwoscc%2Ffull-record%2FWOS:000309590300047","View Full Record in Web of Science")</f>
      </c>
    </row>
    <row x14ac:dyDescent="0.25" r="885" customHeight="1" ht="12.75">
      <c r="A885" s="1" t="s">
        <v>778</v>
      </c>
      <c r="B885" s="1" t="s">
        <v>7282</v>
      </c>
      <c r="C885" s="1"/>
      <c r="D885" s="1" t="s">
        <v>7283</v>
      </c>
      <c r="E885" s="1"/>
      <c r="F885" s="1" t="s">
        <v>7284</v>
      </c>
      <c r="G885" s="1"/>
      <c r="H885" s="1"/>
      <c r="I885" s="1" t="s">
        <v>7285</v>
      </c>
      <c r="J885" s="1" t="s">
        <v>7286</v>
      </c>
      <c r="K885" s="1" t="s">
        <v>7287</v>
      </c>
      <c r="L885" s="1"/>
      <c r="M885" s="1"/>
      <c r="N885" s="1"/>
      <c r="O885" s="1"/>
      <c r="P885" s="2"/>
      <c r="Q885" s="1"/>
      <c r="R885" s="1"/>
      <c r="S885" s="1"/>
      <c r="T885" s="1"/>
      <c r="U885" s="1"/>
      <c r="V885" s="1"/>
      <c r="W885" s="1"/>
      <c r="X885" s="1"/>
      <c r="Y885" s="1"/>
      <c r="Z885" s="1"/>
      <c r="AA885" s="1" t="s">
        <v>7288</v>
      </c>
      <c r="AB885" s="1"/>
      <c r="AC885" s="1"/>
      <c r="AD885" s="1"/>
      <c r="AE885" s="1"/>
      <c r="AF885" s="1"/>
      <c r="AG885" s="1"/>
      <c r="AH885" s="1"/>
      <c r="AI885" s="1"/>
      <c r="AJ885" s="1"/>
      <c r="AK885" s="1"/>
      <c r="AL885" s="1"/>
      <c r="AM885" s="1"/>
      <c r="AN885" s="1"/>
      <c r="AO885" s="1" t="s">
        <v>7289</v>
      </c>
      <c r="AP885" s="1"/>
      <c r="AQ885" s="1" t="s">
        <v>7290</v>
      </c>
      <c r="AR885" s="1"/>
      <c r="AS885" s="1"/>
      <c r="AT885" s="1"/>
      <c r="AU885" s="3">
        <v>2012</v>
      </c>
      <c r="AV885" s="2"/>
      <c r="AW885" s="2"/>
      <c r="AX885" s="2"/>
      <c r="AY885" s="2"/>
      <c r="AZ885" s="1"/>
      <c r="BA885" s="2"/>
      <c r="BB885" s="3">
        <v>225</v>
      </c>
      <c r="BC885" s="3">
        <v>247</v>
      </c>
      <c r="BD885" s="2"/>
      <c r="BE885" s="1" t="s">
        <v>7291</v>
      </c>
      <c r="BF885" s="4">
        <f>HYPERLINK("http://dx.doi.org/10.1007/978-3-642-20496-8_16","http://dx.doi.org/10.1007/978-3-642-20496-8_16")</f>
      </c>
      <c r="BG885" s="1" t="s">
        <v>7292</v>
      </c>
      <c r="BH885" s="1"/>
      <c r="BI885" s="1"/>
      <c r="BJ885" s="1"/>
      <c r="BK885" s="1"/>
      <c r="BL885" s="1"/>
      <c r="BM885" s="1"/>
      <c r="BN885" s="2"/>
      <c r="BO885" s="1"/>
      <c r="BP885" s="1"/>
      <c r="BQ885" s="1"/>
      <c r="BR885" s="1"/>
      <c r="BS885" s="1" t="s">
        <v>7293</v>
      </c>
      <c r="BT885" s="5">
        <f>HYPERLINK("https%3A%2F%2Fwww.webofscience.com%2Fwos%2Fwoscc%2Ffull-record%2FWOS:000320068700017","View Full Record in Web of Science")</f>
      </c>
    </row>
    <row x14ac:dyDescent="0.25" r="886" customHeight="1" ht="12.75">
      <c r="A886" s="1" t="s">
        <v>72</v>
      </c>
      <c r="B886" s="1" t="s">
        <v>7294</v>
      </c>
      <c r="C886" s="1"/>
      <c r="D886" s="1"/>
      <c r="E886" s="1"/>
      <c r="F886" s="1" t="s">
        <v>7295</v>
      </c>
      <c r="G886" s="1"/>
      <c r="H886" s="1"/>
      <c r="I886" s="1" t="s">
        <v>7296</v>
      </c>
      <c r="J886" s="1" t="s">
        <v>7297</v>
      </c>
      <c r="K886" s="1"/>
      <c r="L886" s="1"/>
      <c r="M886" s="1"/>
      <c r="N886" s="1"/>
      <c r="O886" s="1"/>
      <c r="P886" s="2"/>
      <c r="Q886" s="1"/>
      <c r="R886" s="1"/>
      <c r="S886" s="1"/>
      <c r="T886" s="1"/>
      <c r="U886" s="1"/>
      <c r="V886" s="1" t="s">
        <v>7298</v>
      </c>
      <c r="W886" s="1"/>
      <c r="X886" s="1"/>
      <c r="Y886" s="1"/>
      <c r="Z886" s="1"/>
      <c r="AA886" s="1"/>
      <c r="AB886" s="1"/>
      <c r="AC886" s="1"/>
      <c r="AD886" s="1"/>
      <c r="AE886" s="1"/>
      <c r="AF886" s="1"/>
      <c r="AG886" s="1"/>
      <c r="AH886" s="1"/>
      <c r="AI886" s="1"/>
      <c r="AJ886" s="1"/>
      <c r="AK886" s="1"/>
      <c r="AL886" s="1"/>
      <c r="AM886" s="1"/>
      <c r="AN886" s="1"/>
      <c r="AO886" s="1" t="s">
        <v>7299</v>
      </c>
      <c r="AP886" s="1"/>
      <c r="AQ886" s="1"/>
      <c r="AR886" s="1"/>
      <c r="AS886" s="1"/>
      <c r="AT886" s="1" t="s">
        <v>7300</v>
      </c>
      <c r="AU886" s="3">
        <v>2011</v>
      </c>
      <c r="AV886" s="3">
        <v>879</v>
      </c>
      <c r="AW886" s="3">
        <v>30</v>
      </c>
      <c r="AX886" s="2"/>
      <c r="AY886" s="2"/>
      <c r="AZ886" s="1"/>
      <c r="BA886" s="2"/>
      <c r="BB886" s="3">
        <v>3645</v>
      </c>
      <c r="BC886" s="3">
        <v>3648</v>
      </c>
      <c r="BD886" s="2"/>
      <c r="BE886" s="1" t="s">
        <v>7301</v>
      </c>
      <c r="BF886" s="4">
        <f>HYPERLINK("http://dx.doi.org/10.1016/j.jchromb.2011.09.024","http://dx.doi.org/10.1016/j.jchromb.2011.09.024")</f>
      </c>
      <c r="BG886" s="1"/>
      <c r="BH886" s="1"/>
      <c r="BI886" s="1"/>
      <c r="BJ886" s="1"/>
      <c r="BK886" s="1"/>
      <c r="BL886" s="1"/>
      <c r="BM886" s="1"/>
      <c r="BN886" s="3">
        <v>21963274</v>
      </c>
      <c r="BO886" s="1"/>
      <c r="BP886" s="1"/>
      <c r="BQ886" s="1"/>
      <c r="BR886" s="1"/>
      <c r="BS886" s="1" t="s">
        <v>7302</v>
      </c>
      <c r="BT886" s="5">
        <f>HYPERLINK("https%3A%2F%2Fwww.webofscience.com%2Fwos%2Fwoscc%2Ffull-record%2FWOS:000297396200039","View Full Record in Web of Science")</f>
      </c>
    </row>
    <row x14ac:dyDescent="0.25" r="887" customHeight="1" ht="12.75">
      <c r="A887" s="1" t="s">
        <v>72</v>
      </c>
      <c r="B887" s="1" t="s">
        <v>7303</v>
      </c>
      <c r="C887" s="1"/>
      <c r="D887" s="1"/>
      <c r="E887" s="1"/>
      <c r="F887" s="1" t="s">
        <v>7304</v>
      </c>
      <c r="G887" s="1"/>
      <c r="H887" s="1"/>
      <c r="I887" s="1" t="s">
        <v>7305</v>
      </c>
      <c r="J887" s="1" t="s">
        <v>437</v>
      </c>
      <c r="K887" s="1"/>
      <c r="L887" s="1"/>
      <c r="M887" s="1"/>
      <c r="N887" s="1"/>
      <c r="O887" s="1"/>
      <c r="P887" s="2"/>
      <c r="Q887" s="1"/>
      <c r="R887" s="1"/>
      <c r="S887" s="1"/>
      <c r="T887" s="1"/>
      <c r="U887" s="1"/>
      <c r="V887" s="1" t="s">
        <v>7306</v>
      </c>
      <c r="W887" s="1"/>
      <c r="X887" s="1"/>
      <c r="Y887" s="1"/>
      <c r="Z887" s="1"/>
      <c r="AA887" s="1" t="s">
        <v>7307</v>
      </c>
      <c r="AB887" s="1" t="s">
        <v>7308</v>
      </c>
      <c r="AC887" s="1"/>
      <c r="AD887" s="1"/>
      <c r="AE887" s="1"/>
      <c r="AF887" s="1"/>
      <c r="AG887" s="1"/>
      <c r="AH887" s="1"/>
      <c r="AI887" s="1"/>
      <c r="AJ887" s="1"/>
      <c r="AK887" s="1"/>
      <c r="AL887" s="1"/>
      <c r="AM887" s="1"/>
      <c r="AN887" s="1"/>
      <c r="AO887" s="1" t="s">
        <v>441</v>
      </c>
      <c r="AP887" s="1" t="s">
        <v>442</v>
      </c>
      <c r="AQ887" s="1"/>
      <c r="AR887" s="1"/>
      <c r="AS887" s="1"/>
      <c r="AT887" s="1" t="s">
        <v>265</v>
      </c>
      <c r="AU887" s="3">
        <v>2011</v>
      </c>
      <c r="AV887" s="3">
        <v>47</v>
      </c>
      <c r="AW887" s="3">
        <v>8</v>
      </c>
      <c r="AX887" s="2"/>
      <c r="AY887" s="2"/>
      <c r="AZ887" s="1"/>
      <c r="BA887" s="2"/>
      <c r="BB887" s="3">
        <v>1541</v>
      </c>
      <c r="BC887" s="3">
        <v>1549</v>
      </c>
      <c r="BD887" s="2"/>
      <c r="BE887" s="1" t="s">
        <v>7309</v>
      </c>
      <c r="BF887" s="4">
        <f>HYPERLINK("http://dx.doi.org/10.1016/j.eurpolymj.2011.05.008","http://dx.doi.org/10.1016/j.eurpolymj.2011.05.008")</f>
      </c>
      <c r="BG887" s="1"/>
      <c r="BH887" s="1"/>
      <c r="BI887" s="1"/>
      <c r="BJ887" s="1"/>
      <c r="BK887" s="1"/>
      <c r="BL887" s="1"/>
      <c r="BM887" s="1"/>
      <c r="BN887" s="2"/>
      <c r="BO887" s="1"/>
      <c r="BP887" s="1"/>
      <c r="BQ887" s="1"/>
      <c r="BR887" s="1"/>
      <c r="BS887" s="1" t="s">
        <v>7310</v>
      </c>
      <c r="BT887" s="5">
        <f>HYPERLINK("https%3A%2F%2Fwww.webofscience.com%2Fwos%2Fwoscc%2Ffull-record%2FWOS:000293939800006","View Full Record in Web of Science")</f>
      </c>
    </row>
    <row x14ac:dyDescent="0.25" r="888" customHeight="1" ht="12.75">
      <c r="A888" s="1" t="s">
        <v>72</v>
      </c>
      <c r="B888" s="1" t="s">
        <v>7311</v>
      </c>
      <c r="C888" s="1"/>
      <c r="D888" s="1"/>
      <c r="E888" s="1"/>
      <c r="F888" s="1" t="s">
        <v>7312</v>
      </c>
      <c r="G888" s="1"/>
      <c r="H888" s="1"/>
      <c r="I888" s="1" t="s">
        <v>7313</v>
      </c>
      <c r="J888" s="1" t="s">
        <v>7314</v>
      </c>
      <c r="K888" s="1"/>
      <c r="L888" s="1"/>
      <c r="M888" s="1"/>
      <c r="N888" s="1"/>
      <c r="O888" s="1"/>
      <c r="P888" s="2"/>
      <c r="Q888" s="1"/>
      <c r="R888" s="1"/>
      <c r="S888" s="1"/>
      <c r="T888" s="1"/>
      <c r="U888" s="1"/>
      <c r="V888" s="1" t="s">
        <v>7315</v>
      </c>
      <c r="W888" s="1"/>
      <c r="X888" s="1"/>
      <c r="Y888" s="1"/>
      <c r="Z888" s="1"/>
      <c r="AA888" s="1" t="s">
        <v>7316</v>
      </c>
      <c r="AB888" s="1" t="s">
        <v>2468</v>
      </c>
      <c r="AC888" s="1"/>
      <c r="AD888" s="1"/>
      <c r="AE888" s="1"/>
      <c r="AF888" s="1"/>
      <c r="AG888" s="1"/>
      <c r="AH888" s="1"/>
      <c r="AI888" s="1"/>
      <c r="AJ888" s="1"/>
      <c r="AK888" s="1"/>
      <c r="AL888" s="1"/>
      <c r="AM888" s="1"/>
      <c r="AN888" s="1"/>
      <c r="AO888" s="1" t="s">
        <v>7317</v>
      </c>
      <c r="AP888" s="1"/>
      <c r="AQ888" s="1"/>
      <c r="AR888" s="1"/>
      <c r="AS888" s="1"/>
      <c r="AT888" s="1" t="s">
        <v>567</v>
      </c>
      <c r="AU888" s="3">
        <v>2011</v>
      </c>
      <c r="AV888" s="3">
        <v>48</v>
      </c>
      <c r="AW888" s="3">
        <v>3</v>
      </c>
      <c r="AX888" s="2"/>
      <c r="AY888" s="2"/>
      <c r="AZ888" s="1"/>
      <c r="BA888" s="2"/>
      <c r="BB888" s="3">
        <v>406</v>
      </c>
      <c r="BC888" s="3">
        <v>411</v>
      </c>
      <c r="BD888" s="2"/>
      <c r="BE888" s="1" t="s">
        <v>7318</v>
      </c>
      <c r="BF888" s="4">
        <f>HYPERLINK("http://dx.doi.org/10.1016/j.ijrmms.2010.11.018","http://dx.doi.org/10.1016/j.ijrmms.2010.11.018")</f>
      </c>
      <c r="BG888" s="1"/>
      <c r="BH888" s="1"/>
      <c r="BI888" s="1"/>
      <c r="BJ888" s="1"/>
      <c r="BK888" s="1"/>
      <c r="BL888" s="1"/>
      <c r="BM888" s="1"/>
      <c r="BN888" s="2"/>
      <c r="BO888" s="1"/>
      <c r="BP888" s="1"/>
      <c r="BQ888" s="1"/>
      <c r="BR888" s="1"/>
      <c r="BS888" s="1" t="s">
        <v>7319</v>
      </c>
      <c r="BT888" s="5">
        <f>HYPERLINK("https%3A%2F%2Fwww.webofscience.com%2Fwos%2Fwoscc%2Ffull-record%2FWOS:000288425100006","View Full Record in Web of Science")</f>
      </c>
    </row>
    <row x14ac:dyDescent="0.25" r="889" customHeight="1" ht="12.75">
      <c r="A889" s="1" t="s">
        <v>303</v>
      </c>
      <c r="B889" s="1" t="s">
        <v>7320</v>
      </c>
      <c r="C889" s="1"/>
      <c r="D889" s="1" t="s">
        <v>6706</v>
      </c>
      <c r="E889" s="1"/>
      <c r="F889" s="1" t="s">
        <v>7321</v>
      </c>
      <c r="G889" s="1"/>
      <c r="H889" s="1"/>
      <c r="I889" s="1" t="s">
        <v>7322</v>
      </c>
      <c r="J889" s="1" t="s">
        <v>6709</v>
      </c>
      <c r="K889" s="1" t="s">
        <v>6710</v>
      </c>
      <c r="L889" s="1"/>
      <c r="M889" s="1"/>
      <c r="N889" s="1"/>
      <c r="O889" s="1" t="s">
        <v>6711</v>
      </c>
      <c r="P889" s="2" t="s">
        <v>6712</v>
      </c>
      <c r="Q889" s="1" t="s">
        <v>6713</v>
      </c>
      <c r="R889" s="1"/>
      <c r="S889" s="1"/>
      <c r="T889" s="1"/>
      <c r="U889" s="1"/>
      <c r="V889" s="1" t="s">
        <v>7323</v>
      </c>
      <c r="W889" s="1"/>
      <c r="X889" s="1"/>
      <c r="Y889" s="1"/>
      <c r="Z889" s="1"/>
      <c r="AA889" s="1" t="s">
        <v>7324</v>
      </c>
      <c r="AB889" s="1" t="s">
        <v>7325</v>
      </c>
      <c r="AC889" s="1"/>
      <c r="AD889" s="1"/>
      <c r="AE889" s="1"/>
      <c r="AF889" s="1"/>
      <c r="AG889" s="1"/>
      <c r="AH889" s="1"/>
      <c r="AI889" s="1"/>
      <c r="AJ889" s="1"/>
      <c r="AK889" s="1"/>
      <c r="AL889" s="1"/>
      <c r="AM889" s="1"/>
      <c r="AN889" s="1"/>
      <c r="AO889" s="1" t="s">
        <v>6716</v>
      </c>
      <c r="AP889" s="1"/>
      <c r="AQ889" s="1"/>
      <c r="AR889" s="1"/>
      <c r="AS889" s="1"/>
      <c r="AT889" s="1"/>
      <c r="AU889" s="3">
        <v>2011</v>
      </c>
      <c r="AV889" s="3">
        <v>1</v>
      </c>
      <c r="AW889" s="2"/>
      <c r="AX889" s="2"/>
      <c r="AY889" s="2"/>
      <c r="AZ889" s="1"/>
      <c r="BA889" s="2"/>
      <c r="BB889" s="3">
        <v>287</v>
      </c>
      <c r="BC889" s="3">
        <v>293</v>
      </c>
      <c r="BD889" s="2"/>
      <c r="BE889" s="1" t="s">
        <v>7326</v>
      </c>
      <c r="BF889" s="4">
        <f>HYPERLINK("http://dx.doi.org/10.1016/j.profoo.2011.09.045","http://dx.doi.org/10.1016/j.profoo.2011.09.045")</f>
      </c>
      <c r="BG889" s="1"/>
      <c r="BH889" s="1"/>
      <c r="BI889" s="1"/>
      <c r="BJ889" s="1"/>
      <c r="BK889" s="1"/>
      <c r="BL889" s="1"/>
      <c r="BM889" s="1"/>
      <c r="BN889" s="2"/>
      <c r="BO889" s="1"/>
      <c r="BP889" s="1"/>
      <c r="BQ889" s="1"/>
      <c r="BR889" s="1"/>
      <c r="BS889" s="1" t="s">
        <v>7327</v>
      </c>
      <c r="BT889" s="5">
        <f>HYPERLINK("https%3A%2F%2Fwww.webofscience.com%2Fwos%2Fwoscc%2Ffull-record%2FWOS:000314355500045","View Full Record in Web of Science")</f>
      </c>
    </row>
    <row x14ac:dyDescent="0.25" r="890" customHeight="1" ht="12.75">
      <c r="A890" s="1" t="s">
        <v>303</v>
      </c>
      <c r="B890" s="1" t="s">
        <v>7328</v>
      </c>
      <c r="C890" s="1"/>
      <c r="D890" s="1" t="s">
        <v>6706</v>
      </c>
      <c r="E890" s="1"/>
      <c r="F890" s="1" t="s">
        <v>7329</v>
      </c>
      <c r="G890" s="1"/>
      <c r="H890" s="1"/>
      <c r="I890" s="1" t="s">
        <v>7330</v>
      </c>
      <c r="J890" s="1" t="s">
        <v>6709</v>
      </c>
      <c r="K890" s="1" t="s">
        <v>6710</v>
      </c>
      <c r="L890" s="1"/>
      <c r="M890" s="1"/>
      <c r="N890" s="1"/>
      <c r="O890" s="1" t="s">
        <v>6711</v>
      </c>
      <c r="P890" s="2" t="s">
        <v>6712</v>
      </c>
      <c r="Q890" s="1" t="s">
        <v>6713</v>
      </c>
      <c r="R890" s="1"/>
      <c r="S890" s="1"/>
      <c r="T890" s="1"/>
      <c r="U890" s="1"/>
      <c r="V890" s="1" t="s">
        <v>7331</v>
      </c>
      <c r="W890" s="1"/>
      <c r="X890" s="1"/>
      <c r="Y890" s="1"/>
      <c r="Z890" s="1"/>
      <c r="AA890" s="1" t="s">
        <v>7332</v>
      </c>
      <c r="AB890" s="1" t="s">
        <v>7325</v>
      </c>
      <c r="AC890" s="1"/>
      <c r="AD890" s="1"/>
      <c r="AE890" s="1"/>
      <c r="AF890" s="1"/>
      <c r="AG890" s="1"/>
      <c r="AH890" s="1"/>
      <c r="AI890" s="1"/>
      <c r="AJ890" s="1"/>
      <c r="AK890" s="1"/>
      <c r="AL890" s="1"/>
      <c r="AM890" s="1"/>
      <c r="AN890" s="1"/>
      <c r="AO890" s="1" t="s">
        <v>6716</v>
      </c>
      <c r="AP890" s="1"/>
      <c r="AQ890" s="1"/>
      <c r="AR890" s="1"/>
      <c r="AS890" s="1"/>
      <c r="AT890" s="1"/>
      <c r="AU890" s="3">
        <v>2011</v>
      </c>
      <c r="AV890" s="3">
        <v>1</v>
      </c>
      <c r="AW890" s="2"/>
      <c r="AX890" s="2"/>
      <c r="AY890" s="2"/>
      <c r="AZ890" s="1"/>
      <c r="BA890" s="2"/>
      <c r="BB890" s="3">
        <v>302</v>
      </c>
      <c r="BC890" s="3">
        <v>307</v>
      </c>
      <c r="BD890" s="2"/>
      <c r="BE890" s="1" t="s">
        <v>7333</v>
      </c>
      <c r="BF890" s="4">
        <f>HYPERLINK("http://dx.doi.org/10.1016/j.profoo.2011.09.047","http://dx.doi.org/10.1016/j.profoo.2011.09.047")</f>
      </c>
      <c r="BG890" s="1"/>
      <c r="BH890" s="1"/>
      <c r="BI890" s="1"/>
      <c r="BJ890" s="1"/>
      <c r="BK890" s="1"/>
      <c r="BL890" s="1"/>
      <c r="BM890" s="1"/>
      <c r="BN890" s="2"/>
      <c r="BO890" s="1"/>
      <c r="BP890" s="1"/>
      <c r="BQ890" s="1"/>
      <c r="BR890" s="1"/>
      <c r="BS890" s="1" t="s">
        <v>7334</v>
      </c>
      <c r="BT890" s="5">
        <f>HYPERLINK("https%3A%2F%2Fwww.webofscience.com%2Fwos%2Fwoscc%2Ffull-record%2FWOS:000314355500047","View Full Record in Web of Science")</f>
      </c>
    </row>
    <row x14ac:dyDescent="0.25" r="891" customHeight="1" ht="12.75">
      <c r="A891" s="1" t="s">
        <v>72</v>
      </c>
      <c r="B891" s="1" t="s">
        <v>7335</v>
      </c>
      <c r="C891" s="1"/>
      <c r="D891" s="1"/>
      <c r="E891" s="1"/>
      <c r="F891" s="1" t="s">
        <v>7336</v>
      </c>
      <c r="G891" s="1"/>
      <c r="H891" s="1"/>
      <c r="I891" s="1" t="s">
        <v>7337</v>
      </c>
      <c r="J891" s="1" t="s">
        <v>7338</v>
      </c>
      <c r="K891" s="1"/>
      <c r="L891" s="1"/>
      <c r="M891" s="1"/>
      <c r="N891" s="1"/>
      <c r="O891" s="1"/>
      <c r="P891" s="2"/>
      <c r="Q891" s="1"/>
      <c r="R891" s="1"/>
      <c r="S891" s="1"/>
      <c r="T891" s="1"/>
      <c r="U891" s="1"/>
      <c r="V891" s="1"/>
      <c r="W891" s="1"/>
      <c r="X891" s="1"/>
      <c r="Y891" s="1"/>
      <c r="Z891" s="1"/>
      <c r="AA891" s="1" t="s">
        <v>7339</v>
      </c>
      <c r="AB891" s="1"/>
      <c r="AC891" s="1"/>
      <c r="AD891" s="1"/>
      <c r="AE891" s="1"/>
      <c r="AF891" s="1"/>
      <c r="AG891" s="1"/>
      <c r="AH891" s="1"/>
      <c r="AI891" s="1"/>
      <c r="AJ891" s="1"/>
      <c r="AK891" s="1"/>
      <c r="AL891" s="1"/>
      <c r="AM891" s="1"/>
      <c r="AN891" s="1"/>
      <c r="AO891" s="1" t="s">
        <v>7340</v>
      </c>
      <c r="AP891" s="1"/>
      <c r="AQ891" s="1"/>
      <c r="AR891" s="1"/>
      <c r="AS891" s="1"/>
      <c r="AT891" s="1" t="s">
        <v>204</v>
      </c>
      <c r="AU891" s="3">
        <v>2010</v>
      </c>
      <c r="AV891" s="3">
        <v>13</v>
      </c>
      <c r="AW891" s="3">
        <v>3</v>
      </c>
      <c r="AX891" s="2"/>
      <c r="AY891" s="2"/>
      <c r="AZ891" s="1"/>
      <c r="BA891" s="2"/>
      <c r="BB891" s="3">
        <v>67</v>
      </c>
      <c r="BC891" s="3">
        <v>94</v>
      </c>
      <c r="BD891" s="2"/>
      <c r="BE891" s="1"/>
      <c r="BF891" s="1"/>
      <c r="BG891" s="1"/>
      <c r="BH891" s="1"/>
      <c r="BI891" s="1"/>
      <c r="BJ891" s="1"/>
      <c r="BK891" s="1"/>
      <c r="BL891" s="1"/>
      <c r="BM891" s="1"/>
      <c r="BN891" s="2"/>
      <c r="BO891" s="1"/>
      <c r="BP891" s="1"/>
      <c r="BQ891" s="1"/>
      <c r="BR891" s="1"/>
      <c r="BS891" s="1" t="s">
        <v>7341</v>
      </c>
      <c r="BT891" s="5">
        <f>HYPERLINK("https%3A%2F%2Fwww.webofscience.com%2Fwos%2Fwoscc%2Ffull-record%2FWOS:000288500400003","View Full Record in Web of Science")</f>
      </c>
    </row>
    <row x14ac:dyDescent="0.25" r="892" customHeight="1" ht="12.75">
      <c r="A892" s="1" t="s">
        <v>72</v>
      </c>
      <c r="B892" s="1" t="s">
        <v>7342</v>
      </c>
      <c r="C892" s="1"/>
      <c r="D892" s="1"/>
      <c r="E892" s="1"/>
      <c r="F892" s="1" t="s">
        <v>7343</v>
      </c>
      <c r="G892" s="1"/>
      <c r="H892" s="1"/>
      <c r="I892" s="1" t="s">
        <v>7344</v>
      </c>
      <c r="J892" s="1" t="s">
        <v>470</v>
      </c>
      <c r="K892" s="1"/>
      <c r="L892" s="1"/>
      <c r="M892" s="1"/>
      <c r="N892" s="1"/>
      <c r="O892" s="1" t="s">
        <v>7345</v>
      </c>
      <c r="P892" s="2" t="s">
        <v>7346</v>
      </c>
      <c r="Q892" s="1" t="s">
        <v>7347</v>
      </c>
      <c r="R892" s="1"/>
      <c r="S892" s="1"/>
      <c r="T892" s="1"/>
      <c r="U892" s="1"/>
      <c r="V892" s="1" t="s">
        <v>7348</v>
      </c>
      <c r="W892" s="1"/>
      <c r="X892" s="1"/>
      <c r="Y892" s="1"/>
      <c r="Z892" s="1"/>
      <c r="AA892" s="1"/>
      <c r="AB892" s="1"/>
      <c r="AC892" s="1"/>
      <c r="AD892" s="1"/>
      <c r="AE892" s="1"/>
      <c r="AF892" s="1"/>
      <c r="AG892" s="1"/>
      <c r="AH892" s="1"/>
      <c r="AI892" s="1"/>
      <c r="AJ892" s="1"/>
      <c r="AK892" s="1"/>
      <c r="AL892" s="1"/>
      <c r="AM892" s="1"/>
      <c r="AN892" s="1"/>
      <c r="AO892" s="1" t="s">
        <v>474</v>
      </c>
      <c r="AP892" s="1" t="s">
        <v>475</v>
      </c>
      <c r="AQ892" s="1"/>
      <c r="AR892" s="1"/>
      <c r="AS892" s="1"/>
      <c r="AT892" s="1"/>
      <c r="AU892" s="3">
        <v>2010</v>
      </c>
      <c r="AV892" s="3">
        <v>28</v>
      </c>
      <c r="AW892" s="3">
        <v>10</v>
      </c>
      <c r="AX892" s="2"/>
      <c r="AY892" s="2"/>
      <c r="AZ892" s="1"/>
      <c r="BA892" s="2"/>
      <c r="BB892" s="3">
        <v>1185</v>
      </c>
      <c r="BC892" s="3">
        <v>1192</v>
      </c>
      <c r="BD892" s="2" t="s">
        <v>7349</v>
      </c>
      <c r="BE892" s="1" t="s">
        <v>7350</v>
      </c>
      <c r="BF892" s="4">
        <f>HYPERLINK("http://dx.doi.org/10.1080/07373937.2010.482717","http://dx.doi.org/10.1080/07373937.2010.482717")</f>
      </c>
      <c r="BG892" s="1"/>
      <c r="BH892" s="1"/>
      <c r="BI892" s="1"/>
      <c r="BJ892" s="1"/>
      <c r="BK892" s="1"/>
      <c r="BL892" s="1"/>
      <c r="BM892" s="1"/>
      <c r="BN892" s="2"/>
      <c r="BO892" s="1"/>
      <c r="BP892" s="1"/>
      <c r="BQ892" s="1"/>
      <c r="BR892" s="1"/>
      <c r="BS892" s="1" t="s">
        <v>7351</v>
      </c>
      <c r="BT892" s="5">
        <f>HYPERLINK("https%3A%2F%2Fwww.webofscience.com%2Fwos%2Fwoscc%2Ffull-record%2FWOS:000282689200011","View Full Record in Web of Science")</f>
      </c>
    </row>
    <row x14ac:dyDescent="0.25" r="893" customHeight="1" ht="12.75">
      <c r="A893" s="1" t="s">
        <v>72</v>
      </c>
      <c r="B893" s="1" t="s">
        <v>7352</v>
      </c>
      <c r="C893" s="1"/>
      <c r="D893" s="1"/>
      <c r="E893" s="1"/>
      <c r="F893" s="1" t="s">
        <v>7353</v>
      </c>
      <c r="G893" s="1"/>
      <c r="H893" s="1"/>
      <c r="I893" s="1" t="s">
        <v>7354</v>
      </c>
      <c r="J893" s="1" t="s">
        <v>7355</v>
      </c>
      <c r="K893" s="1"/>
      <c r="L893" s="1"/>
      <c r="M893" s="1"/>
      <c r="N893" s="1"/>
      <c r="O893" s="1"/>
      <c r="P893" s="2"/>
      <c r="Q893" s="1"/>
      <c r="R893" s="1"/>
      <c r="S893" s="1"/>
      <c r="T893" s="1"/>
      <c r="U893" s="1"/>
      <c r="V893" s="1" t="s">
        <v>7356</v>
      </c>
      <c r="W893" s="1"/>
      <c r="X893" s="1"/>
      <c r="Y893" s="1"/>
      <c r="Z893" s="1"/>
      <c r="AA893" s="1" t="s">
        <v>7357</v>
      </c>
      <c r="AB893" s="1" t="s">
        <v>7358</v>
      </c>
      <c r="AC893" s="1"/>
      <c r="AD893" s="1"/>
      <c r="AE893" s="1"/>
      <c r="AF893" s="1"/>
      <c r="AG893" s="1"/>
      <c r="AH893" s="1"/>
      <c r="AI893" s="1"/>
      <c r="AJ893" s="1"/>
      <c r="AK893" s="1"/>
      <c r="AL893" s="1"/>
      <c r="AM893" s="1"/>
      <c r="AN893" s="1"/>
      <c r="AO893" s="1" t="s">
        <v>7359</v>
      </c>
      <c r="AP893" s="1" t="s">
        <v>7360</v>
      </c>
      <c r="AQ893" s="1"/>
      <c r="AR893" s="1"/>
      <c r="AS893" s="1"/>
      <c r="AT893" s="1"/>
      <c r="AU893" s="3">
        <v>2010</v>
      </c>
      <c r="AV893" s="3">
        <v>522</v>
      </c>
      <c r="AW893" s="2"/>
      <c r="AX893" s="2"/>
      <c r="AY893" s="2"/>
      <c r="AZ893" s="1"/>
      <c r="BA893" s="2"/>
      <c r="BB893" s="3">
        <v>412</v>
      </c>
      <c r="BC893" s="3">
        <v>424</v>
      </c>
      <c r="BD893" s="2"/>
      <c r="BE893" s="1" t="s">
        <v>7361</v>
      </c>
      <c r="BF893" s="4">
        <f>HYPERLINK("http://dx.doi.org/10.1080/15421401003722633","http://dx.doi.org/10.1080/15421401003722633")</f>
      </c>
      <c r="BG893" s="1"/>
      <c r="BH893" s="1"/>
      <c r="BI893" s="1"/>
      <c r="BJ893" s="1"/>
      <c r="BK893" s="1"/>
      <c r="BL893" s="1"/>
      <c r="BM893" s="1"/>
      <c r="BN893" s="2"/>
      <c r="BO893" s="1"/>
      <c r="BP893" s="1"/>
      <c r="BQ893" s="1"/>
      <c r="BR893" s="1"/>
      <c r="BS893" s="1" t="s">
        <v>7362</v>
      </c>
      <c r="BT893" s="5">
        <f>HYPERLINK("https%3A%2F%2Fwww.webofscience.com%2Fwos%2Fwoscc%2Ffull-record%2FWOS:000278163300014","View Full Record in Web of Science")</f>
      </c>
    </row>
    <row x14ac:dyDescent="0.25" r="894" customHeight="1" ht="12.75">
      <c r="A894" s="1" t="s">
        <v>72</v>
      </c>
      <c r="B894" s="1" t="s">
        <v>7363</v>
      </c>
      <c r="C894" s="1"/>
      <c r="D894" s="1"/>
      <c r="E894" s="1"/>
      <c r="F894" s="1" t="s">
        <v>2429</v>
      </c>
      <c r="G894" s="1"/>
      <c r="H894" s="1"/>
      <c r="I894" s="1" t="s">
        <v>7364</v>
      </c>
      <c r="J894" s="1" t="s">
        <v>4302</v>
      </c>
      <c r="K894" s="1"/>
      <c r="L894" s="1"/>
      <c r="M894" s="1"/>
      <c r="N894" s="1"/>
      <c r="O894" s="1"/>
      <c r="P894" s="2"/>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t="s">
        <v>6999</v>
      </c>
      <c r="AP894" s="1"/>
      <c r="AQ894" s="1"/>
      <c r="AR894" s="1"/>
      <c r="AS894" s="1"/>
      <c r="AT894" s="1" t="s">
        <v>126</v>
      </c>
      <c r="AU894" s="3">
        <v>2009</v>
      </c>
      <c r="AV894" s="2"/>
      <c r="AW894" s="3">
        <v>28</v>
      </c>
      <c r="AX894" s="2"/>
      <c r="AY894" s="2"/>
      <c r="AZ894" s="1"/>
      <c r="BA894" s="2"/>
      <c r="BB894" s="3">
        <v>223</v>
      </c>
      <c r="BC894" s="3">
        <v>231</v>
      </c>
      <c r="BD894" s="2"/>
      <c r="BE894" s="1"/>
      <c r="BF894" s="1"/>
      <c r="BG894" s="1"/>
      <c r="BH894" s="1"/>
      <c r="BI894" s="1"/>
      <c r="BJ894" s="1"/>
      <c r="BK894" s="1"/>
      <c r="BL894" s="1"/>
      <c r="BM894" s="1"/>
      <c r="BN894" s="2"/>
      <c r="BO894" s="1"/>
      <c r="BP894" s="1"/>
      <c r="BQ894" s="1"/>
      <c r="BR894" s="1"/>
      <c r="BS894" s="1" t="s">
        <v>7365</v>
      </c>
      <c r="BT894" s="5">
        <f>HYPERLINK("https%3A%2F%2Fwww.webofscience.com%2Fwos%2Fwoscc%2Ffull-record%2FWOS:000268595300015","View Full Record in Web of Science")</f>
      </c>
    </row>
    <row x14ac:dyDescent="0.25" r="895" customHeight="1" ht="12.75">
      <c r="A895" s="1" t="s">
        <v>72</v>
      </c>
      <c r="B895" s="1" t="s">
        <v>7366</v>
      </c>
      <c r="C895" s="1"/>
      <c r="D895" s="1"/>
      <c r="E895" s="1"/>
      <c r="F895" s="1" t="s">
        <v>7367</v>
      </c>
      <c r="G895" s="1"/>
      <c r="H895" s="1"/>
      <c r="I895" s="1" t="s">
        <v>7368</v>
      </c>
      <c r="J895" s="1" t="s">
        <v>7369</v>
      </c>
      <c r="K895" s="1"/>
      <c r="L895" s="1"/>
      <c r="M895" s="1"/>
      <c r="N895" s="1"/>
      <c r="O895" s="1"/>
      <c r="P895" s="2"/>
      <c r="Q895" s="1"/>
      <c r="R895" s="1"/>
      <c r="S895" s="1"/>
      <c r="T895" s="1"/>
      <c r="U895" s="1"/>
      <c r="V895" s="1" t="s">
        <v>7370</v>
      </c>
      <c r="W895" s="1"/>
      <c r="X895" s="1"/>
      <c r="Y895" s="1"/>
      <c r="Z895" s="1"/>
      <c r="AA895" s="1" t="s">
        <v>5299</v>
      </c>
      <c r="AB895" s="1" t="s">
        <v>1610</v>
      </c>
      <c r="AC895" s="1"/>
      <c r="AD895" s="1"/>
      <c r="AE895" s="1"/>
      <c r="AF895" s="1"/>
      <c r="AG895" s="1"/>
      <c r="AH895" s="1"/>
      <c r="AI895" s="1"/>
      <c r="AJ895" s="1"/>
      <c r="AK895" s="1"/>
      <c r="AL895" s="1"/>
      <c r="AM895" s="1"/>
      <c r="AN895" s="1"/>
      <c r="AO895" s="1" t="s">
        <v>7371</v>
      </c>
      <c r="AP895" s="1" t="s">
        <v>7372</v>
      </c>
      <c r="AQ895" s="1"/>
      <c r="AR895" s="1"/>
      <c r="AS895" s="1"/>
      <c r="AT895" s="1" t="s">
        <v>757</v>
      </c>
      <c r="AU895" s="3">
        <v>2009</v>
      </c>
      <c r="AV895" s="3">
        <v>75</v>
      </c>
      <c r="AW895" s="3">
        <v>8</v>
      </c>
      <c r="AX895" s="2"/>
      <c r="AY895" s="2"/>
      <c r="AZ895" s="1"/>
      <c r="BA895" s="2"/>
      <c r="BB895" s="3">
        <v>823</v>
      </c>
      <c r="BC895" s="3">
        <v>828</v>
      </c>
      <c r="BD895" s="2"/>
      <c r="BE895" s="1" t="s">
        <v>7373</v>
      </c>
      <c r="BF895" s="4">
        <f>HYPERLINK("http://dx.doi.org/10.1055/s-0029-1185437","http://dx.doi.org/10.1055/s-0029-1185437")</f>
      </c>
      <c r="BG895" s="1"/>
      <c r="BH895" s="1"/>
      <c r="BI895" s="1"/>
      <c r="BJ895" s="1"/>
      <c r="BK895" s="1"/>
      <c r="BL895" s="1"/>
      <c r="BM895" s="1"/>
      <c r="BN895" s="3">
        <v>19296427</v>
      </c>
      <c r="BO895" s="1"/>
      <c r="BP895" s="1"/>
      <c r="BQ895" s="1"/>
      <c r="BR895" s="1"/>
      <c r="BS895" s="1" t="s">
        <v>7374</v>
      </c>
      <c r="BT895" s="5">
        <f>HYPERLINK("https%3A%2F%2Fwww.webofscience.com%2Fwos%2Fwoscc%2Ffull-record%2FWOS:000267668700007","View Full Record in Web of Science")</f>
      </c>
    </row>
    <row x14ac:dyDescent="0.25" r="896" customHeight="1" ht="12.75">
      <c r="A896" s="1" t="s">
        <v>72</v>
      </c>
      <c r="B896" s="1" t="s">
        <v>7375</v>
      </c>
      <c r="C896" s="1"/>
      <c r="D896" s="1"/>
      <c r="E896" s="1"/>
      <c r="F896" s="1" t="s">
        <v>7376</v>
      </c>
      <c r="G896" s="1"/>
      <c r="H896" s="1"/>
      <c r="I896" s="1" t="s">
        <v>7377</v>
      </c>
      <c r="J896" s="1" t="s">
        <v>6877</v>
      </c>
      <c r="K896" s="1"/>
      <c r="L896" s="1"/>
      <c r="M896" s="1"/>
      <c r="N896" s="1"/>
      <c r="O896" s="1"/>
      <c r="P896" s="2"/>
      <c r="Q896" s="1"/>
      <c r="R896" s="1"/>
      <c r="S896" s="1"/>
      <c r="T896" s="1"/>
      <c r="U896" s="1"/>
      <c r="V896" s="1"/>
      <c r="W896" s="1"/>
      <c r="X896" s="1"/>
      <c r="Y896" s="1"/>
      <c r="Z896" s="1"/>
      <c r="AA896" s="1" t="s">
        <v>7378</v>
      </c>
      <c r="AB896" s="1" t="s">
        <v>7379</v>
      </c>
      <c r="AC896" s="1"/>
      <c r="AD896" s="1"/>
      <c r="AE896" s="1"/>
      <c r="AF896" s="1"/>
      <c r="AG896" s="1"/>
      <c r="AH896" s="1"/>
      <c r="AI896" s="1"/>
      <c r="AJ896" s="1"/>
      <c r="AK896" s="1"/>
      <c r="AL896" s="1"/>
      <c r="AM896" s="1"/>
      <c r="AN896" s="1"/>
      <c r="AO896" s="1" t="s">
        <v>6878</v>
      </c>
      <c r="AP896" s="1"/>
      <c r="AQ896" s="1"/>
      <c r="AR896" s="1"/>
      <c r="AS896" s="1"/>
      <c r="AT896" s="1" t="s">
        <v>6879</v>
      </c>
      <c r="AU896" s="3">
        <v>2008</v>
      </c>
      <c r="AV896" s="3">
        <v>43</v>
      </c>
      <c r="AW896" s="2" t="s">
        <v>3830</v>
      </c>
      <c r="AX896" s="2"/>
      <c r="AY896" s="2"/>
      <c r="AZ896" s="1"/>
      <c r="BA896" s="2"/>
      <c r="BB896" s="3">
        <v>364</v>
      </c>
      <c r="BC896" s="3">
        <v>364</v>
      </c>
      <c r="BD896" s="2"/>
      <c r="BE896" s="1"/>
      <c r="BF896" s="1"/>
      <c r="BG896" s="1"/>
      <c r="BH896" s="1"/>
      <c r="BI896" s="1"/>
      <c r="BJ896" s="1"/>
      <c r="BK896" s="1"/>
      <c r="BL896" s="1"/>
      <c r="BM896" s="1"/>
      <c r="BN896" s="2"/>
      <c r="BO896" s="1"/>
      <c r="BP896" s="1"/>
      <c r="BQ896" s="1"/>
      <c r="BR896" s="1"/>
      <c r="BS896" s="1" t="s">
        <v>7380</v>
      </c>
      <c r="BT896" s="5">
        <f>HYPERLINK("https%3A%2F%2Fwww.webofscience.com%2Fwos%2Fwoscc%2Ffull-record%2FWOS:000259264304317","View Full Record in Web of Science")</f>
      </c>
    </row>
    <row x14ac:dyDescent="0.25" r="897" customHeight="1" ht="12.75">
      <c r="A897" s="1" t="s">
        <v>72</v>
      </c>
      <c r="B897" s="1" t="s">
        <v>7381</v>
      </c>
      <c r="C897" s="1"/>
      <c r="D897" s="1"/>
      <c r="E897" s="1"/>
      <c r="F897" s="1" t="s">
        <v>7382</v>
      </c>
      <c r="G897" s="1"/>
      <c r="H897" s="1"/>
      <c r="I897" s="1" t="s">
        <v>7383</v>
      </c>
      <c r="J897" s="1" t="s">
        <v>1507</v>
      </c>
      <c r="K897" s="1"/>
      <c r="L897" s="1"/>
      <c r="M897" s="1"/>
      <c r="N897" s="1"/>
      <c r="O897" s="1"/>
      <c r="P897" s="2"/>
      <c r="Q897" s="1"/>
      <c r="R897" s="1"/>
      <c r="S897" s="1"/>
      <c r="T897" s="1"/>
      <c r="U897" s="1"/>
      <c r="V897" s="1" t="s">
        <v>7384</v>
      </c>
      <c r="W897" s="1"/>
      <c r="X897" s="1"/>
      <c r="Y897" s="1"/>
      <c r="Z897" s="1"/>
      <c r="AA897" s="1"/>
      <c r="AB897" s="1"/>
      <c r="AC897" s="1"/>
      <c r="AD897" s="1"/>
      <c r="AE897" s="1"/>
      <c r="AF897" s="1"/>
      <c r="AG897" s="1"/>
      <c r="AH897" s="1"/>
      <c r="AI897" s="1"/>
      <c r="AJ897" s="1"/>
      <c r="AK897" s="1"/>
      <c r="AL897" s="1"/>
      <c r="AM897" s="1"/>
      <c r="AN897" s="1"/>
      <c r="AO897" s="1" t="s">
        <v>2886</v>
      </c>
      <c r="AP897" s="1"/>
      <c r="AQ897" s="1"/>
      <c r="AR897" s="1"/>
      <c r="AS897" s="1"/>
      <c r="AT897" s="1" t="s">
        <v>605</v>
      </c>
      <c r="AU897" s="3">
        <v>2008</v>
      </c>
      <c r="AV897" s="3">
        <v>53</v>
      </c>
      <c r="AW897" s="3">
        <v>1</v>
      </c>
      <c r="AX897" s="2"/>
      <c r="AY897" s="2"/>
      <c r="AZ897" s="1"/>
      <c r="BA897" s="2"/>
      <c r="BB897" s="3">
        <v>1436</v>
      </c>
      <c r="BC897" s="3">
        <v>1438</v>
      </c>
      <c r="BD897" s="2"/>
      <c r="BE897" s="1"/>
      <c r="BF897" s="1"/>
      <c r="BG897" s="1"/>
      <c r="BH897" s="1"/>
      <c r="BI897" s="1"/>
      <c r="BJ897" s="1"/>
      <c r="BK897" s="1"/>
      <c r="BL897" s="1"/>
      <c r="BM897" s="1"/>
      <c r="BN897" s="2"/>
      <c r="BO897" s="1"/>
      <c r="BP897" s="1"/>
      <c r="BQ897" s="1"/>
      <c r="BR897" s="1"/>
      <c r="BS897" s="1" t="s">
        <v>7385</v>
      </c>
      <c r="BT897" s="5">
        <f>HYPERLINK("https%3A%2F%2Fwww.webofscience.com%2Fwos%2Fwoscc%2Ffull-record%2FWOS:000254056500024","View Full Record in Web of Science")</f>
      </c>
    </row>
    <row x14ac:dyDescent="0.25" r="898" customHeight="1" ht="12.75">
      <c r="A898" s="1" t="s">
        <v>72</v>
      </c>
      <c r="B898" s="1" t="s">
        <v>7386</v>
      </c>
      <c r="C898" s="1"/>
      <c r="D898" s="1"/>
      <c r="E898" s="1"/>
      <c r="F898" s="1" t="s">
        <v>7387</v>
      </c>
      <c r="G898" s="1"/>
      <c r="H898" s="1"/>
      <c r="I898" s="1" t="s">
        <v>7388</v>
      </c>
      <c r="J898" s="1" t="s">
        <v>2333</v>
      </c>
      <c r="K898" s="1"/>
      <c r="L898" s="1"/>
      <c r="M898" s="1"/>
      <c r="N898" s="1"/>
      <c r="O898" s="1"/>
      <c r="P898" s="2"/>
      <c r="Q898" s="1"/>
      <c r="R898" s="1"/>
      <c r="S898" s="1"/>
      <c r="T898" s="1"/>
      <c r="U898" s="1"/>
      <c r="V898" s="1" t="s">
        <v>7389</v>
      </c>
      <c r="W898" s="1"/>
      <c r="X898" s="1"/>
      <c r="Y898" s="1"/>
      <c r="Z898" s="1"/>
      <c r="AA898" s="1"/>
      <c r="AB898" s="1" t="s">
        <v>7390</v>
      </c>
      <c r="AC898" s="1"/>
      <c r="AD898" s="1"/>
      <c r="AE898" s="1"/>
      <c r="AF898" s="1"/>
      <c r="AG898" s="1"/>
      <c r="AH898" s="1"/>
      <c r="AI898" s="1"/>
      <c r="AJ898" s="1"/>
      <c r="AK898" s="1"/>
      <c r="AL898" s="1"/>
      <c r="AM898" s="1"/>
      <c r="AN898" s="1"/>
      <c r="AO898" s="1" t="s">
        <v>2337</v>
      </c>
      <c r="AP898" s="1"/>
      <c r="AQ898" s="1"/>
      <c r="AR898" s="1"/>
      <c r="AS898" s="1"/>
      <c r="AT898" s="1"/>
      <c r="AU898" s="3">
        <v>2007</v>
      </c>
      <c r="AV898" s="3">
        <v>39</v>
      </c>
      <c r="AW898" s="3">
        <v>3</v>
      </c>
      <c r="AX898" s="2"/>
      <c r="AY898" s="2"/>
      <c r="AZ898" s="1"/>
      <c r="BA898" s="2"/>
      <c r="BB898" s="3">
        <v>523</v>
      </c>
      <c r="BC898" s="3">
        <v>535</v>
      </c>
      <c r="BD898" s="2"/>
      <c r="BE898" s="1"/>
      <c r="BF898" s="1"/>
      <c r="BG898" s="1"/>
      <c r="BH898" s="1"/>
      <c r="BI898" s="1"/>
      <c r="BJ898" s="1"/>
      <c r="BK898" s="1"/>
      <c r="BL898" s="1"/>
      <c r="BM898" s="1"/>
      <c r="BN898" s="2"/>
      <c r="BO898" s="1"/>
      <c r="BP898" s="1"/>
      <c r="BQ898" s="1"/>
      <c r="BR898" s="1"/>
      <c r="BS898" s="1" t="s">
        <v>7391</v>
      </c>
      <c r="BT898" s="5">
        <f>HYPERLINK("https%3A%2F%2Fwww.webofscience.com%2Fwos%2Fwoscc%2Ffull-record%2FWOS:000251681600006","View Full Record in Web of Science")</f>
      </c>
    </row>
    <row x14ac:dyDescent="0.25" r="899" customHeight="1" ht="12.75">
      <c r="A899" s="1" t="s">
        <v>72</v>
      </c>
      <c r="B899" s="1" t="s">
        <v>7392</v>
      </c>
      <c r="C899" s="1"/>
      <c r="D899" s="1"/>
      <c r="E899" s="1"/>
      <c r="F899" s="1" t="s">
        <v>7392</v>
      </c>
      <c r="G899" s="1"/>
      <c r="H899" s="1"/>
      <c r="I899" s="1" t="s">
        <v>7393</v>
      </c>
      <c r="J899" s="1" t="s">
        <v>7394</v>
      </c>
      <c r="K899" s="1"/>
      <c r="L899" s="1"/>
      <c r="M899" s="1"/>
      <c r="N899" s="1"/>
      <c r="O899" s="1"/>
      <c r="P899" s="2"/>
      <c r="Q899" s="1"/>
      <c r="R899" s="1"/>
      <c r="S899" s="1"/>
      <c r="T899" s="1"/>
      <c r="U899" s="1"/>
      <c r="V899" s="1" t="s">
        <v>7395</v>
      </c>
      <c r="W899" s="1"/>
      <c r="X899" s="1"/>
      <c r="Y899" s="1"/>
      <c r="Z899" s="1"/>
      <c r="AA899" s="1" t="s">
        <v>4561</v>
      </c>
      <c r="AB899" s="1" t="s">
        <v>4562</v>
      </c>
      <c r="AC899" s="1"/>
      <c r="AD899" s="1"/>
      <c r="AE899" s="1"/>
      <c r="AF899" s="1"/>
      <c r="AG899" s="1"/>
      <c r="AH899" s="1"/>
      <c r="AI899" s="1"/>
      <c r="AJ899" s="1"/>
      <c r="AK899" s="1"/>
      <c r="AL899" s="1"/>
      <c r="AM899" s="1"/>
      <c r="AN899" s="1"/>
      <c r="AO899" s="1" t="s">
        <v>7396</v>
      </c>
      <c r="AP899" s="1" t="s">
        <v>7397</v>
      </c>
      <c r="AQ899" s="1"/>
      <c r="AR899" s="1"/>
      <c r="AS899" s="1"/>
      <c r="AT899" s="1"/>
      <c r="AU899" s="3">
        <v>2005</v>
      </c>
      <c r="AV899" s="3">
        <v>18</v>
      </c>
      <c r="AW899" s="3">
        <v>4</v>
      </c>
      <c r="AX899" s="2"/>
      <c r="AY899" s="2"/>
      <c r="AZ899" s="1"/>
      <c r="BA899" s="2"/>
      <c r="BB899" s="3">
        <v>237</v>
      </c>
      <c r="BC899" s="3">
        <v>247</v>
      </c>
      <c r="BD899" s="2"/>
      <c r="BE899" s="1" t="s">
        <v>7398</v>
      </c>
      <c r="BF899" s="4">
        <f>HYPERLINK("http://dx.doi.org/10.1179/136404605225023108","http://dx.doi.org/10.1179/136404605225023108")</f>
      </c>
      <c r="BG899" s="1"/>
      <c r="BH899" s="1"/>
      <c r="BI899" s="1"/>
      <c r="BJ899" s="1"/>
      <c r="BK899" s="1"/>
      <c r="BL899" s="1"/>
      <c r="BM899" s="1"/>
      <c r="BN899" s="2"/>
      <c r="BO899" s="1"/>
      <c r="BP899" s="1"/>
      <c r="BQ899" s="1"/>
      <c r="BR899" s="1"/>
      <c r="BS899" s="1" t="s">
        <v>7399</v>
      </c>
      <c r="BT899" s="5">
        <f>HYPERLINK("https%3A%2F%2Fwww.webofscience.com%2Fwos%2Fwoscc%2Ffull-record%2FWOS:000230989800008","View Full Record in Web of Science")</f>
      </c>
    </row>
    <row x14ac:dyDescent="0.25" r="900" customHeight="1" ht="12.75">
      <c r="A900" s="1" t="s">
        <v>72</v>
      </c>
      <c r="B900" s="1" t="s">
        <v>7400</v>
      </c>
      <c r="C900" s="1"/>
      <c r="D900" s="1"/>
      <c r="E900" s="1"/>
      <c r="F900" s="1" t="s">
        <v>7400</v>
      </c>
      <c r="G900" s="1"/>
      <c r="H900" s="1"/>
      <c r="I900" s="1" t="s">
        <v>7401</v>
      </c>
      <c r="J900" s="1" t="s">
        <v>7402</v>
      </c>
      <c r="K900" s="1"/>
      <c r="L900" s="1"/>
      <c r="M900" s="1"/>
      <c r="N900" s="1"/>
      <c r="O900" s="1"/>
      <c r="P900" s="2"/>
      <c r="Q900" s="1"/>
      <c r="R900" s="1"/>
      <c r="S900" s="1"/>
      <c r="T900" s="1"/>
      <c r="U900" s="1"/>
      <c r="V900" s="1" t="s">
        <v>7403</v>
      </c>
      <c r="W900" s="1"/>
      <c r="X900" s="1"/>
      <c r="Y900" s="1"/>
      <c r="Z900" s="1"/>
      <c r="AA900" s="1" t="s">
        <v>7404</v>
      </c>
      <c r="AB900" s="1" t="s">
        <v>7405</v>
      </c>
      <c r="AC900" s="1"/>
      <c r="AD900" s="1"/>
      <c r="AE900" s="1"/>
      <c r="AF900" s="1"/>
      <c r="AG900" s="1"/>
      <c r="AH900" s="1"/>
      <c r="AI900" s="1"/>
      <c r="AJ900" s="1"/>
      <c r="AK900" s="1"/>
      <c r="AL900" s="1"/>
      <c r="AM900" s="1"/>
      <c r="AN900" s="1"/>
      <c r="AO900" s="1" t="s">
        <v>7406</v>
      </c>
      <c r="AP900" s="1" t="s">
        <v>7407</v>
      </c>
      <c r="AQ900" s="1"/>
      <c r="AR900" s="1"/>
      <c r="AS900" s="1"/>
      <c r="AT900" s="1" t="s">
        <v>103</v>
      </c>
      <c r="AU900" s="3">
        <v>2005</v>
      </c>
      <c r="AV900" s="3">
        <v>72</v>
      </c>
      <c r="AW900" s="3">
        <v>1</v>
      </c>
      <c r="AX900" s="2"/>
      <c r="AY900" s="2"/>
      <c r="AZ900" s="1"/>
      <c r="BA900" s="2"/>
      <c r="BB900" s="3">
        <v>149</v>
      </c>
      <c r="BC900" s="3">
        <v>152</v>
      </c>
      <c r="BD900" s="2"/>
      <c r="BE900" s="1" t="s">
        <v>7408</v>
      </c>
      <c r="BF900" s="4">
        <f>HYPERLINK("http://dx.doi.org/10.1115/1.1827243","http://dx.doi.org/10.1115/1.1827243")</f>
      </c>
      <c r="BG900" s="1"/>
      <c r="BH900" s="1"/>
      <c r="BI900" s="1"/>
      <c r="BJ900" s="1"/>
      <c r="BK900" s="1"/>
      <c r="BL900" s="1"/>
      <c r="BM900" s="1"/>
      <c r="BN900" s="2"/>
      <c r="BO900" s="1"/>
      <c r="BP900" s="1"/>
      <c r="BQ900" s="1"/>
      <c r="BR900" s="1"/>
      <c r="BS900" s="1" t="s">
        <v>7409</v>
      </c>
      <c r="BT900" s="5">
        <f>HYPERLINK("https%3A%2F%2Fwww.webofscience.com%2Fwos%2Fwoscc%2Ffull-record%2FWOS:000227098100017","View Full Record in Web of Science")</f>
      </c>
    </row>
    <row x14ac:dyDescent="0.25" r="901" customHeight="1" ht="12.75">
      <c r="A901" s="1" t="s">
        <v>72</v>
      </c>
      <c r="B901" s="1" t="s">
        <v>7410</v>
      </c>
      <c r="C901" s="1"/>
      <c r="D901" s="1"/>
      <c r="E901" s="1"/>
      <c r="F901" s="1" t="s">
        <v>7410</v>
      </c>
      <c r="G901" s="1"/>
      <c r="H901" s="1"/>
      <c r="I901" s="1" t="s">
        <v>7411</v>
      </c>
      <c r="J901" s="1" t="s">
        <v>6792</v>
      </c>
      <c r="K901" s="1"/>
      <c r="L901" s="1"/>
      <c r="M901" s="1"/>
      <c r="N901" s="1"/>
      <c r="O901" s="1"/>
      <c r="P901" s="2"/>
      <c r="Q901" s="1"/>
      <c r="R901" s="1"/>
      <c r="S901" s="1"/>
      <c r="T901" s="1"/>
      <c r="U901" s="1"/>
      <c r="V901" s="1" t="s">
        <v>7412</v>
      </c>
      <c r="W901" s="1"/>
      <c r="X901" s="1"/>
      <c r="Y901" s="1"/>
      <c r="Z901" s="1"/>
      <c r="AA901" s="1" t="s">
        <v>7413</v>
      </c>
      <c r="AB901" s="1" t="s">
        <v>7414</v>
      </c>
      <c r="AC901" s="1"/>
      <c r="AD901" s="1"/>
      <c r="AE901" s="1"/>
      <c r="AF901" s="1"/>
      <c r="AG901" s="1"/>
      <c r="AH901" s="1"/>
      <c r="AI901" s="1"/>
      <c r="AJ901" s="1"/>
      <c r="AK901" s="1"/>
      <c r="AL901" s="1"/>
      <c r="AM901" s="1"/>
      <c r="AN901" s="1"/>
      <c r="AO901" s="1" t="s">
        <v>6794</v>
      </c>
      <c r="AP901" s="1" t="s">
        <v>7415</v>
      </c>
      <c r="AQ901" s="1"/>
      <c r="AR901" s="1"/>
      <c r="AS901" s="1"/>
      <c r="AT901" s="1" t="s">
        <v>7416</v>
      </c>
      <c r="AU901" s="3">
        <v>2004</v>
      </c>
      <c r="AV901" s="3">
        <v>156</v>
      </c>
      <c r="AW901" s="3">
        <v>2</v>
      </c>
      <c r="AX901" s="2"/>
      <c r="AY901" s="2"/>
      <c r="AZ901" s="1"/>
      <c r="BA901" s="2"/>
      <c r="BB901" s="3">
        <v>439</v>
      </c>
      <c r="BC901" s="3">
        <v>454</v>
      </c>
      <c r="BD901" s="2"/>
      <c r="BE901" s="1" t="s">
        <v>7417</v>
      </c>
      <c r="BF901" s="4">
        <f>HYPERLINK("http://dx.doi.org/10.1016/j.amc.2003.08.002","http://dx.doi.org/10.1016/j.amc.2003.08.002")</f>
      </c>
      <c r="BG901" s="1"/>
      <c r="BH901" s="1"/>
      <c r="BI901" s="1"/>
      <c r="BJ901" s="1"/>
      <c r="BK901" s="1"/>
      <c r="BL901" s="1"/>
      <c r="BM901" s="1"/>
      <c r="BN901" s="2"/>
      <c r="BO901" s="1"/>
      <c r="BP901" s="1"/>
      <c r="BQ901" s="1"/>
      <c r="BR901" s="1"/>
      <c r="BS901" s="1" t="s">
        <v>7418</v>
      </c>
      <c r="BT901" s="5">
        <f>HYPERLINK("https%3A%2F%2Fwww.webofscience.com%2Fwos%2Fwoscc%2Ffull-record%2FWOS:000224009100014","View Full Record in Web of Science")</f>
      </c>
    </row>
    <row x14ac:dyDescent="0.25" r="902" customHeight="1" ht="12.75">
      <c r="A902" s="1" t="s">
        <v>72</v>
      </c>
      <c r="B902" s="1" t="s">
        <v>7419</v>
      </c>
      <c r="C902" s="1"/>
      <c r="D902" s="1"/>
      <c r="E902" s="1"/>
      <c r="F902" s="1" t="s">
        <v>7419</v>
      </c>
      <c r="G902" s="1"/>
      <c r="H902" s="1"/>
      <c r="I902" s="1" t="s">
        <v>7420</v>
      </c>
      <c r="J902" s="1" t="s">
        <v>2451</v>
      </c>
      <c r="K902" s="1"/>
      <c r="L902" s="1"/>
      <c r="M902" s="1"/>
      <c r="N902" s="1"/>
      <c r="O902" s="1" t="s">
        <v>7421</v>
      </c>
      <c r="P902" s="3">
        <v>2003</v>
      </c>
      <c r="Q902" s="1" t="s">
        <v>7422</v>
      </c>
      <c r="R902" s="1" t="s">
        <v>7423</v>
      </c>
      <c r="S902" s="1"/>
      <c r="T902" s="1"/>
      <c r="U902" s="1"/>
      <c r="V902" s="1" t="s">
        <v>7424</v>
      </c>
      <c r="W902" s="1"/>
      <c r="X902" s="1"/>
      <c r="Y902" s="1"/>
      <c r="Z902" s="1"/>
      <c r="AA902" s="1" t="s">
        <v>679</v>
      </c>
      <c r="AB902" s="1" t="s">
        <v>680</v>
      </c>
      <c r="AC902" s="1"/>
      <c r="AD902" s="1"/>
      <c r="AE902" s="1"/>
      <c r="AF902" s="1"/>
      <c r="AG902" s="1"/>
      <c r="AH902" s="1"/>
      <c r="AI902" s="1"/>
      <c r="AJ902" s="1"/>
      <c r="AK902" s="1"/>
      <c r="AL902" s="1"/>
      <c r="AM902" s="1"/>
      <c r="AN902" s="1"/>
      <c r="AO902" s="1" t="s">
        <v>1447</v>
      </c>
      <c r="AP902" s="1" t="s">
        <v>7425</v>
      </c>
      <c r="AQ902" s="1"/>
      <c r="AR902" s="1"/>
      <c r="AS902" s="1"/>
      <c r="AT902" s="1" t="s">
        <v>292</v>
      </c>
      <c r="AU902" s="3">
        <v>2004</v>
      </c>
      <c r="AV902" s="3">
        <v>216</v>
      </c>
      <c r="AW902" s="2"/>
      <c r="AX902" s="2"/>
      <c r="AY902" s="2"/>
      <c r="AZ902" s="1"/>
      <c r="BA902" s="2"/>
      <c r="BB902" s="3">
        <v>55</v>
      </c>
      <c r="BC902" s="3">
        <v>64</v>
      </c>
      <c r="BD902" s="2"/>
      <c r="BE902" s="1" t="s">
        <v>7426</v>
      </c>
      <c r="BF902" s="4">
        <f>HYPERLINK("http://dx.doi.org/10.1002/masy.200451207","http://dx.doi.org/10.1002/masy.200451207")</f>
      </c>
      <c r="BG902" s="1"/>
      <c r="BH902" s="1"/>
      <c r="BI902" s="1"/>
      <c r="BJ902" s="1"/>
      <c r="BK902" s="1"/>
      <c r="BL902" s="1"/>
      <c r="BM902" s="1"/>
      <c r="BN902" s="2"/>
      <c r="BO902" s="1"/>
      <c r="BP902" s="1"/>
      <c r="BQ902" s="1"/>
      <c r="BR902" s="1"/>
      <c r="BS902" s="1" t="s">
        <v>7427</v>
      </c>
      <c r="BT902" s="5">
        <f>HYPERLINK("https%3A%2F%2Fwww.webofscience.com%2Fwos%2Fwoscc%2Ffull-record%2FWOS:000224910400008","View Full Record in Web of Science")</f>
      </c>
    </row>
    <row x14ac:dyDescent="0.25" r="903" customHeight="1" ht="12.75">
      <c r="A903" s="1" t="s">
        <v>72</v>
      </c>
      <c r="B903" s="1" t="s">
        <v>5301</v>
      </c>
      <c r="C903" s="1"/>
      <c r="D903" s="1"/>
      <c r="E903" s="1"/>
      <c r="F903" s="1" t="s">
        <v>5301</v>
      </c>
      <c r="G903" s="1"/>
      <c r="H903" s="1"/>
      <c r="I903" s="1" t="s">
        <v>7428</v>
      </c>
      <c r="J903" s="1" t="s">
        <v>1507</v>
      </c>
      <c r="K903" s="1"/>
      <c r="L903" s="1"/>
      <c r="M903" s="1"/>
      <c r="N903" s="1"/>
      <c r="O903" s="1"/>
      <c r="P903" s="2"/>
      <c r="Q903" s="1"/>
      <c r="R903" s="1"/>
      <c r="S903" s="1"/>
      <c r="T903" s="1"/>
      <c r="U903" s="1"/>
      <c r="V903" s="1" t="s">
        <v>7429</v>
      </c>
      <c r="W903" s="1"/>
      <c r="X903" s="1"/>
      <c r="Y903" s="1"/>
      <c r="Z903" s="1"/>
      <c r="AA903" s="1" t="s">
        <v>5305</v>
      </c>
      <c r="AB903" s="1" t="s">
        <v>2943</v>
      </c>
      <c r="AC903" s="1"/>
      <c r="AD903" s="1"/>
      <c r="AE903" s="1"/>
      <c r="AF903" s="1"/>
      <c r="AG903" s="1"/>
      <c r="AH903" s="1"/>
      <c r="AI903" s="1"/>
      <c r="AJ903" s="1"/>
      <c r="AK903" s="1"/>
      <c r="AL903" s="1"/>
      <c r="AM903" s="1"/>
      <c r="AN903" s="1"/>
      <c r="AO903" s="1" t="s">
        <v>2886</v>
      </c>
      <c r="AP903" s="1"/>
      <c r="AQ903" s="1"/>
      <c r="AR903" s="1"/>
      <c r="AS903" s="1"/>
      <c r="AT903" s="1" t="s">
        <v>605</v>
      </c>
      <c r="AU903" s="3">
        <v>2004</v>
      </c>
      <c r="AV903" s="3">
        <v>49</v>
      </c>
      <c r="AW903" s="3">
        <v>1</v>
      </c>
      <c r="AX903" s="2"/>
      <c r="AY903" s="2"/>
      <c r="AZ903" s="1"/>
      <c r="BA903" s="2"/>
      <c r="BB903" s="3">
        <v>101</v>
      </c>
      <c r="BC903" s="3">
        <v>104</v>
      </c>
      <c r="BD903" s="2"/>
      <c r="BE903" s="1"/>
      <c r="BF903" s="1"/>
      <c r="BG903" s="1"/>
      <c r="BH903" s="1"/>
      <c r="BI903" s="1"/>
      <c r="BJ903" s="1"/>
      <c r="BK903" s="1"/>
      <c r="BL903" s="1"/>
      <c r="BM903" s="1"/>
      <c r="BN903" s="2"/>
      <c r="BO903" s="1"/>
      <c r="BP903" s="1"/>
      <c r="BQ903" s="1"/>
      <c r="BR903" s="1"/>
      <c r="BS903" s="1" t="s">
        <v>7430</v>
      </c>
      <c r="BT903" s="5">
        <f>HYPERLINK("https%3A%2F%2Fwww.webofscience.com%2Fwos%2Fwoscc%2Ffull-record%2FWOS:000189308600017","View Full Record in Web of Science")</f>
      </c>
    </row>
    <row x14ac:dyDescent="0.25" r="904" customHeight="1" ht="12.75">
      <c r="A904" s="1" t="s">
        <v>72</v>
      </c>
      <c r="B904" s="1" t="s">
        <v>7431</v>
      </c>
      <c r="C904" s="1"/>
      <c r="D904" s="1"/>
      <c r="E904" s="1"/>
      <c r="F904" s="1" t="s">
        <v>7431</v>
      </c>
      <c r="G904" s="1"/>
      <c r="H904" s="1"/>
      <c r="I904" s="1" t="s">
        <v>7432</v>
      </c>
      <c r="J904" s="1" t="s">
        <v>7433</v>
      </c>
      <c r="K904" s="1"/>
      <c r="L904" s="1"/>
      <c r="M904" s="1"/>
      <c r="N904" s="1"/>
      <c r="O904" s="1"/>
      <c r="P904" s="2"/>
      <c r="Q904" s="1"/>
      <c r="R904" s="1"/>
      <c r="S904" s="1"/>
      <c r="T904" s="1"/>
      <c r="U904" s="1"/>
      <c r="V904" s="1" t="s">
        <v>7434</v>
      </c>
      <c r="W904" s="1"/>
      <c r="X904" s="1"/>
      <c r="Y904" s="1"/>
      <c r="Z904" s="1"/>
      <c r="AA904" s="1" t="s">
        <v>7435</v>
      </c>
      <c r="AB904" s="1" t="s">
        <v>7436</v>
      </c>
      <c r="AC904" s="1"/>
      <c r="AD904" s="1"/>
      <c r="AE904" s="1"/>
      <c r="AF904" s="1"/>
      <c r="AG904" s="1"/>
      <c r="AH904" s="1"/>
      <c r="AI904" s="1"/>
      <c r="AJ904" s="1"/>
      <c r="AK904" s="1"/>
      <c r="AL904" s="1"/>
      <c r="AM904" s="1"/>
      <c r="AN904" s="1"/>
      <c r="AO904" s="1" t="s">
        <v>7437</v>
      </c>
      <c r="AP904" s="1"/>
      <c r="AQ904" s="1"/>
      <c r="AR904" s="1"/>
      <c r="AS904" s="1"/>
      <c r="AT904" s="1" t="s">
        <v>7438</v>
      </c>
      <c r="AU904" s="3">
        <v>2003</v>
      </c>
      <c r="AV904" s="3">
        <v>228</v>
      </c>
      <c r="AW904" s="3">
        <v>1</v>
      </c>
      <c r="AX904" s="2"/>
      <c r="AY904" s="2"/>
      <c r="AZ904" s="1"/>
      <c r="BA904" s="2"/>
      <c r="BB904" s="3">
        <v>87</v>
      </c>
      <c r="BC904" s="3">
        <v>91</v>
      </c>
      <c r="BD904" s="2"/>
      <c r="BE904" s="1" t="s">
        <v>7439</v>
      </c>
      <c r="BF904" s="4">
        <f>HYPERLINK("http://dx.doi.org/10.1016/S0378-1097(03)00755-9","http://dx.doi.org/10.1016/S0378-1097(03)00755-9")</f>
      </c>
      <c r="BG904" s="1"/>
      <c r="BH904" s="1"/>
      <c r="BI904" s="1"/>
      <c r="BJ904" s="1"/>
      <c r="BK904" s="1"/>
      <c r="BL904" s="1"/>
      <c r="BM904" s="1"/>
      <c r="BN904" s="3">
        <v>14612241</v>
      </c>
      <c r="BO904" s="1"/>
      <c r="BP904" s="1"/>
      <c r="BQ904" s="1"/>
      <c r="BR904" s="1"/>
      <c r="BS904" s="1" t="s">
        <v>7440</v>
      </c>
      <c r="BT904" s="5">
        <f>HYPERLINK("https%3A%2F%2Fwww.webofscience.com%2Fwos%2Fwoscc%2Ffull-record%2FWOS:000186586900013","View Full Record in Web of Science")</f>
      </c>
    </row>
    <row x14ac:dyDescent="0.25" r="905" customHeight="1" ht="12.75">
      <c r="A905" s="1" t="s">
        <v>72</v>
      </c>
      <c r="B905" s="1" t="s">
        <v>4520</v>
      </c>
      <c r="C905" s="1"/>
      <c r="D905" s="1"/>
      <c r="E905" s="1"/>
      <c r="F905" s="1" t="s">
        <v>4520</v>
      </c>
      <c r="G905" s="1"/>
      <c r="H905" s="1"/>
      <c r="I905" s="1" t="s">
        <v>7441</v>
      </c>
      <c r="J905" s="1" t="s">
        <v>7442</v>
      </c>
      <c r="K905" s="1"/>
      <c r="L905" s="1"/>
      <c r="M905" s="1"/>
      <c r="N905" s="1"/>
      <c r="O905" s="1"/>
      <c r="P905" s="2"/>
      <c r="Q905" s="1"/>
      <c r="R905" s="1"/>
      <c r="S905" s="1"/>
      <c r="T905" s="1"/>
      <c r="U905" s="1"/>
      <c r="V905" s="1" t="s">
        <v>7443</v>
      </c>
      <c r="W905" s="1"/>
      <c r="X905" s="1"/>
      <c r="Y905" s="1"/>
      <c r="Z905" s="1"/>
      <c r="AA905" s="1"/>
      <c r="AB905" s="1"/>
      <c r="AC905" s="1"/>
      <c r="AD905" s="1"/>
      <c r="AE905" s="1"/>
      <c r="AF905" s="1"/>
      <c r="AG905" s="1"/>
      <c r="AH905" s="1"/>
      <c r="AI905" s="1"/>
      <c r="AJ905" s="1"/>
      <c r="AK905" s="1"/>
      <c r="AL905" s="1"/>
      <c r="AM905" s="1"/>
      <c r="AN905" s="1"/>
      <c r="AO905" s="1" t="s">
        <v>7444</v>
      </c>
      <c r="AP905" s="1" t="s">
        <v>7445</v>
      </c>
      <c r="AQ905" s="1"/>
      <c r="AR905" s="1"/>
      <c r="AS905" s="1"/>
      <c r="AT905" s="1" t="s">
        <v>292</v>
      </c>
      <c r="AU905" s="3">
        <v>2003</v>
      </c>
      <c r="AV905" s="3">
        <v>6</v>
      </c>
      <c r="AW905" s="3">
        <v>3</v>
      </c>
      <c r="AX905" s="2"/>
      <c r="AY905" s="2"/>
      <c r="AZ905" s="1"/>
      <c r="BA905" s="2"/>
      <c r="BB905" s="3">
        <v>373</v>
      </c>
      <c r="BC905" s="3">
        <v>388</v>
      </c>
      <c r="BD905" s="2"/>
      <c r="BE905" s="1" t="s">
        <v>7446</v>
      </c>
      <c r="BF905" s="4">
        <f>HYPERLINK("http://dx.doi.org/10.1142/S0219025703001328","http://dx.doi.org/10.1142/S0219025703001328")</f>
      </c>
      <c r="BG905" s="1"/>
      <c r="BH905" s="1"/>
      <c r="BI905" s="1"/>
      <c r="BJ905" s="1"/>
      <c r="BK905" s="1"/>
      <c r="BL905" s="1"/>
      <c r="BM905" s="1"/>
      <c r="BN905" s="2"/>
      <c r="BO905" s="1"/>
      <c r="BP905" s="1"/>
      <c r="BQ905" s="1"/>
      <c r="BR905" s="1"/>
      <c r="BS905" s="1" t="s">
        <v>7447</v>
      </c>
      <c r="BT905" s="5">
        <f>HYPERLINK("https%3A%2F%2Fwww.webofscience.com%2Fwos%2Fwoscc%2Ffull-record%2FWOS:000186719600002","View Full Record in Web of Science")</f>
      </c>
    </row>
    <row x14ac:dyDescent="0.25" r="906" customHeight="1" ht="12.75">
      <c r="A906" s="1" t="s">
        <v>72</v>
      </c>
      <c r="B906" s="1" t="s">
        <v>7448</v>
      </c>
      <c r="C906" s="1"/>
      <c r="D906" s="1"/>
      <c r="E906" s="1"/>
      <c r="F906" s="1" t="s">
        <v>7448</v>
      </c>
      <c r="G906" s="1"/>
      <c r="H906" s="1"/>
      <c r="I906" s="1" t="s">
        <v>7449</v>
      </c>
      <c r="J906" s="1" t="s">
        <v>7450</v>
      </c>
      <c r="K906" s="1"/>
      <c r="L906" s="1"/>
      <c r="M906" s="1"/>
      <c r="N906" s="1"/>
      <c r="O906" s="1"/>
      <c r="P906" s="2"/>
      <c r="Q906" s="1"/>
      <c r="R906" s="1"/>
      <c r="S906" s="1"/>
      <c r="T906" s="1"/>
      <c r="U906" s="1"/>
      <c r="V906" s="1" t="s">
        <v>7451</v>
      </c>
      <c r="W906" s="1"/>
      <c r="X906" s="1"/>
      <c r="Y906" s="1"/>
      <c r="Z906" s="1"/>
      <c r="AA906" s="1"/>
      <c r="AB906" s="1" t="s">
        <v>1610</v>
      </c>
      <c r="AC906" s="1"/>
      <c r="AD906" s="1"/>
      <c r="AE906" s="1"/>
      <c r="AF906" s="1"/>
      <c r="AG906" s="1"/>
      <c r="AH906" s="1"/>
      <c r="AI906" s="1"/>
      <c r="AJ906" s="1"/>
      <c r="AK906" s="1"/>
      <c r="AL906" s="1"/>
      <c r="AM906" s="1"/>
      <c r="AN906" s="1"/>
      <c r="AO906" s="1" t="s">
        <v>7452</v>
      </c>
      <c r="AP906" s="1" t="s">
        <v>7453</v>
      </c>
      <c r="AQ906" s="1"/>
      <c r="AR906" s="1"/>
      <c r="AS906" s="1"/>
      <c r="AT906" s="1" t="s">
        <v>292</v>
      </c>
      <c r="AU906" s="3">
        <v>2003</v>
      </c>
      <c r="AV906" s="3">
        <v>74</v>
      </c>
      <c r="AW906" s="3">
        <v>6</v>
      </c>
      <c r="AX906" s="2"/>
      <c r="AY906" s="2"/>
      <c r="AZ906" s="1"/>
      <c r="BA906" s="2"/>
      <c r="BB906" s="3">
        <v>606</v>
      </c>
      <c r="BC906" s="3">
        <v>608</v>
      </c>
      <c r="BD906" s="2"/>
      <c r="BE906" s="1" t="s">
        <v>7454</v>
      </c>
      <c r="BF906" s="4">
        <f>HYPERLINK("http://dx.doi.org/10.1016/S0367-326X(03)00151-5","http://dx.doi.org/10.1016/S0367-326X(03)00151-5")</f>
      </c>
      <c r="BG906" s="1"/>
      <c r="BH906" s="1"/>
      <c r="BI906" s="1"/>
      <c r="BJ906" s="1"/>
      <c r="BK906" s="1"/>
      <c r="BL906" s="1"/>
      <c r="BM906" s="1"/>
      <c r="BN906" s="3">
        <v>12946727</v>
      </c>
      <c r="BO906" s="1"/>
      <c r="BP906" s="1"/>
      <c r="BQ906" s="1"/>
      <c r="BR906" s="1"/>
      <c r="BS906" s="1" t="s">
        <v>7455</v>
      </c>
      <c r="BT906" s="5">
        <f>HYPERLINK("https%3A%2F%2Fwww.webofscience.com%2Fwos%2Fwoscc%2Ffull-record%2FWOS:000185164700013","View Full Record in Web of Science")</f>
      </c>
    </row>
    <row x14ac:dyDescent="0.25" r="907" customHeight="1" ht="12.75">
      <c r="A907" s="1" t="s">
        <v>72</v>
      </c>
      <c r="B907" s="1" t="s">
        <v>5301</v>
      </c>
      <c r="C907" s="1"/>
      <c r="D907" s="1"/>
      <c r="E907" s="1"/>
      <c r="F907" s="1" t="s">
        <v>5301</v>
      </c>
      <c r="G907" s="1"/>
      <c r="H907" s="1"/>
      <c r="I907" s="1" t="s">
        <v>7456</v>
      </c>
      <c r="J907" s="1" t="s">
        <v>7457</v>
      </c>
      <c r="K907" s="1"/>
      <c r="L907" s="1"/>
      <c r="M907" s="1"/>
      <c r="N907" s="1"/>
      <c r="O907" s="1" t="s">
        <v>7458</v>
      </c>
      <c r="P907" s="2" t="s">
        <v>7459</v>
      </c>
      <c r="Q907" s="1" t="s">
        <v>7460</v>
      </c>
      <c r="R907" s="1"/>
      <c r="S907" s="1"/>
      <c r="T907" s="1"/>
      <c r="U907" s="1"/>
      <c r="V907" s="1" t="s">
        <v>7461</v>
      </c>
      <c r="W907" s="1"/>
      <c r="X907" s="1"/>
      <c r="Y907" s="1"/>
      <c r="Z907" s="1"/>
      <c r="AA907" s="1" t="s">
        <v>5305</v>
      </c>
      <c r="AB907" s="1" t="s">
        <v>2943</v>
      </c>
      <c r="AC907" s="1"/>
      <c r="AD907" s="1"/>
      <c r="AE907" s="1"/>
      <c r="AF907" s="1"/>
      <c r="AG907" s="1"/>
      <c r="AH907" s="1"/>
      <c r="AI907" s="1"/>
      <c r="AJ907" s="1"/>
      <c r="AK907" s="1"/>
      <c r="AL907" s="1"/>
      <c r="AM907" s="1"/>
      <c r="AN907" s="1"/>
      <c r="AO907" s="1" t="s">
        <v>7462</v>
      </c>
      <c r="AP907" s="1" t="s">
        <v>7463</v>
      </c>
      <c r="AQ907" s="1"/>
      <c r="AR907" s="1"/>
      <c r="AS907" s="1"/>
      <c r="AT907" s="1" t="s">
        <v>7464</v>
      </c>
      <c r="AU907" s="3">
        <v>2003</v>
      </c>
      <c r="AV907" s="3">
        <v>91</v>
      </c>
      <c r="AW907" s="3">
        <v>3</v>
      </c>
      <c r="AX907" s="2"/>
      <c r="AY907" s="2"/>
      <c r="AZ907" s="1"/>
      <c r="BA907" s="2"/>
      <c r="BB907" s="3">
        <v>389</v>
      </c>
      <c r="BC907" s="3">
        <v>397</v>
      </c>
      <c r="BD907" s="2"/>
      <c r="BE907" s="1" t="s">
        <v>7465</v>
      </c>
      <c r="BF907" s="4">
        <f>HYPERLINK("http://dx.doi.org/10.1002/qua.10443","http://dx.doi.org/10.1002/qua.10443")</f>
      </c>
      <c r="BG907" s="1"/>
      <c r="BH907" s="1"/>
      <c r="BI907" s="1"/>
      <c r="BJ907" s="1"/>
      <c r="BK907" s="1"/>
      <c r="BL907" s="1"/>
      <c r="BM907" s="1"/>
      <c r="BN907" s="2"/>
      <c r="BO907" s="1"/>
      <c r="BP907" s="1"/>
      <c r="BQ907" s="1"/>
      <c r="BR907" s="1"/>
      <c r="BS907" s="1" t="s">
        <v>7466</v>
      </c>
      <c r="BT907" s="5">
        <f>HYPERLINK("https%3A%2F%2Fwww.webofscience.com%2Fwos%2Fwoscc%2Ffull-record%2FWOS:000180228400017","View Full Record in Web of Science")</f>
      </c>
    </row>
    <row x14ac:dyDescent="0.25" r="908" customHeight="1" ht="12.75">
      <c r="A908" s="1" t="s">
        <v>72</v>
      </c>
      <c r="B908" s="1" t="s">
        <v>7467</v>
      </c>
      <c r="C908" s="1"/>
      <c r="D908" s="1"/>
      <c r="E908" s="1"/>
      <c r="F908" s="1" t="s">
        <v>7467</v>
      </c>
      <c r="G908" s="1"/>
      <c r="H908" s="1"/>
      <c r="I908" s="1" t="s">
        <v>7468</v>
      </c>
      <c r="J908" s="1" t="s">
        <v>793</v>
      </c>
      <c r="K908" s="1"/>
      <c r="L908" s="1"/>
      <c r="M908" s="1"/>
      <c r="N908" s="1"/>
      <c r="O908" s="1" t="s">
        <v>794</v>
      </c>
      <c r="P908" s="2" t="s">
        <v>795</v>
      </c>
      <c r="Q908" s="1" t="s">
        <v>796</v>
      </c>
      <c r="R908" s="1"/>
      <c r="S908" s="1"/>
      <c r="T908" s="1"/>
      <c r="U908" s="1"/>
      <c r="V908" s="1" t="s">
        <v>7469</v>
      </c>
      <c r="W908" s="1"/>
      <c r="X908" s="1"/>
      <c r="Y908" s="1"/>
      <c r="Z908" s="1"/>
      <c r="AA908" s="1"/>
      <c r="AB908" s="1"/>
      <c r="AC908" s="1"/>
      <c r="AD908" s="1"/>
      <c r="AE908" s="1"/>
      <c r="AF908" s="1"/>
      <c r="AG908" s="1"/>
      <c r="AH908" s="1"/>
      <c r="AI908" s="1"/>
      <c r="AJ908" s="1"/>
      <c r="AK908" s="1"/>
      <c r="AL908" s="1"/>
      <c r="AM908" s="1"/>
      <c r="AN908" s="1"/>
      <c r="AO908" s="1" t="s">
        <v>798</v>
      </c>
      <c r="AP908" s="1"/>
      <c r="AQ908" s="1"/>
      <c r="AR908" s="1"/>
      <c r="AS908" s="1"/>
      <c r="AT908" s="1" t="s">
        <v>204</v>
      </c>
      <c r="AU908" s="3">
        <v>2002</v>
      </c>
      <c r="AV908" s="3">
        <v>48</v>
      </c>
      <c r="AW908" s="2"/>
      <c r="AX908" s="2"/>
      <c r="AY908" s="3">
        <v>3</v>
      </c>
      <c r="AZ908" s="1"/>
      <c r="BA908" s="2"/>
      <c r="BB908" s="3">
        <v>131</v>
      </c>
      <c r="BC908" s="3">
        <v>132</v>
      </c>
      <c r="BD908" s="2"/>
      <c r="BE908" s="1"/>
      <c r="BF908" s="1"/>
      <c r="BG908" s="1"/>
      <c r="BH908" s="1"/>
      <c r="BI908" s="1"/>
      <c r="BJ908" s="1"/>
      <c r="BK908" s="1"/>
      <c r="BL908" s="1"/>
      <c r="BM908" s="1"/>
      <c r="BN908" s="2"/>
      <c r="BO908" s="1"/>
      <c r="BP908" s="1"/>
      <c r="BQ908" s="1"/>
      <c r="BR908" s="1"/>
      <c r="BS908" s="1" t="s">
        <v>7470</v>
      </c>
      <c r="BT908" s="5">
        <f>HYPERLINK("https%3A%2F%2Fwww.webofscience.com%2Fwos%2Fwoscc%2Ffull-record%2FWOS:000180065500047","View Full Record in Web of Science")</f>
      </c>
    </row>
    <row x14ac:dyDescent="0.25" r="909" customHeight="1" ht="12.75">
      <c r="A909" s="1" t="s">
        <v>72</v>
      </c>
      <c r="B909" s="1" t="s">
        <v>7471</v>
      </c>
      <c r="C909" s="1"/>
      <c r="D909" s="1"/>
      <c r="E909" s="1"/>
      <c r="F909" s="1" t="s">
        <v>7471</v>
      </c>
      <c r="G909" s="1"/>
      <c r="H909" s="1"/>
      <c r="I909" s="1" t="s">
        <v>7472</v>
      </c>
      <c r="J909" s="1" t="s">
        <v>470</v>
      </c>
      <c r="K909" s="1"/>
      <c r="L909" s="1"/>
      <c r="M909" s="1"/>
      <c r="N909" s="1"/>
      <c r="O909" s="1"/>
      <c r="P909" s="2"/>
      <c r="Q909" s="1"/>
      <c r="R909" s="1"/>
      <c r="S909" s="1"/>
      <c r="T909" s="1"/>
      <c r="U909" s="1"/>
      <c r="V909" s="1" t="s">
        <v>7473</v>
      </c>
      <c r="W909" s="1"/>
      <c r="X909" s="1"/>
      <c r="Y909" s="1"/>
      <c r="Z909" s="1"/>
      <c r="AA909" s="1"/>
      <c r="AB909" s="1"/>
      <c r="AC909" s="1"/>
      <c r="AD909" s="1"/>
      <c r="AE909" s="1"/>
      <c r="AF909" s="1"/>
      <c r="AG909" s="1"/>
      <c r="AH909" s="1"/>
      <c r="AI909" s="1"/>
      <c r="AJ909" s="1"/>
      <c r="AK909" s="1"/>
      <c r="AL909" s="1"/>
      <c r="AM909" s="1"/>
      <c r="AN909" s="1"/>
      <c r="AO909" s="1" t="s">
        <v>474</v>
      </c>
      <c r="AP909" s="1"/>
      <c r="AQ909" s="1"/>
      <c r="AR909" s="1"/>
      <c r="AS909" s="1"/>
      <c r="AT909" s="1"/>
      <c r="AU909" s="3">
        <v>2002</v>
      </c>
      <c r="AV909" s="3">
        <v>20</v>
      </c>
      <c r="AW909" s="3">
        <v>7</v>
      </c>
      <c r="AX909" s="2"/>
      <c r="AY909" s="2"/>
      <c r="AZ909" s="1"/>
      <c r="BA909" s="2"/>
      <c r="BB909" s="3">
        <v>1463</v>
      </c>
      <c r="BC909" s="3">
        <v>1483</v>
      </c>
      <c r="BD909" s="2"/>
      <c r="BE909" s="1" t="s">
        <v>7474</v>
      </c>
      <c r="BF909" s="4">
        <f>HYPERLINK("http://dx.doi.org/10.1081/DRT-120005862","http://dx.doi.org/10.1081/DRT-120005862")</f>
      </c>
      <c r="BG909" s="1"/>
      <c r="BH909" s="1"/>
      <c r="BI909" s="1"/>
      <c r="BJ909" s="1"/>
      <c r="BK909" s="1"/>
      <c r="BL909" s="1"/>
      <c r="BM909" s="1"/>
      <c r="BN909" s="2"/>
      <c r="BO909" s="1"/>
      <c r="BP909" s="1"/>
      <c r="BQ909" s="1"/>
      <c r="BR909" s="1"/>
      <c r="BS909" s="1" t="s">
        <v>7475</v>
      </c>
      <c r="BT909" s="5">
        <f>HYPERLINK("https%3A%2F%2Fwww.webofscience.com%2Fwos%2Fwoscc%2Ffull-record%2FWOS:000177123200010","View Full Record in Web of Science")</f>
      </c>
    </row>
    <row x14ac:dyDescent="0.25" r="910" customHeight="1" ht="12.75">
      <c r="A910" s="1" t="s">
        <v>72</v>
      </c>
      <c r="B910" s="1" t="s">
        <v>7476</v>
      </c>
      <c r="C910" s="1"/>
      <c r="D910" s="1"/>
      <c r="E910" s="1"/>
      <c r="F910" s="1" t="s">
        <v>7476</v>
      </c>
      <c r="G910" s="1"/>
      <c r="H910" s="1"/>
      <c r="I910" s="1" t="s">
        <v>7477</v>
      </c>
      <c r="J910" s="1" t="s">
        <v>470</v>
      </c>
      <c r="K910" s="1"/>
      <c r="L910" s="1"/>
      <c r="M910" s="1"/>
      <c r="N910" s="1"/>
      <c r="O910" s="1" t="s">
        <v>7478</v>
      </c>
      <c r="P910" s="2" t="s">
        <v>7479</v>
      </c>
      <c r="Q910" s="1" t="s">
        <v>7480</v>
      </c>
      <c r="R910" s="1"/>
      <c r="S910" s="1"/>
      <c r="T910" s="1"/>
      <c r="U910" s="1"/>
      <c r="V910" s="1" t="s">
        <v>7481</v>
      </c>
      <c r="W910" s="1"/>
      <c r="X910" s="1"/>
      <c r="Y910" s="1"/>
      <c r="Z910" s="1"/>
      <c r="AA910" s="1"/>
      <c r="AB910" s="1"/>
      <c r="AC910" s="1"/>
      <c r="AD910" s="1"/>
      <c r="AE910" s="1"/>
      <c r="AF910" s="1"/>
      <c r="AG910" s="1"/>
      <c r="AH910" s="1"/>
      <c r="AI910" s="1"/>
      <c r="AJ910" s="1"/>
      <c r="AK910" s="1"/>
      <c r="AL910" s="1"/>
      <c r="AM910" s="1"/>
      <c r="AN910" s="1"/>
      <c r="AO910" s="1" t="s">
        <v>474</v>
      </c>
      <c r="AP910" s="1"/>
      <c r="AQ910" s="1"/>
      <c r="AR910" s="1"/>
      <c r="AS910" s="1"/>
      <c r="AT910" s="1"/>
      <c r="AU910" s="3">
        <v>2001</v>
      </c>
      <c r="AV910" s="3">
        <v>19</v>
      </c>
      <c r="AW910" s="3">
        <v>8</v>
      </c>
      <c r="AX910" s="2"/>
      <c r="AY910" s="2"/>
      <c r="AZ910" s="1"/>
      <c r="BA910" s="2"/>
      <c r="BB910" s="3">
        <v>2047</v>
      </c>
      <c r="BC910" s="3">
        <v>2061</v>
      </c>
      <c r="BD910" s="2"/>
      <c r="BE910" s="1" t="s">
        <v>7482</v>
      </c>
      <c r="BF910" s="4">
        <f>HYPERLINK("http://dx.doi.org/10.1081/DRT-100107288","http://dx.doi.org/10.1081/DRT-100107288")</f>
      </c>
      <c r="BG910" s="1"/>
      <c r="BH910" s="1"/>
      <c r="BI910" s="1"/>
      <c r="BJ910" s="1"/>
      <c r="BK910" s="1"/>
      <c r="BL910" s="1"/>
      <c r="BM910" s="1"/>
      <c r="BN910" s="2"/>
      <c r="BO910" s="1"/>
      <c r="BP910" s="1"/>
      <c r="BQ910" s="1"/>
      <c r="BR910" s="1"/>
      <c r="BS910" s="1" t="s">
        <v>7483</v>
      </c>
      <c r="BT910" s="5">
        <f>HYPERLINK("https%3A%2F%2Fwww.webofscience.com%2Fwos%2Fwoscc%2Ffull-record%2FWOS:000171861300034","View Full Record in Web of Science")</f>
      </c>
    </row>
    <row x14ac:dyDescent="0.25" r="911" customHeight="1" ht="12.75">
      <c r="A911" s="1" t="s">
        <v>72</v>
      </c>
      <c r="B911" s="1" t="s">
        <v>7484</v>
      </c>
      <c r="C911" s="1"/>
      <c r="D911" s="1"/>
      <c r="E911" s="1"/>
      <c r="F911" s="1" t="s">
        <v>7484</v>
      </c>
      <c r="G911" s="1"/>
      <c r="H911" s="1"/>
      <c r="I911" s="1" t="s">
        <v>7485</v>
      </c>
      <c r="J911" s="1" t="s">
        <v>3064</v>
      </c>
      <c r="K911" s="1"/>
      <c r="L911" s="1"/>
      <c r="M911" s="1"/>
      <c r="N911" s="1"/>
      <c r="O911" s="1"/>
      <c r="P911" s="2"/>
      <c r="Q911" s="1"/>
      <c r="R911" s="1"/>
      <c r="S911" s="1"/>
      <c r="T911" s="1"/>
      <c r="U911" s="1"/>
      <c r="V911" s="1" t="s">
        <v>7486</v>
      </c>
      <c r="W911" s="1"/>
      <c r="X911" s="1"/>
      <c r="Y911" s="1"/>
      <c r="Z911" s="1"/>
      <c r="AA911" s="1"/>
      <c r="AB911" s="1"/>
      <c r="AC911" s="1"/>
      <c r="AD911" s="1"/>
      <c r="AE911" s="1"/>
      <c r="AF911" s="1"/>
      <c r="AG911" s="1"/>
      <c r="AH911" s="1"/>
      <c r="AI911" s="1"/>
      <c r="AJ911" s="1"/>
      <c r="AK911" s="1"/>
      <c r="AL911" s="1"/>
      <c r="AM911" s="1"/>
      <c r="AN911" s="1"/>
      <c r="AO911" s="1" t="s">
        <v>3066</v>
      </c>
      <c r="AP911" s="1" t="s">
        <v>3067</v>
      </c>
      <c r="AQ911" s="1"/>
      <c r="AR911" s="1"/>
      <c r="AS911" s="1"/>
      <c r="AT911" s="1" t="s">
        <v>567</v>
      </c>
      <c r="AU911" s="3">
        <v>2000</v>
      </c>
      <c r="AV911" s="3">
        <v>128</v>
      </c>
      <c r="AW911" s="3">
        <v>4</v>
      </c>
      <c r="AX911" s="2"/>
      <c r="AY911" s="2"/>
      <c r="AZ911" s="1"/>
      <c r="BA911" s="2"/>
      <c r="BB911" s="3">
        <v>399</v>
      </c>
      <c r="BC911" s="3">
        <v>404</v>
      </c>
      <c r="BD911" s="2"/>
      <c r="BE911" s="1"/>
      <c r="BF911" s="1"/>
      <c r="BG911" s="1"/>
      <c r="BH911" s="1"/>
      <c r="BI911" s="1"/>
      <c r="BJ911" s="1"/>
      <c r="BK911" s="1"/>
      <c r="BL911" s="1"/>
      <c r="BM911" s="1"/>
      <c r="BN911" s="3">
        <v>10962857</v>
      </c>
      <c r="BO911" s="1"/>
      <c r="BP911" s="1"/>
      <c r="BQ911" s="1"/>
      <c r="BR911" s="1"/>
      <c r="BS911" s="1" t="s">
        <v>7487</v>
      </c>
      <c r="BT911" s="5">
        <f>HYPERLINK("https%3A%2F%2Fwww.webofscience.com%2Fwos%2Fwoscc%2Ffull-record%2FWOS:000087585000006","View Full Record in Web of Science")</f>
      </c>
    </row>
    <row x14ac:dyDescent="0.25" r="912" customHeight="1" ht="12.75">
      <c r="A912" s="1" t="s">
        <v>303</v>
      </c>
      <c r="B912" s="1" t="s">
        <v>7488</v>
      </c>
      <c r="C912" s="1"/>
      <c r="D912" s="1" t="s">
        <v>4596</v>
      </c>
      <c r="E912" s="1"/>
      <c r="F912" s="1" t="s">
        <v>7488</v>
      </c>
      <c r="G912" s="1"/>
      <c r="H912" s="1"/>
      <c r="I912" s="1" t="s">
        <v>7489</v>
      </c>
      <c r="J912" s="1" t="s">
        <v>4598</v>
      </c>
      <c r="K912" s="1" t="s">
        <v>4599</v>
      </c>
      <c r="L912" s="1"/>
      <c r="M912" s="1"/>
      <c r="N912" s="1"/>
      <c r="O912" s="1" t="s">
        <v>4600</v>
      </c>
      <c r="P912" s="2" t="s">
        <v>4601</v>
      </c>
      <c r="Q912" s="1" t="s">
        <v>4602</v>
      </c>
      <c r="R912" s="1" t="s">
        <v>4603</v>
      </c>
      <c r="S912" s="1" t="s">
        <v>4604</v>
      </c>
      <c r="T912" s="1"/>
      <c r="U912" s="1"/>
      <c r="V912" s="1"/>
      <c r="W912" s="1"/>
      <c r="X912" s="1"/>
      <c r="Y912" s="1"/>
      <c r="Z912" s="1"/>
      <c r="AA912" s="1"/>
      <c r="AB912" s="1"/>
      <c r="AC912" s="1"/>
      <c r="AD912" s="1"/>
      <c r="AE912" s="1"/>
      <c r="AF912" s="1"/>
      <c r="AG912" s="1"/>
      <c r="AH912" s="1"/>
      <c r="AI912" s="1"/>
      <c r="AJ912" s="1"/>
      <c r="AK912" s="1"/>
      <c r="AL912" s="1"/>
      <c r="AM912" s="1"/>
      <c r="AN912" s="1"/>
      <c r="AO912" s="1" t="s">
        <v>4605</v>
      </c>
      <c r="AP912" s="1"/>
      <c r="AQ912" s="1" t="s">
        <v>4606</v>
      </c>
      <c r="AR912" s="1"/>
      <c r="AS912" s="1"/>
      <c r="AT912" s="1"/>
      <c r="AU912" s="3">
        <v>1998</v>
      </c>
      <c r="AV912" s="3">
        <v>194</v>
      </c>
      <c r="AW912" s="2"/>
      <c r="AX912" s="2"/>
      <c r="AY912" s="2"/>
      <c r="AZ912" s="1"/>
      <c r="BA912" s="2"/>
      <c r="BB912" s="3">
        <v>401</v>
      </c>
      <c r="BC912" s="3">
        <v>409</v>
      </c>
      <c r="BD912" s="2"/>
      <c r="BE912" s="1"/>
      <c r="BF912" s="1"/>
      <c r="BG912" s="1"/>
      <c r="BH912" s="1"/>
      <c r="BI912" s="1"/>
      <c r="BJ912" s="1"/>
      <c r="BK912" s="1"/>
      <c r="BL912" s="1"/>
      <c r="BM912" s="1"/>
      <c r="BN912" s="2"/>
      <c r="BO912" s="1"/>
      <c r="BP912" s="1"/>
      <c r="BQ912" s="1"/>
      <c r="BR912" s="1"/>
      <c r="BS912" s="1" t="s">
        <v>7490</v>
      </c>
      <c r="BT912" s="5">
        <f>HYPERLINK("https%3A%2F%2Fwww.webofscience.com%2Fwos%2Fwoscc%2Ffull-record%2FWOS:A1998BJ57F00028","View Full Record in Web of Science")</f>
      </c>
    </row>
    <row x14ac:dyDescent="0.25" r="913" customHeight="1" ht="12.75">
      <c r="A913" s="1" t="s">
        <v>72</v>
      </c>
      <c r="B913" s="1" t="s">
        <v>7491</v>
      </c>
      <c r="C913" s="1"/>
      <c r="D913" s="1"/>
      <c r="E913" s="1"/>
      <c r="F913" s="1" t="s">
        <v>7491</v>
      </c>
      <c r="G913" s="1"/>
      <c r="H913" s="1"/>
      <c r="I913" s="1" t="s">
        <v>7492</v>
      </c>
      <c r="J913" s="1" t="s">
        <v>897</v>
      </c>
      <c r="K913" s="1"/>
      <c r="L913" s="1"/>
      <c r="M913" s="1"/>
      <c r="N913" s="1"/>
      <c r="O913" s="1"/>
      <c r="P913" s="2"/>
      <c r="Q913" s="1"/>
      <c r="R913" s="1"/>
      <c r="S913" s="1"/>
      <c r="T913" s="1"/>
      <c r="U913" s="1"/>
      <c r="V913" s="1" t="s">
        <v>7493</v>
      </c>
      <c r="W913" s="1"/>
      <c r="X913" s="1"/>
      <c r="Y913" s="1"/>
      <c r="Z913" s="1"/>
      <c r="AA913" s="1"/>
      <c r="AB913" s="1"/>
      <c r="AC913" s="1"/>
      <c r="AD913" s="1"/>
      <c r="AE913" s="1"/>
      <c r="AF913" s="1"/>
      <c r="AG913" s="1"/>
      <c r="AH913" s="1"/>
      <c r="AI913" s="1"/>
      <c r="AJ913" s="1"/>
      <c r="AK913" s="1"/>
      <c r="AL913" s="1"/>
      <c r="AM913" s="1"/>
      <c r="AN913" s="1"/>
      <c r="AO913" s="1" t="s">
        <v>900</v>
      </c>
      <c r="AP913" s="1"/>
      <c r="AQ913" s="1"/>
      <c r="AR913" s="1"/>
      <c r="AS913" s="1"/>
      <c r="AT913" s="1" t="s">
        <v>292</v>
      </c>
      <c r="AU913" s="3">
        <v>1997</v>
      </c>
      <c r="AV913" s="3">
        <v>42</v>
      </c>
      <c r="AW913" s="3">
        <v>3</v>
      </c>
      <c r="AX913" s="2"/>
      <c r="AY913" s="2"/>
      <c r="AZ913" s="1"/>
      <c r="BA913" s="2"/>
      <c r="BB913" s="3">
        <v>301</v>
      </c>
      <c r="BC913" s="3">
        <v>306</v>
      </c>
      <c r="BD913" s="2"/>
      <c r="BE913" s="1"/>
      <c r="BF913" s="1"/>
      <c r="BG913" s="1"/>
      <c r="BH913" s="1"/>
      <c r="BI913" s="1"/>
      <c r="BJ913" s="1"/>
      <c r="BK913" s="1"/>
      <c r="BL913" s="1"/>
      <c r="BM913" s="1"/>
      <c r="BN913" s="2"/>
      <c r="BO913" s="1"/>
      <c r="BP913" s="1"/>
      <c r="BQ913" s="1"/>
      <c r="BR913" s="1"/>
      <c r="BS913" s="1" t="s">
        <v>7494</v>
      </c>
      <c r="BT913" s="5">
        <f>HYPERLINK("https%3A%2F%2Fwww.webofscience.com%2Fwos%2Fwoscc%2Ffull-record%2FWOS:A1997YA06800002","View Full Record in Web of Science")</f>
      </c>
    </row>
    <row x14ac:dyDescent="0.25" r="914" customHeight="1" ht="12.75">
      <c r="A914" s="1" t="s">
        <v>72</v>
      </c>
      <c r="B914" s="1" t="s">
        <v>7495</v>
      </c>
      <c r="C914" s="1"/>
      <c r="D914" s="1"/>
      <c r="E914" s="1"/>
      <c r="F914" s="1" t="s">
        <v>7495</v>
      </c>
      <c r="G914" s="1"/>
      <c r="H914" s="1"/>
      <c r="I914" s="1" t="s">
        <v>7496</v>
      </c>
      <c r="J914" s="1" t="s">
        <v>4647</v>
      </c>
      <c r="K914" s="1"/>
      <c r="L914" s="1"/>
      <c r="M914" s="1"/>
      <c r="N914" s="1"/>
      <c r="O914" s="1"/>
      <c r="P914" s="2"/>
      <c r="Q914" s="1"/>
      <c r="R914" s="1"/>
      <c r="S914" s="1"/>
      <c r="T914" s="1"/>
      <c r="U914" s="1"/>
      <c r="V914" s="1" t="s">
        <v>7497</v>
      </c>
      <c r="W914" s="1"/>
      <c r="X914" s="1"/>
      <c r="Y914" s="1"/>
      <c r="Z914" s="1"/>
      <c r="AA914" s="1"/>
      <c r="AB914" s="1"/>
      <c r="AC914" s="1"/>
      <c r="AD914" s="1"/>
      <c r="AE914" s="1"/>
      <c r="AF914" s="1"/>
      <c r="AG914" s="1"/>
      <c r="AH914" s="1"/>
      <c r="AI914" s="1"/>
      <c r="AJ914" s="1"/>
      <c r="AK914" s="1"/>
      <c r="AL914" s="1"/>
      <c r="AM914" s="1"/>
      <c r="AN914" s="1"/>
      <c r="AO914" s="1" t="s">
        <v>4649</v>
      </c>
      <c r="AP914" s="1"/>
      <c r="AQ914" s="1"/>
      <c r="AR914" s="1"/>
      <c r="AS914" s="1"/>
      <c r="AT914" s="1" t="s">
        <v>567</v>
      </c>
      <c r="AU914" s="3">
        <v>1997</v>
      </c>
      <c r="AV914" s="3">
        <v>51</v>
      </c>
      <c r="AW914" s="3">
        <v>4</v>
      </c>
      <c r="AX914" s="2"/>
      <c r="AY914" s="2"/>
      <c r="AZ914" s="1"/>
      <c r="BA914" s="2"/>
      <c r="BB914" s="3">
        <v>190</v>
      </c>
      <c r="BC914" s="3">
        <v>196</v>
      </c>
      <c r="BD914" s="2"/>
      <c r="BE914" s="1"/>
      <c r="BF914" s="1"/>
      <c r="BG914" s="1"/>
      <c r="BH914" s="1"/>
      <c r="BI914" s="1"/>
      <c r="BJ914" s="1"/>
      <c r="BK914" s="1"/>
      <c r="BL914" s="1"/>
      <c r="BM914" s="1"/>
      <c r="BN914" s="2"/>
      <c r="BO914" s="1"/>
      <c r="BP914" s="1"/>
      <c r="BQ914" s="1"/>
      <c r="BR914" s="1"/>
      <c r="BS914" s="1" t="s">
        <v>7498</v>
      </c>
      <c r="BT914" s="5">
        <f>HYPERLINK("https%3A%2F%2Fwww.webofscience.com%2Fwos%2Fwoscc%2Ffull-record%2FWOS:A1997YD76500009","View Full Record in Web of Science")</f>
      </c>
    </row>
    <row x14ac:dyDescent="0.25" r="915" customHeight="1" ht="12.75">
      <c r="A915" s="1" t="s">
        <v>72</v>
      </c>
      <c r="B915" s="1" t="s">
        <v>7499</v>
      </c>
      <c r="C915" s="1"/>
      <c r="D915" s="1"/>
      <c r="E915" s="1"/>
      <c r="F915" s="1" t="s">
        <v>7499</v>
      </c>
      <c r="G915" s="1"/>
      <c r="H915" s="1"/>
      <c r="I915" s="1" t="s">
        <v>7500</v>
      </c>
      <c r="J915" s="1" t="s">
        <v>2255</v>
      </c>
      <c r="K915" s="1"/>
      <c r="L915" s="1"/>
      <c r="M915" s="1"/>
      <c r="N915" s="1"/>
      <c r="O915" s="1"/>
      <c r="P915" s="2"/>
      <c r="Q915" s="1"/>
      <c r="R915" s="1"/>
      <c r="S915" s="1"/>
      <c r="T915" s="1"/>
      <c r="U915" s="1"/>
      <c r="V915" s="1" t="s">
        <v>7501</v>
      </c>
      <c r="W915" s="1"/>
      <c r="X915" s="1"/>
      <c r="Y915" s="1"/>
      <c r="Z915" s="1"/>
      <c r="AA915" s="1" t="s">
        <v>7502</v>
      </c>
      <c r="AB915" s="1" t="s">
        <v>2155</v>
      </c>
      <c r="AC915" s="1"/>
      <c r="AD915" s="1"/>
      <c r="AE915" s="1"/>
      <c r="AF915" s="1"/>
      <c r="AG915" s="1"/>
      <c r="AH915" s="1"/>
      <c r="AI915" s="1"/>
      <c r="AJ915" s="1"/>
      <c r="AK915" s="1"/>
      <c r="AL915" s="1"/>
      <c r="AM915" s="1"/>
      <c r="AN915" s="1"/>
      <c r="AO915" s="1" t="s">
        <v>2259</v>
      </c>
      <c r="AP915" s="1"/>
      <c r="AQ915" s="1"/>
      <c r="AR915" s="1"/>
      <c r="AS915" s="1"/>
      <c r="AT915" s="1"/>
      <c r="AU915" s="3">
        <v>1997</v>
      </c>
      <c r="AV915" s="3">
        <v>42</v>
      </c>
      <c r="AW915" s="2" t="s">
        <v>7503</v>
      </c>
      <c r="AX915" s="2"/>
      <c r="AY915" s="2"/>
      <c r="AZ915" s="1"/>
      <c r="BA915" s="2"/>
      <c r="BB915" s="3">
        <v>3477</v>
      </c>
      <c r="BC915" s="3">
        <v>3481</v>
      </c>
      <c r="BD915" s="2"/>
      <c r="BE915" s="1" t="s">
        <v>7504</v>
      </c>
      <c r="BF915" s="4">
        <f>HYPERLINK("http://dx.doi.org/10.1016/S0013-4686(97)00020-0","http://dx.doi.org/10.1016/S0013-4686(97)00020-0")</f>
      </c>
      <c r="BG915" s="1"/>
      <c r="BH915" s="1"/>
      <c r="BI915" s="1"/>
      <c r="BJ915" s="1"/>
      <c r="BK915" s="1"/>
      <c r="BL915" s="1"/>
      <c r="BM915" s="1"/>
      <c r="BN915" s="2"/>
      <c r="BO915" s="1"/>
      <c r="BP915" s="1"/>
      <c r="BQ915" s="1"/>
      <c r="BR915" s="1"/>
      <c r="BS915" s="1" t="s">
        <v>7505</v>
      </c>
      <c r="BT915" s="5">
        <f>HYPERLINK("https%3A%2F%2Fwww.webofscience.com%2Fwos%2Fwoscc%2Ffull-record%2FWOS:A1997YG12500008","View Full Record in Web of Science")</f>
      </c>
    </row>
    <row x14ac:dyDescent="0.25" r="916" customHeight="1" ht="12.75">
      <c r="A916" s="1" t="s">
        <v>303</v>
      </c>
      <c r="B916" s="1" t="s">
        <v>7506</v>
      </c>
      <c r="C916" s="1"/>
      <c r="D916" s="1" t="s">
        <v>7507</v>
      </c>
      <c r="E916" s="1"/>
      <c r="F916" s="1" t="s">
        <v>7506</v>
      </c>
      <c r="G916" s="1"/>
      <c r="H916" s="1"/>
      <c r="I916" s="1" t="s">
        <v>7508</v>
      </c>
      <c r="J916" s="1" t="s">
        <v>7509</v>
      </c>
      <c r="K916" s="1" t="s">
        <v>5405</v>
      </c>
      <c r="L916" s="1"/>
      <c r="M916" s="1"/>
      <c r="N916" s="1"/>
      <c r="O916" s="1" t="s">
        <v>7510</v>
      </c>
      <c r="P916" s="3">
        <v>1996</v>
      </c>
      <c r="Q916" s="1" t="s">
        <v>1218</v>
      </c>
      <c r="R916" s="1" t="s">
        <v>7511</v>
      </c>
      <c r="S916" s="1"/>
      <c r="T916" s="1"/>
      <c r="U916" s="1"/>
      <c r="V916" s="1"/>
      <c r="W916" s="1"/>
      <c r="X916" s="1"/>
      <c r="Y916" s="1"/>
      <c r="Z916" s="1"/>
      <c r="AA916" s="1" t="s">
        <v>1626</v>
      </c>
      <c r="AB916" s="1" t="s">
        <v>7512</v>
      </c>
      <c r="AC916" s="1"/>
      <c r="AD916" s="1"/>
      <c r="AE916" s="1"/>
      <c r="AF916" s="1"/>
      <c r="AG916" s="1"/>
      <c r="AH916" s="1"/>
      <c r="AI916" s="1"/>
      <c r="AJ916" s="1"/>
      <c r="AK916" s="1"/>
      <c r="AL916" s="1"/>
      <c r="AM916" s="1"/>
      <c r="AN916" s="1"/>
      <c r="AO916" s="1"/>
      <c r="AP916" s="1"/>
      <c r="AQ916" s="1" t="s">
        <v>7513</v>
      </c>
      <c r="AR916" s="1"/>
      <c r="AS916" s="1"/>
      <c r="AT916" s="1"/>
      <c r="AU916" s="3">
        <v>1996</v>
      </c>
      <c r="AV916" s="3">
        <v>2878</v>
      </c>
      <c r="AW916" s="2"/>
      <c r="AX916" s="2"/>
      <c r="AY916" s="2"/>
      <c r="AZ916" s="1"/>
      <c r="BA916" s="2"/>
      <c r="BB916" s="3">
        <v>167</v>
      </c>
      <c r="BC916" s="3">
        <v>170</v>
      </c>
      <c r="BD916" s="2"/>
      <c r="BE916" s="1"/>
      <c r="BF916" s="1"/>
      <c r="BG916" s="1"/>
      <c r="BH916" s="1"/>
      <c r="BI916" s="1"/>
      <c r="BJ916" s="1"/>
      <c r="BK916" s="1"/>
      <c r="BL916" s="1"/>
      <c r="BM916" s="1"/>
      <c r="BN916" s="2"/>
      <c r="BO916" s="1"/>
      <c r="BP916" s="1"/>
      <c r="BQ916" s="1"/>
      <c r="BR916" s="1"/>
      <c r="BS916" s="1" t="s">
        <v>7514</v>
      </c>
      <c r="BT916" s="5">
        <f>HYPERLINK("https%3A%2F%2Fwww.webofscience.com%2Fwos%2Fwoscc%2Ffull-record%2FWOS:A1996BG44Q00016","View Full Record in Web of Science")</f>
      </c>
    </row>
    <row x14ac:dyDescent="0.25" r="917" customHeight="1" ht="12.75">
      <c r="A917" s="1" t="s">
        <v>72</v>
      </c>
      <c r="B917" s="1" t="s">
        <v>7515</v>
      </c>
      <c r="C917" s="1"/>
      <c r="D917" s="1"/>
      <c r="E917" s="1"/>
      <c r="F917" s="1" t="s">
        <v>7515</v>
      </c>
      <c r="G917" s="1"/>
      <c r="H917" s="1"/>
      <c r="I917" s="1" t="s">
        <v>7516</v>
      </c>
      <c r="J917" s="1" t="s">
        <v>897</v>
      </c>
      <c r="K917" s="1"/>
      <c r="L917" s="1"/>
      <c r="M917" s="1"/>
      <c r="N917" s="1"/>
      <c r="O917" s="1"/>
      <c r="P917" s="2"/>
      <c r="Q917" s="1"/>
      <c r="R917" s="1"/>
      <c r="S917" s="1"/>
      <c r="T917" s="1"/>
      <c r="U917" s="1"/>
      <c r="V917" s="1" t="s">
        <v>7517</v>
      </c>
      <c r="W917" s="1"/>
      <c r="X917" s="1"/>
      <c r="Y917" s="1"/>
      <c r="Z917" s="1"/>
      <c r="AA917" s="1" t="s">
        <v>7518</v>
      </c>
      <c r="AB917" s="1"/>
      <c r="AC917" s="1"/>
      <c r="AD917" s="1"/>
      <c r="AE917" s="1"/>
      <c r="AF917" s="1"/>
      <c r="AG917" s="1"/>
      <c r="AH917" s="1"/>
      <c r="AI917" s="1"/>
      <c r="AJ917" s="1"/>
      <c r="AK917" s="1"/>
      <c r="AL917" s="1"/>
      <c r="AM917" s="1"/>
      <c r="AN917" s="1"/>
      <c r="AO917" s="1" t="s">
        <v>900</v>
      </c>
      <c r="AP917" s="1"/>
      <c r="AQ917" s="1"/>
      <c r="AR917" s="1"/>
      <c r="AS917" s="1"/>
      <c r="AT917" s="1" t="s">
        <v>605</v>
      </c>
      <c r="AU917" s="3">
        <v>1995</v>
      </c>
      <c r="AV917" s="3">
        <v>40</v>
      </c>
      <c r="AW917" s="3">
        <v>1</v>
      </c>
      <c r="AX917" s="2"/>
      <c r="AY917" s="2"/>
      <c r="AZ917" s="1"/>
      <c r="BA917" s="2"/>
      <c r="BB917" s="3">
        <v>3</v>
      </c>
      <c r="BC917" s="3">
        <v>16</v>
      </c>
      <c r="BD917" s="2"/>
      <c r="BE917" s="1"/>
      <c r="BF917" s="1"/>
      <c r="BG917" s="1"/>
      <c r="BH917" s="1"/>
      <c r="BI917" s="1"/>
      <c r="BJ917" s="1"/>
      <c r="BK917" s="1"/>
      <c r="BL917" s="1"/>
      <c r="BM917" s="1"/>
      <c r="BN917" s="2"/>
      <c r="BO917" s="1"/>
      <c r="BP917" s="1"/>
      <c r="BQ917" s="1"/>
      <c r="BR917" s="1"/>
      <c r="BS917" s="1" t="s">
        <v>7519</v>
      </c>
      <c r="BT917" s="5">
        <f>HYPERLINK("https%3A%2F%2Fwww.webofscience.com%2Fwos%2Fwoscc%2Ffull-record%2FWOS:A1995QV98900002","View Full Record in Web of Science")</f>
      </c>
    </row>
    <row x14ac:dyDescent="0.25" r="918" customHeight="1" ht="12.75">
      <c r="A918" s="1" t="s">
        <v>72</v>
      </c>
      <c r="B918" s="1" t="s">
        <v>7520</v>
      </c>
      <c r="C918" s="1"/>
      <c r="D918" s="1"/>
      <c r="E918" s="1"/>
      <c r="F918" s="1" t="s">
        <v>7520</v>
      </c>
      <c r="G918" s="1"/>
      <c r="H918" s="1"/>
      <c r="I918" s="1" t="s">
        <v>7521</v>
      </c>
      <c r="J918" s="1" t="s">
        <v>4666</v>
      </c>
      <c r="K918" s="1"/>
      <c r="L918" s="1"/>
      <c r="M918" s="1"/>
      <c r="N918" s="1"/>
      <c r="O918" s="1"/>
      <c r="P918" s="2"/>
      <c r="Q918" s="1"/>
      <c r="R918" s="1"/>
      <c r="S918" s="1"/>
      <c r="T918" s="1"/>
      <c r="U918" s="1"/>
      <c r="V918" s="1" t="s">
        <v>7522</v>
      </c>
      <c r="W918" s="1"/>
      <c r="X918" s="1"/>
      <c r="Y918" s="1"/>
      <c r="Z918" s="1"/>
      <c r="AA918" s="1" t="s">
        <v>905</v>
      </c>
      <c r="AB918" s="1"/>
      <c r="AC918" s="1"/>
      <c r="AD918" s="1"/>
      <c r="AE918" s="1"/>
      <c r="AF918" s="1"/>
      <c r="AG918" s="1"/>
      <c r="AH918" s="1"/>
      <c r="AI918" s="1"/>
      <c r="AJ918" s="1"/>
      <c r="AK918" s="1"/>
      <c r="AL918" s="1"/>
      <c r="AM918" s="1"/>
      <c r="AN918" s="1"/>
      <c r="AO918" s="1" t="s">
        <v>4668</v>
      </c>
      <c r="AP918" s="1"/>
      <c r="AQ918" s="1"/>
      <c r="AR918" s="1"/>
      <c r="AS918" s="1"/>
      <c r="AT918" s="1" t="s">
        <v>103</v>
      </c>
      <c r="AU918" s="3">
        <v>1994</v>
      </c>
      <c r="AV918" s="3">
        <v>59</v>
      </c>
      <c r="AW918" s="3">
        <v>1</v>
      </c>
      <c r="AX918" s="2"/>
      <c r="AY918" s="2"/>
      <c r="AZ918" s="1"/>
      <c r="BA918" s="2"/>
      <c r="BB918" s="3">
        <v>30</v>
      </c>
      <c r="BC918" s="3">
        <v>34</v>
      </c>
      <c r="BD918" s="2"/>
      <c r="BE918" s="1" t="s">
        <v>7523</v>
      </c>
      <c r="BF918" s="4">
        <f>HYPERLINK("http://dx.doi.org/10.1111/j.1751-1097.1994.tb04997.x","http://dx.doi.org/10.1111/j.1751-1097.1994.tb04997.x")</f>
      </c>
      <c r="BG918" s="1"/>
      <c r="BH918" s="1"/>
      <c r="BI918" s="1"/>
      <c r="BJ918" s="1"/>
      <c r="BK918" s="1"/>
      <c r="BL918" s="1"/>
      <c r="BM918" s="1"/>
      <c r="BN918" s="2"/>
      <c r="BO918" s="1"/>
      <c r="BP918" s="1"/>
      <c r="BQ918" s="1"/>
      <c r="BR918" s="1"/>
      <c r="BS918" s="1" t="s">
        <v>7524</v>
      </c>
      <c r="BT918" s="5">
        <f>HYPERLINK("https%3A%2F%2Fwww.webofscience.com%2Fwos%2Fwoscc%2Ffull-record%2FWOS:A1994MU72100006","View Full Record in Web of Science")</f>
      </c>
    </row>
    <row x14ac:dyDescent="0.25" r="919" customHeight="1" ht="12.75">
      <c r="A919" s="1" t="s">
        <v>72</v>
      </c>
      <c r="B919" s="1" t="s">
        <v>7525</v>
      </c>
      <c r="C919" s="1"/>
      <c r="D919" s="1"/>
      <c r="E919" s="1"/>
      <c r="F919" s="1" t="s">
        <v>7525</v>
      </c>
      <c r="G919" s="1"/>
      <c r="H919" s="1"/>
      <c r="I919" s="1" t="s">
        <v>7526</v>
      </c>
      <c r="J919" s="1" t="s">
        <v>897</v>
      </c>
      <c r="K919" s="1"/>
      <c r="L919" s="1"/>
      <c r="M919" s="1"/>
      <c r="N919" s="1"/>
      <c r="O919" s="1"/>
      <c r="P919" s="2"/>
      <c r="Q919" s="1"/>
      <c r="R919" s="1"/>
      <c r="S919" s="1"/>
      <c r="T919" s="1"/>
      <c r="U919" s="1"/>
      <c r="V919" s="1"/>
      <c r="W919" s="1"/>
      <c r="X919" s="1"/>
      <c r="Y919" s="1"/>
      <c r="Z919" s="1"/>
      <c r="AA919" s="1" t="s">
        <v>905</v>
      </c>
      <c r="AB919" s="1"/>
      <c r="AC919" s="1"/>
      <c r="AD919" s="1"/>
      <c r="AE919" s="1"/>
      <c r="AF919" s="1"/>
      <c r="AG919" s="1"/>
      <c r="AH919" s="1"/>
      <c r="AI919" s="1"/>
      <c r="AJ919" s="1"/>
      <c r="AK919" s="1"/>
      <c r="AL919" s="1"/>
      <c r="AM919" s="1"/>
      <c r="AN919" s="1"/>
      <c r="AO919" s="1" t="s">
        <v>900</v>
      </c>
      <c r="AP919" s="1"/>
      <c r="AQ919" s="1"/>
      <c r="AR919" s="1"/>
      <c r="AS919" s="1"/>
      <c r="AT919" s="1" t="s">
        <v>605</v>
      </c>
      <c r="AU919" s="3">
        <v>1990</v>
      </c>
      <c r="AV919" s="3">
        <v>35</v>
      </c>
      <c r="AW919" s="3">
        <v>1</v>
      </c>
      <c r="AX919" s="2"/>
      <c r="AY919" s="2"/>
      <c r="AZ919" s="1"/>
      <c r="BA919" s="2"/>
      <c r="BB919" s="3">
        <v>113</v>
      </c>
      <c r="BC919" s="3">
        <v>119</v>
      </c>
      <c r="BD919" s="2"/>
      <c r="BE919" s="1"/>
      <c r="BF919" s="1"/>
      <c r="BG919" s="1"/>
      <c r="BH919" s="1"/>
      <c r="BI919" s="1"/>
      <c r="BJ919" s="1"/>
      <c r="BK919" s="1"/>
      <c r="BL919" s="1"/>
      <c r="BM919" s="1"/>
      <c r="BN919" s="2"/>
      <c r="BO919" s="1"/>
      <c r="BP919" s="1"/>
      <c r="BQ919" s="1"/>
      <c r="BR919" s="1"/>
      <c r="BS919" s="1" t="s">
        <v>7527</v>
      </c>
      <c r="BT919" s="5">
        <f>HYPERLINK("https%3A%2F%2Fwww.webofscience.com%2Fwos%2Fwoscc%2Ffull-record%2FWOS:A1990CU16600018","View Full Record in Web of Science")</f>
      </c>
    </row>
    <row x14ac:dyDescent="0.25" r="920" customHeight="1" ht="12.75">
      <c r="A920" s="1" t="s">
        <v>72</v>
      </c>
      <c r="B920" s="1" t="s">
        <v>7528</v>
      </c>
      <c r="C920" s="1"/>
      <c r="D920" s="1"/>
      <c r="E920" s="1"/>
      <c r="F920" s="1" t="s">
        <v>7528</v>
      </c>
      <c r="G920" s="1"/>
      <c r="H920" s="1"/>
      <c r="I920" s="1" t="s">
        <v>7529</v>
      </c>
      <c r="J920" s="1" t="s">
        <v>3231</v>
      </c>
      <c r="K920" s="1"/>
      <c r="L920" s="1"/>
      <c r="M920" s="1"/>
      <c r="N920" s="1"/>
      <c r="O920" s="1"/>
      <c r="P920" s="2"/>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t="s">
        <v>3865</v>
      </c>
      <c r="AP920" s="1"/>
      <c r="AQ920" s="1"/>
      <c r="AR920" s="1"/>
      <c r="AS920" s="1"/>
      <c r="AT920" s="1" t="s">
        <v>169</v>
      </c>
      <c r="AU920" s="3">
        <v>1987</v>
      </c>
      <c r="AV920" s="3">
        <v>25</v>
      </c>
      <c r="AW920" s="3">
        <v>6</v>
      </c>
      <c r="AX920" s="2"/>
      <c r="AY920" s="2"/>
      <c r="AZ920" s="1"/>
      <c r="BA920" s="2"/>
      <c r="BB920" s="3">
        <v>363</v>
      </c>
      <c r="BC920" s="3">
        <v>363</v>
      </c>
      <c r="BD920" s="2"/>
      <c r="BE920" s="1"/>
      <c r="BF920" s="1"/>
      <c r="BG920" s="1"/>
      <c r="BH920" s="1"/>
      <c r="BI920" s="1"/>
      <c r="BJ920" s="1"/>
      <c r="BK920" s="1"/>
      <c r="BL920" s="1"/>
      <c r="BM920" s="1"/>
      <c r="BN920" s="2"/>
      <c r="BO920" s="1"/>
      <c r="BP920" s="1"/>
      <c r="BQ920" s="1"/>
      <c r="BR920" s="1"/>
      <c r="BS920" s="1" t="s">
        <v>7530</v>
      </c>
      <c r="BT920" s="5">
        <f>HYPERLINK("https%3A%2F%2Fwww.webofscience.com%2Fwos%2Fwoscc%2Ffull-record%2FWOS:A1987K743100094","View Full Record in Web of Science")</f>
      </c>
    </row>
    <row x14ac:dyDescent="0.25" r="921" customHeight="1" ht="12.75">
      <c r="A921" s="1" t="s">
        <v>72</v>
      </c>
      <c r="B921" s="1" t="s">
        <v>7531</v>
      </c>
      <c r="C921" s="1"/>
      <c r="D921" s="1"/>
      <c r="E921" s="1"/>
      <c r="F921" s="1" t="s">
        <v>7531</v>
      </c>
      <c r="G921" s="1"/>
      <c r="H921" s="1"/>
      <c r="I921" s="1" t="s">
        <v>7532</v>
      </c>
      <c r="J921" s="1" t="s">
        <v>7533</v>
      </c>
      <c r="K921" s="1"/>
      <c r="L921" s="1"/>
      <c r="M921" s="1"/>
      <c r="N921" s="1"/>
      <c r="O921" s="1"/>
      <c r="P921" s="2"/>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t="s">
        <v>7534</v>
      </c>
      <c r="AP921" s="1"/>
      <c r="AQ921" s="1"/>
      <c r="AR921" s="1"/>
      <c r="AS921" s="1"/>
      <c r="AT921" s="1" t="s">
        <v>605</v>
      </c>
      <c r="AU921" s="3">
        <v>1987</v>
      </c>
      <c r="AV921" s="3">
        <v>17</v>
      </c>
      <c r="AW921" s="3">
        <v>3</v>
      </c>
      <c r="AX921" s="2"/>
      <c r="AY921" s="2"/>
      <c r="AZ921" s="1"/>
      <c r="BA921" s="2"/>
      <c r="BB921" s="3">
        <v>281</v>
      </c>
      <c r="BC921" s="3">
        <v>294</v>
      </c>
      <c r="BD921" s="2"/>
      <c r="BE921" s="1" t="s">
        <v>7535</v>
      </c>
      <c r="BF921" s="4">
        <f>HYPERLINK("http://dx.doi.org/10.1016/0304-386X(87)90059-4","http://dx.doi.org/10.1016/0304-386X(87)90059-4")</f>
      </c>
      <c r="BG921" s="1"/>
      <c r="BH921" s="1"/>
      <c r="BI921" s="1"/>
      <c r="BJ921" s="1"/>
      <c r="BK921" s="1"/>
      <c r="BL921" s="1"/>
      <c r="BM921" s="1"/>
      <c r="BN921" s="2"/>
      <c r="BO921" s="1"/>
      <c r="BP921" s="1"/>
      <c r="BQ921" s="1"/>
      <c r="BR921" s="1"/>
      <c r="BS921" s="1" t="s">
        <v>7536</v>
      </c>
      <c r="BT921" s="5">
        <f>HYPERLINK("https%3A%2F%2Fwww.webofscience.com%2Fwos%2Fwoscc%2Ffull-record%2FWOS:A1987G724500002","View Full Record in Web of Science")</f>
      </c>
    </row>
    <row x14ac:dyDescent="0.25" r="922" customHeight="1" ht="12.75">
      <c r="A922" s="1" t="s">
        <v>72</v>
      </c>
      <c r="B922" s="1" t="s">
        <v>7537</v>
      </c>
      <c r="C922" s="1"/>
      <c r="D922" s="1"/>
      <c r="E922" s="1"/>
      <c r="F922" s="1" t="s">
        <v>7537</v>
      </c>
      <c r="G922" s="1"/>
      <c r="H922" s="1"/>
      <c r="I922" s="1" t="s">
        <v>7538</v>
      </c>
      <c r="J922" s="1" t="s">
        <v>4666</v>
      </c>
      <c r="K922" s="1"/>
      <c r="L922" s="1"/>
      <c r="M922" s="1"/>
      <c r="N922" s="1"/>
      <c r="O922" s="1"/>
      <c r="P922" s="2"/>
      <c r="Q922" s="1"/>
      <c r="R922" s="1"/>
      <c r="S922" s="1"/>
      <c r="T922" s="1"/>
      <c r="U922" s="1"/>
      <c r="V922" s="1" t="s">
        <v>7539</v>
      </c>
      <c r="W922" s="1"/>
      <c r="X922" s="1"/>
      <c r="Y922" s="1"/>
      <c r="Z922" s="1"/>
      <c r="AA922" s="1" t="s">
        <v>905</v>
      </c>
      <c r="AB922" s="1"/>
      <c r="AC922" s="1"/>
      <c r="AD922" s="1"/>
      <c r="AE922" s="1"/>
      <c r="AF922" s="1"/>
      <c r="AG922" s="1"/>
      <c r="AH922" s="1"/>
      <c r="AI922" s="1"/>
      <c r="AJ922" s="1"/>
      <c r="AK922" s="1"/>
      <c r="AL922" s="1"/>
      <c r="AM922" s="1"/>
      <c r="AN922" s="1"/>
      <c r="AO922" s="1" t="s">
        <v>4668</v>
      </c>
      <c r="AP922" s="1" t="s">
        <v>4669</v>
      </c>
      <c r="AQ922" s="1"/>
      <c r="AR922" s="1"/>
      <c r="AS922" s="1"/>
      <c r="AT922" s="1" t="s">
        <v>169</v>
      </c>
      <c r="AU922" s="3">
        <v>1985</v>
      </c>
      <c r="AV922" s="3">
        <v>42</v>
      </c>
      <c r="AW922" s="3">
        <v>5</v>
      </c>
      <c r="AX922" s="2"/>
      <c r="AY922" s="2"/>
      <c r="AZ922" s="1"/>
      <c r="BA922" s="2"/>
      <c r="BB922" s="3">
        <v>491</v>
      </c>
      <c r="BC922" s="3">
        <v>496</v>
      </c>
      <c r="BD922" s="2"/>
      <c r="BE922" s="1" t="s">
        <v>7540</v>
      </c>
      <c r="BF922" s="4">
        <f>HYPERLINK("http://dx.doi.org/10.1111/j.1751-1097.1985.tb01599.x","http://dx.doi.org/10.1111/j.1751-1097.1985.tb01599.x")</f>
      </c>
      <c r="BG922" s="1"/>
      <c r="BH922" s="1"/>
      <c r="BI922" s="1"/>
      <c r="BJ922" s="1"/>
      <c r="BK922" s="1"/>
      <c r="BL922" s="1"/>
      <c r="BM922" s="1"/>
      <c r="BN922" s="2"/>
      <c r="BO922" s="1"/>
      <c r="BP922" s="1"/>
      <c r="BQ922" s="1"/>
      <c r="BR922" s="1"/>
      <c r="BS922" s="1" t="s">
        <v>7541</v>
      </c>
      <c r="BT922" s="5">
        <f>HYPERLINK("https%3A%2F%2Fwww.webofscience.com%2Fwos%2Fwoscc%2Ffull-record%2FWOS:A1985AWY2700005","View Full Record in Web of Science")</f>
      </c>
    </row>
    <row x14ac:dyDescent="0.25" r="923" customHeight="1" ht="12.75">
      <c r="A923" s="1" t="s">
        <v>72</v>
      </c>
      <c r="B923" s="1" t="s">
        <v>7542</v>
      </c>
      <c r="C923" s="1"/>
      <c r="D923" s="1"/>
      <c r="E923" s="1"/>
      <c r="F923" s="1" t="s">
        <v>7542</v>
      </c>
      <c r="G923" s="1"/>
      <c r="H923" s="1"/>
      <c r="I923" s="1" t="s">
        <v>7543</v>
      </c>
      <c r="J923" s="1" t="s">
        <v>2255</v>
      </c>
      <c r="K923" s="1"/>
      <c r="L923" s="1"/>
      <c r="M923" s="1"/>
      <c r="N923" s="1"/>
      <c r="O923" s="1"/>
      <c r="P923" s="2"/>
      <c r="Q923" s="1"/>
      <c r="R923" s="1"/>
      <c r="S923" s="1"/>
      <c r="T923" s="1"/>
      <c r="U923" s="1"/>
      <c r="V923" s="1"/>
      <c r="W923" s="1"/>
      <c r="X923" s="1"/>
      <c r="Y923" s="1"/>
      <c r="Z923" s="1"/>
      <c r="AA923" s="1" t="s">
        <v>3269</v>
      </c>
      <c r="AB923" s="1"/>
      <c r="AC923" s="1"/>
      <c r="AD923" s="1"/>
      <c r="AE923" s="1"/>
      <c r="AF923" s="1"/>
      <c r="AG923" s="1"/>
      <c r="AH923" s="1"/>
      <c r="AI923" s="1"/>
      <c r="AJ923" s="1"/>
      <c r="AK923" s="1"/>
      <c r="AL923" s="1"/>
      <c r="AM923" s="1"/>
      <c r="AN923" s="1"/>
      <c r="AO923" s="1" t="s">
        <v>2259</v>
      </c>
      <c r="AP923" s="1"/>
      <c r="AQ923" s="1"/>
      <c r="AR923" s="1"/>
      <c r="AS923" s="1"/>
      <c r="AT923" s="1"/>
      <c r="AU923" s="3">
        <v>1982</v>
      </c>
      <c r="AV923" s="3">
        <v>27</v>
      </c>
      <c r="AW923" s="3">
        <v>10</v>
      </c>
      <c r="AX923" s="2"/>
      <c r="AY923" s="2"/>
      <c r="AZ923" s="1"/>
      <c r="BA923" s="2"/>
      <c r="BB923" s="3">
        <v>1373</v>
      </c>
      <c r="BC923" s="3">
        <v>1377</v>
      </c>
      <c r="BD923" s="2"/>
      <c r="BE923" s="1" t="s">
        <v>7544</v>
      </c>
      <c r="BF923" s="4">
        <f>HYPERLINK("http://dx.doi.org/10.1016/0013-4686(82)80026-1","http://dx.doi.org/10.1016/0013-4686(82)80026-1")</f>
      </c>
      <c r="BG923" s="1"/>
      <c r="BH923" s="1"/>
      <c r="BI923" s="1"/>
      <c r="BJ923" s="1"/>
      <c r="BK923" s="1"/>
      <c r="BL923" s="1"/>
      <c r="BM923" s="1"/>
      <c r="BN923" s="2"/>
      <c r="BO923" s="1"/>
      <c r="BP923" s="1"/>
      <c r="BQ923" s="1"/>
      <c r="BR923" s="1"/>
      <c r="BS923" s="1" t="s">
        <v>7545</v>
      </c>
      <c r="BT923" s="5">
        <f>HYPERLINK("https%3A%2F%2Fwww.webofscience.com%2Fwos%2Fwoscc%2Ffull-record%2FWOS:A1982PM99400004","View Full Record in Web of Science")</f>
      </c>
    </row>
    <row x14ac:dyDescent="0.25" r="924" customHeight="1" ht="12.75">
      <c r="A924" s="1" t="s">
        <v>72</v>
      </c>
      <c r="B924" s="1" t="s">
        <v>7546</v>
      </c>
      <c r="C924" s="1"/>
      <c r="D924" s="1"/>
      <c r="E924" s="1"/>
      <c r="F924" s="1" t="s">
        <v>7546</v>
      </c>
      <c r="G924" s="1"/>
      <c r="H924" s="1"/>
      <c r="I924" s="1" t="s">
        <v>7547</v>
      </c>
      <c r="J924" s="1" t="s">
        <v>1474</v>
      </c>
      <c r="K924" s="1"/>
      <c r="L924" s="1"/>
      <c r="M924" s="1"/>
      <c r="N924" s="1"/>
      <c r="O924" s="1"/>
      <c r="P924" s="2"/>
      <c r="Q924" s="1"/>
      <c r="R924" s="1"/>
      <c r="S924" s="1"/>
      <c r="T924" s="1"/>
      <c r="U924" s="1"/>
      <c r="V924" s="1"/>
      <c r="W924" s="1"/>
      <c r="X924" s="1"/>
      <c r="Y924" s="1"/>
      <c r="Z924" s="1"/>
      <c r="AA924" s="1" t="s">
        <v>7548</v>
      </c>
      <c r="AB924" s="1"/>
      <c r="AC924" s="1"/>
      <c r="AD924" s="1"/>
      <c r="AE924" s="1"/>
      <c r="AF924" s="1"/>
      <c r="AG924" s="1"/>
      <c r="AH924" s="1"/>
      <c r="AI924" s="1"/>
      <c r="AJ924" s="1"/>
      <c r="AK924" s="1"/>
      <c r="AL924" s="1"/>
      <c r="AM924" s="1"/>
      <c r="AN924" s="1"/>
      <c r="AO924" s="1" t="s">
        <v>4621</v>
      </c>
      <c r="AP924" s="1"/>
      <c r="AQ924" s="1"/>
      <c r="AR924" s="1"/>
      <c r="AS924" s="1"/>
      <c r="AT924" s="1"/>
      <c r="AU924" s="3">
        <v>1982</v>
      </c>
      <c r="AV924" s="3">
        <v>135</v>
      </c>
      <c r="AW924" s="3">
        <v>2</v>
      </c>
      <c r="AX924" s="2"/>
      <c r="AY924" s="2"/>
      <c r="AZ924" s="1"/>
      <c r="BA924" s="2"/>
      <c r="BB924" s="3">
        <v>343</v>
      </c>
      <c r="BC924" s="3">
        <v>347</v>
      </c>
      <c r="BD924" s="2"/>
      <c r="BE924" s="1" t="s">
        <v>7549</v>
      </c>
      <c r="BF924" s="4">
        <f>HYPERLINK("http://dx.doi.org/10.1016/0368-1874(82)85133-2","http://dx.doi.org/10.1016/0368-1874(82)85133-2")</f>
      </c>
      <c r="BG924" s="1"/>
      <c r="BH924" s="1"/>
      <c r="BI924" s="1"/>
      <c r="BJ924" s="1"/>
      <c r="BK924" s="1"/>
      <c r="BL924" s="1"/>
      <c r="BM924" s="1"/>
      <c r="BN924" s="2"/>
      <c r="BO924" s="1"/>
      <c r="BP924" s="1"/>
      <c r="BQ924" s="1"/>
      <c r="BR924" s="1"/>
      <c r="BS924" s="1" t="s">
        <v>7550</v>
      </c>
      <c r="BT924" s="5">
        <f>HYPERLINK("https%3A%2F%2Fwww.webofscience.com%2Fwos%2Fwoscc%2Ffull-record%2FWOS:A1982NR39400015","View Full Record in Web of Science")</f>
      </c>
    </row>
    <row x14ac:dyDescent="0.25" r="925" customHeight="1" ht="12.75">
      <c r="A925" s="1" t="s">
        <v>72</v>
      </c>
      <c r="B925" s="1" t="s">
        <v>5462</v>
      </c>
      <c r="C925" s="1"/>
      <c r="D925" s="1"/>
      <c r="E925" s="1"/>
      <c r="F925" s="1" t="s">
        <v>5462</v>
      </c>
      <c r="G925" s="1"/>
      <c r="H925" s="1"/>
      <c r="I925" s="1" t="s">
        <v>7551</v>
      </c>
      <c r="J925" s="1" t="s">
        <v>5459</v>
      </c>
      <c r="K925" s="1"/>
      <c r="L925" s="1"/>
      <c r="M925" s="1"/>
      <c r="N925" s="1"/>
      <c r="O925" s="1"/>
      <c r="P925" s="2"/>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t="s">
        <v>5460</v>
      </c>
      <c r="AP925" s="1"/>
      <c r="AQ925" s="1"/>
      <c r="AR925" s="1"/>
      <c r="AS925" s="1"/>
      <c r="AT925" s="1"/>
      <c r="AU925" s="3">
        <v>1981</v>
      </c>
      <c r="AV925" s="3">
        <v>15</v>
      </c>
      <c r="AW925" s="3">
        <v>3</v>
      </c>
      <c r="AX925" s="2"/>
      <c r="AY925" s="2"/>
      <c r="AZ925" s="1"/>
      <c r="BA925" s="2"/>
      <c r="BB925" s="3">
        <v>177</v>
      </c>
      <c r="BC925" s="3">
        <v>183</v>
      </c>
      <c r="BD925" s="2"/>
      <c r="BE925" s="1" t="s">
        <v>7552</v>
      </c>
      <c r="BF925" s="4">
        <f>HYPERLINK("http://dx.doi.org/10.1016/0047-2670(81)87001-3","http://dx.doi.org/10.1016/0047-2670(81)87001-3")</f>
      </c>
      <c r="BG925" s="1"/>
      <c r="BH925" s="1"/>
      <c r="BI925" s="1"/>
      <c r="BJ925" s="1"/>
      <c r="BK925" s="1"/>
      <c r="BL925" s="1"/>
      <c r="BM925" s="1"/>
      <c r="BN925" s="2"/>
      <c r="BO925" s="1"/>
      <c r="BP925" s="1"/>
      <c r="BQ925" s="1"/>
      <c r="BR925" s="1"/>
      <c r="BS925" s="1" t="s">
        <v>7553</v>
      </c>
      <c r="BT925" s="5">
        <f>HYPERLINK("https%3A%2F%2Fwww.webofscience.com%2Fwos%2Fwoscc%2Ffull-record%2FWOS:A1981LH55600001","View Full Record in Web of Science")</f>
      </c>
    </row>
    <row x14ac:dyDescent="0.25" r="926" customHeight="1" ht="12.75">
      <c r="A926" s="1" t="s">
        <v>72</v>
      </c>
      <c r="B926" s="1" t="s">
        <v>5457</v>
      </c>
      <c r="C926" s="1"/>
      <c r="D926" s="1"/>
      <c r="E926" s="1"/>
      <c r="F926" s="1" t="s">
        <v>5457</v>
      </c>
      <c r="G926" s="1"/>
      <c r="H926" s="1"/>
      <c r="I926" s="1" t="s">
        <v>7554</v>
      </c>
      <c r="J926" s="1" t="s">
        <v>1780</v>
      </c>
      <c r="K926" s="1"/>
      <c r="L926" s="1"/>
      <c r="M926" s="1"/>
      <c r="N926" s="1"/>
      <c r="O926" s="1"/>
      <c r="P926" s="2"/>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t="s">
        <v>1781</v>
      </c>
      <c r="AP926" s="1"/>
      <c r="AQ926" s="1"/>
      <c r="AR926" s="1"/>
      <c r="AS926" s="1"/>
      <c r="AT926" s="1"/>
      <c r="AU926" s="3">
        <v>1979</v>
      </c>
      <c r="AV926" s="2" t="s">
        <v>7555</v>
      </c>
      <c r="AW926" s="3">
        <v>8</v>
      </c>
      <c r="AX926" s="2"/>
      <c r="AY926" s="2"/>
      <c r="AZ926" s="1"/>
      <c r="BA926" s="2"/>
      <c r="BB926" s="3">
        <v>1147</v>
      </c>
      <c r="BC926" s="3">
        <v>1155</v>
      </c>
      <c r="BD926" s="2"/>
      <c r="BE926" s="1" t="s">
        <v>7556</v>
      </c>
      <c r="BF926" s="4">
        <f>HYPERLINK("http://dx.doi.org/10.1080/00222337908056706","http://dx.doi.org/10.1080/00222337908056706")</f>
      </c>
      <c r="BG926" s="1"/>
      <c r="BH926" s="1"/>
      <c r="BI926" s="1"/>
      <c r="BJ926" s="1"/>
      <c r="BK926" s="1"/>
      <c r="BL926" s="1"/>
      <c r="BM926" s="1"/>
      <c r="BN926" s="2"/>
      <c r="BO926" s="1"/>
      <c r="BP926" s="1"/>
      <c r="BQ926" s="1"/>
      <c r="BR926" s="1"/>
      <c r="BS926" s="1" t="s">
        <v>7557</v>
      </c>
      <c r="BT926" s="5">
        <f>HYPERLINK("https%3A%2F%2Fwww.webofscience.com%2Fwos%2Fwoscc%2Ffull-record%2FWOS:A1979JL48300008","View Full Record in Web of Science")</f>
      </c>
    </row>
    <row x14ac:dyDescent="0.25" r="927" customHeight="1" ht="12.75">
      <c r="A927" s="1" t="s">
        <v>72</v>
      </c>
      <c r="B927" s="1" t="s">
        <v>5462</v>
      </c>
      <c r="C927" s="1"/>
      <c r="D927" s="1"/>
      <c r="E927" s="1"/>
      <c r="F927" s="1" t="s">
        <v>5462</v>
      </c>
      <c r="G927" s="1"/>
      <c r="H927" s="1"/>
      <c r="I927" s="1" t="s">
        <v>7558</v>
      </c>
      <c r="J927" s="1" t="s">
        <v>1774</v>
      </c>
      <c r="K927" s="1"/>
      <c r="L927" s="1"/>
      <c r="M927" s="1"/>
      <c r="N927" s="1"/>
      <c r="O927" s="1"/>
      <c r="P927" s="2"/>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t="s">
        <v>1775</v>
      </c>
      <c r="AP927" s="1"/>
      <c r="AQ927" s="1"/>
      <c r="AR927" s="1"/>
      <c r="AS927" s="1"/>
      <c r="AT927" s="1"/>
      <c r="AU927" s="3">
        <v>1978</v>
      </c>
      <c r="AV927" s="3">
        <v>10</v>
      </c>
      <c r="AW927" s="3">
        <v>6</v>
      </c>
      <c r="AX927" s="2"/>
      <c r="AY927" s="2"/>
      <c r="AZ927" s="1"/>
      <c r="BA927" s="2"/>
      <c r="BB927" s="3">
        <v>653</v>
      </c>
      <c r="BC927" s="3">
        <v>656</v>
      </c>
      <c r="BD927" s="2"/>
      <c r="BE927" s="1" t="s">
        <v>7559</v>
      </c>
      <c r="BF927" s="4">
        <f>HYPERLINK("http://dx.doi.org/10.1002/kin.550100611","http://dx.doi.org/10.1002/kin.550100611")</f>
      </c>
      <c r="BG927" s="1"/>
      <c r="BH927" s="1"/>
      <c r="BI927" s="1"/>
      <c r="BJ927" s="1"/>
      <c r="BK927" s="1"/>
      <c r="BL927" s="1"/>
      <c r="BM927" s="1"/>
      <c r="BN927" s="2"/>
      <c r="BO927" s="1"/>
      <c r="BP927" s="1"/>
      <c r="BQ927" s="1"/>
      <c r="BR927" s="1"/>
      <c r="BS927" s="1" t="s">
        <v>7560</v>
      </c>
      <c r="BT927" s="5">
        <f>HYPERLINK("https%3A%2F%2Fwww.webofscience.com%2Fwos%2Fwoscc%2Ffull-record%2FWOS:A1978FM10500010","View Full Record in Web of Science")</f>
      </c>
    </row>
    <row x14ac:dyDescent="0.25" r="928" customHeight="1" ht="12.75">
      <c r="A928" s="1" t="s">
        <v>72</v>
      </c>
      <c r="B928" s="1" t="s">
        <v>7561</v>
      </c>
      <c r="C928" s="1"/>
      <c r="D928" s="1"/>
      <c r="E928" s="1"/>
      <c r="F928" s="1" t="s">
        <v>7561</v>
      </c>
      <c r="G928" s="1"/>
      <c r="H928" s="1"/>
      <c r="I928" s="1" t="s">
        <v>7562</v>
      </c>
      <c r="J928" s="1" t="s">
        <v>7563</v>
      </c>
      <c r="K928" s="1"/>
      <c r="L928" s="1"/>
      <c r="M928" s="1"/>
      <c r="N928" s="1"/>
      <c r="O928" s="1"/>
      <c r="P928" s="2"/>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t="s">
        <v>7564</v>
      </c>
      <c r="AP928" s="1"/>
      <c r="AQ928" s="1"/>
      <c r="AR928" s="1"/>
      <c r="AS928" s="1"/>
      <c r="AT928" s="1"/>
      <c r="AU928" s="3">
        <v>1975</v>
      </c>
      <c r="AV928" s="3">
        <v>63</v>
      </c>
      <c r="AW928" s="2" t="s">
        <v>3830</v>
      </c>
      <c r="AX928" s="2"/>
      <c r="AY928" s="2"/>
      <c r="AZ928" s="1"/>
      <c r="BA928" s="2"/>
      <c r="BB928" s="3">
        <v>141</v>
      </c>
      <c r="BC928" s="3">
        <v>146</v>
      </c>
      <c r="BD928" s="2"/>
      <c r="BE928" s="1"/>
      <c r="BF928" s="1"/>
      <c r="BG928" s="1"/>
      <c r="BH928" s="1"/>
      <c r="BI928" s="1"/>
      <c r="BJ928" s="1"/>
      <c r="BK928" s="1"/>
      <c r="BL928" s="1"/>
      <c r="BM928" s="1"/>
      <c r="BN928" s="2"/>
      <c r="BO928" s="1"/>
      <c r="BP928" s="1"/>
      <c r="BQ928" s="1"/>
      <c r="BR928" s="1"/>
      <c r="BS928" s="1" t="s">
        <v>7565</v>
      </c>
      <c r="BT928" s="5">
        <f>HYPERLINK("https%3A%2F%2Fwww.webofscience.com%2Fwos%2Fwoscc%2Ffull-record%2FWOS:A1975CA02200001","View Full Record in Web of Science")</f>
      </c>
    </row>
    <row x14ac:dyDescent="0.25" r="929" customHeight="1" ht="12.75">
      <c r="A929" s="1" t="s">
        <v>72</v>
      </c>
      <c r="B929" s="1" t="s">
        <v>7566</v>
      </c>
      <c r="C929" s="1"/>
      <c r="D929" s="1"/>
      <c r="E929" s="1"/>
      <c r="F929" s="1" t="s">
        <v>7567</v>
      </c>
      <c r="G929" s="1"/>
      <c r="H929" s="1"/>
      <c r="I929" s="1" t="s">
        <v>7568</v>
      </c>
      <c r="J929" s="1" t="s">
        <v>7569</v>
      </c>
      <c r="K929" s="1"/>
      <c r="L929" s="1"/>
      <c r="M929" s="1"/>
      <c r="N929" s="1"/>
      <c r="O929" s="1"/>
      <c r="P929" s="2"/>
      <c r="Q929" s="1"/>
      <c r="R929" s="1"/>
      <c r="S929" s="1"/>
      <c r="T929" s="1"/>
      <c r="U929" s="1"/>
      <c r="V929" s="1" t="s">
        <v>7570</v>
      </c>
      <c r="W929" s="1"/>
      <c r="X929" s="1"/>
      <c r="Y929" s="1"/>
      <c r="Z929" s="1"/>
      <c r="AA929" s="1" t="s">
        <v>7571</v>
      </c>
      <c r="AB929" s="1" t="s">
        <v>7572</v>
      </c>
      <c r="AC929" s="1"/>
      <c r="AD929" s="1"/>
      <c r="AE929" s="1"/>
      <c r="AF929" s="1"/>
      <c r="AG929" s="1"/>
      <c r="AH929" s="1"/>
      <c r="AI929" s="1"/>
      <c r="AJ929" s="1"/>
      <c r="AK929" s="1"/>
      <c r="AL929" s="1"/>
      <c r="AM929" s="1"/>
      <c r="AN929" s="1"/>
      <c r="AO929" s="1" t="s">
        <v>7573</v>
      </c>
      <c r="AP929" s="1" t="s">
        <v>7574</v>
      </c>
      <c r="AQ929" s="1"/>
      <c r="AR929" s="1"/>
      <c r="AS929" s="1"/>
      <c r="AT929" s="1" t="s">
        <v>7575</v>
      </c>
      <c r="AU929" s="3">
        <v>2024</v>
      </c>
      <c r="AV929" s="2"/>
      <c r="AW929" s="2"/>
      <c r="AX929" s="2"/>
      <c r="AY929" s="2"/>
      <c r="AZ929" s="1"/>
      <c r="BA929" s="2"/>
      <c r="BB929" s="2"/>
      <c r="BC929" s="2"/>
      <c r="BD929" s="2"/>
      <c r="BE929" s="1" t="s">
        <v>7576</v>
      </c>
      <c r="BF929" s="4">
        <f>HYPERLINK("http://dx.doi.org/10.1007/s42461-024-01122-y","http://dx.doi.org/10.1007/s42461-024-01122-y")</f>
      </c>
      <c r="BG929" s="1"/>
      <c r="BH929" s="1" t="s">
        <v>7577</v>
      </c>
      <c r="BI929" s="1"/>
      <c r="BJ929" s="1"/>
      <c r="BK929" s="1"/>
      <c r="BL929" s="1"/>
      <c r="BM929" s="1"/>
      <c r="BN929" s="2"/>
      <c r="BO929" s="1"/>
      <c r="BP929" s="1"/>
      <c r="BQ929" s="1"/>
      <c r="BR929" s="1"/>
      <c r="BS929" s="1" t="s">
        <v>7578</v>
      </c>
      <c r="BT929" s="5">
        <f>HYPERLINK("https%3A%2F%2Fwww.webofscience.com%2Fwos%2Fwoscc%2Ffull-record%2FWOS:001336250700001","View Full Record in Web of Science")</f>
      </c>
    </row>
    <row x14ac:dyDescent="0.25" r="930" customHeight="1" ht="12.75">
      <c r="A930" s="1" t="s">
        <v>72</v>
      </c>
      <c r="B930" s="1" t="s">
        <v>2208</v>
      </c>
      <c r="C930" s="1"/>
      <c r="D930" s="1"/>
      <c r="E930" s="1"/>
      <c r="F930" s="1" t="s">
        <v>2209</v>
      </c>
      <c r="G930" s="1"/>
      <c r="H930" s="1"/>
      <c r="I930" s="1" t="s">
        <v>7579</v>
      </c>
      <c r="J930" s="1" t="s">
        <v>7580</v>
      </c>
      <c r="K930" s="1"/>
      <c r="L930" s="1"/>
      <c r="M930" s="1"/>
      <c r="N930" s="1"/>
      <c r="O930" s="1"/>
      <c r="P930" s="2"/>
      <c r="Q930" s="1"/>
      <c r="R930" s="1"/>
      <c r="S930" s="1"/>
      <c r="T930" s="1"/>
      <c r="U930" s="1"/>
      <c r="V930" s="1" t="s">
        <v>7581</v>
      </c>
      <c r="W930" s="1"/>
      <c r="X930" s="1"/>
      <c r="Y930" s="1"/>
      <c r="Z930" s="1"/>
      <c r="AA930" s="1"/>
      <c r="AB930" s="1"/>
      <c r="AC930" s="1"/>
      <c r="AD930" s="1"/>
      <c r="AE930" s="1"/>
      <c r="AF930" s="1"/>
      <c r="AG930" s="1"/>
      <c r="AH930" s="1"/>
      <c r="AI930" s="1"/>
      <c r="AJ930" s="1"/>
      <c r="AK930" s="1"/>
      <c r="AL930" s="1"/>
      <c r="AM930" s="1"/>
      <c r="AN930" s="1"/>
      <c r="AO930" s="1" t="s">
        <v>7582</v>
      </c>
      <c r="AP930" s="1" t="s">
        <v>7583</v>
      </c>
      <c r="AQ930" s="1"/>
      <c r="AR930" s="1"/>
      <c r="AS930" s="1"/>
      <c r="AT930" s="1" t="s">
        <v>3654</v>
      </c>
      <c r="AU930" s="3">
        <v>2024</v>
      </c>
      <c r="AV930" s="3">
        <v>29</v>
      </c>
      <c r="AW930" s="3">
        <v>65</v>
      </c>
      <c r="AX930" s="2"/>
      <c r="AY930" s="2"/>
      <c r="AZ930" s="1"/>
      <c r="BA930" s="2"/>
      <c r="BB930" s="2"/>
      <c r="BC930" s="2"/>
      <c r="BD930" s="2" t="s">
        <v>7584</v>
      </c>
      <c r="BE930" s="1" t="s">
        <v>7585</v>
      </c>
      <c r="BF930" s="4">
        <f>HYPERLINK("http://dx.doi.org/10.22409/gragoata.v29i65.64850.es","http://dx.doi.org/10.22409/gragoata.v29i65.64850.es")</f>
      </c>
      <c r="BG930" s="1"/>
      <c r="BH930" s="1"/>
      <c r="BI930" s="1"/>
      <c r="BJ930" s="1"/>
      <c r="BK930" s="1"/>
      <c r="BL930" s="1"/>
      <c r="BM930" s="1"/>
      <c r="BN930" s="2"/>
      <c r="BO930" s="1"/>
      <c r="BP930" s="1"/>
      <c r="BQ930" s="1"/>
      <c r="BR930" s="1"/>
      <c r="BS930" s="1" t="s">
        <v>7586</v>
      </c>
      <c r="BT930" s="5">
        <f>HYPERLINK("https%3A%2F%2Fwww.webofscience.com%2Fwos%2Fwoscc%2Ffull-record%2FWOS:001383080200010","View Full Record in Web of Science")</f>
      </c>
    </row>
    <row x14ac:dyDescent="0.25" r="931" customHeight="1" ht="12.75">
      <c r="A931" s="1" t="s">
        <v>72</v>
      </c>
      <c r="B931" s="1" t="s">
        <v>7587</v>
      </c>
      <c r="C931" s="1"/>
      <c r="D931" s="1"/>
      <c r="E931" s="1"/>
      <c r="F931" s="1" t="s">
        <v>7588</v>
      </c>
      <c r="G931" s="1"/>
      <c r="H931" s="1"/>
      <c r="I931" s="1" t="s">
        <v>7589</v>
      </c>
      <c r="J931" s="1" t="s">
        <v>7590</v>
      </c>
      <c r="K931" s="1"/>
      <c r="L931" s="1"/>
      <c r="M931" s="1"/>
      <c r="N931" s="1"/>
      <c r="O931" s="1"/>
      <c r="P931" s="2"/>
      <c r="Q931" s="1"/>
      <c r="R931" s="1"/>
      <c r="S931" s="1"/>
      <c r="T931" s="1"/>
      <c r="U931" s="1"/>
      <c r="V931" s="1" t="s">
        <v>7591</v>
      </c>
      <c r="W931" s="1"/>
      <c r="X931" s="1"/>
      <c r="Y931" s="1"/>
      <c r="Z931" s="1"/>
      <c r="AA931" s="1" t="s">
        <v>7592</v>
      </c>
      <c r="AB931" s="1" t="s">
        <v>7593</v>
      </c>
      <c r="AC931" s="1"/>
      <c r="AD931" s="1"/>
      <c r="AE931" s="1"/>
      <c r="AF931" s="1"/>
      <c r="AG931" s="1"/>
      <c r="AH931" s="1"/>
      <c r="AI931" s="1"/>
      <c r="AJ931" s="1"/>
      <c r="AK931" s="1"/>
      <c r="AL931" s="1"/>
      <c r="AM931" s="1"/>
      <c r="AN931" s="1"/>
      <c r="AO931" s="1" t="s">
        <v>7594</v>
      </c>
      <c r="AP931" s="1" t="s">
        <v>7595</v>
      </c>
      <c r="AQ931" s="1"/>
      <c r="AR931" s="1"/>
      <c r="AS931" s="1"/>
      <c r="AT931" s="1" t="s">
        <v>3829</v>
      </c>
      <c r="AU931" s="3">
        <v>2024</v>
      </c>
      <c r="AV931" s="3">
        <v>99</v>
      </c>
      <c r="AW931" s="3">
        <v>9</v>
      </c>
      <c r="AX931" s="2"/>
      <c r="AY931" s="2"/>
      <c r="AZ931" s="1"/>
      <c r="BA931" s="2"/>
      <c r="BB931" s="2"/>
      <c r="BC931" s="2"/>
      <c r="BD931" s="3">
        <v>95105</v>
      </c>
      <c r="BE931" s="1" t="s">
        <v>7596</v>
      </c>
      <c r="BF931" s="4">
        <f>HYPERLINK("http://dx.doi.org/10.1088/1402-4896/ad624a","http://dx.doi.org/10.1088/1402-4896/ad624a")</f>
      </c>
      <c r="BG931" s="1"/>
      <c r="BH931" s="1"/>
      <c r="BI931" s="1"/>
      <c r="BJ931" s="1"/>
      <c r="BK931" s="1"/>
      <c r="BL931" s="1"/>
      <c r="BM931" s="1"/>
      <c r="BN931" s="2"/>
      <c r="BO931" s="1"/>
      <c r="BP931" s="1"/>
      <c r="BQ931" s="1"/>
      <c r="BR931" s="1"/>
      <c r="BS931" s="1" t="s">
        <v>7597</v>
      </c>
      <c r="BT931" s="5">
        <f>HYPERLINK("https%3A%2F%2Fwww.webofscience.com%2Fwos%2Fwoscc%2Ffull-record%2FWOS:001283696400001","View Full Record in Web of Science")</f>
      </c>
    </row>
    <row x14ac:dyDescent="0.25" r="932" customHeight="1" ht="12.75">
      <c r="A932" s="1" t="s">
        <v>72</v>
      </c>
      <c r="B932" s="1" t="s">
        <v>7598</v>
      </c>
      <c r="C932" s="1"/>
      <c r="D932" s="1"/>
      <c r="E932" s="1"/>
      <c r="F932" s="1" t="s">
        <v>7599</v>
      </c>
      <c r="G932" s="1"/>
      <c r="H932" s="1"/>
      <c r="I932" s="1" t="s">
        <v>7600</v>
      </c>
      <c r="J932" s="1" t="s">
        <v>358</v>
      </c>
      <c r="K932" s="1"/>
      <c r="L932" s="1"/>
      <c r="M932" s="1"/>
      <c r="N932" s="1"/>
      <c r="O932" s="1"/>
      <c r="P932" s="2"/>
      <c r="Q932" s="1"/>
      <c r="R932" s="1"/>
      <c r="S932" s="1"/>
      <c r="T932" s="1"/>
      <c r="U932" s="1"/>
      <c r="V932" s="1" t="s">
        <v>7601</v>
      </c>
      <c r="W932" s="1"/>
      <c r="X932" s="1"/>
      <c r="Y932" s="1"/>
      <c r="Z932" s="1"/>
      <c r="AA932" s="1"/>
      <c r="AB932" s="1"/>
      <c r="AC932" s="1"/>
      <c r="AD932" s="1"/>
      <c r="AE932" s="1"/>
      <c r="AF932" s="1"/>
      <c r="AG932" s="1"/>
      <c r="AH932" s="1"/>
      <c r="AI932" s="1"/>
      <c r="AJ932" s="1"/>
      <c r="AK932" s="1"/>
      <c r="AL932" s="1"/>
      <c r="AM932" s="1"/>
      <c r="AN932" s="1"/>
      <c r="AO932" s="1" t="s">
        <v>359</v>
      </c>
      <c r="AP932" s="1"/>
      <c r="AQ932" s="1"/>
      <c r="AR932" s="1"/>
      <c r="AS932" s="1"/>
      <c r="AT932" s="1" t="s">
        <v>158</v>
      </c>
      <c r="AU932" s="3">
        <v>2024</v>
      </c>
      <c r="AV932" s="3">
        <v>57</v>
      </c>
      <c r="AW932" s="3">
        <v>2</v>
      </c>
      <c r="AX932" s="2"/>
      <c r="AY932" s="2"/>
      <c r="AZ932" s="1"/>
      <c r="BA932" s="2"/>
      <c r="BB932" s="3">
        <v>341</v>
      </c>
      <c r="BC932" s="3">
        <v>380</v>
      </c>
      <c r="BD932" s="2"/>
      <c r="BE932" s="1"/>
      <c r="BF932" s="1"/>
      <c r="BG932" s="1"/>
      <c r="BH932" s="1"/>
      <c r="BI932" s="1"/>
      <c r="BJ932" s="1"/>
      <c r="BK932" s="1"/>
      <c r="BL932" s="1"/>
      <c r="BM932" s="1"/>
      <c r="BN932" s="2"/>
      <c r="BO932" s="1"/>
      <c r="BP932" s="1"/>
      <c r="BQ932" s="1"/>
      <c r="BR932" s="1"/>
      <c r="BS932" s="1" t="s">
        <v>7602</v>
      </c>
      <c r="BT932" s="5">
        <f>HYPERLINK("https%3A%2F%2Fwww.webofscience.com%2Fwos%2Fwoscc%2Ffull-record%2FWOS:001465406100010","View Full Record in Web of Science")</f>
      </c>
    </row>
    <row x14ac:dyDescent="0.25" r="933" customHeight="1" ht="12.75">
      <c r="A933" s="1" t="s">
        <v>72</v>
      </c>
      <c r="B933" s="1" t="s">
        <v>7603</v>
      </c>
      <c r="C933" s="1"/>
      <c r="D933" s="1"/>
      <c r="E933" s="1"/>
      <c r="F933" s="1" t="s">
        <v>7604</v>
      </c>
      <c r="G933" s="1"/>
      <c r="H933" s="1"/>
      <c r="I933" s="1" t="s">
        <v>7605</v>
      </c>
      <c r="J933" s="1" t="s">
        <v>7606</v>
      </c>
      <c r="K933" s="1"/>
      <c r="L933" s="1"/>
      <c r="M933" s="1"/>
      <c r="N933" s="1"/>
      <c r="O933" s="1"/>
      <c r="P933" s="2"/>
      <c r="Q933" s="1"/>
      <c r="R933" s="1"/>
      <c r="S933" s="1"/>
      <c r="T933" s="1"/>
      <c r="U933" s="1"/>
      <c r="V933" s="1" t="s">
        <v>7607</v>
      </c>
      <c r="W933" s="1"/>
      <c r="X933" s="1"/>
      <c r="Y933" s="1"/>
      <c r="Z933" s="1"/>
      <c r="AA933" s="1" t="s">
        <v>7608</v>
      </c>
      <c r="AB933" s="1"/>
      <c r="AC933" s="1"/>
      <c r="AD933" s="1"/>
      <c r="AE933" s="1"/>
      <c r="AF933" s="1"/>
      <c r="AG933" s="1"/>
      <c r="AH933" s="1"/>
      <c r="AI933" s="1"/>
      <c r="AJ933" s="1"/>
      <c r="AK933" s="1"/>
      <c r="AL933" s="1"/>
      <c r="AM933" s="1"/>
      <c r="AN933" s="1"/>
      <c r="AO933" s="1" t="s">
        <v>7609</v>
      </c>
      <c r="AP933" s="1" t="s">
        <v>7610</v>
      </c>
      <c r="AQ933" s="1"/>
      <c r="AR933" s="1"/>
      <c r="AS933" s="1"/>
      <c r="AT933" s="1" t="s">
        <v>7611</v>
      </c>
      <c r="AU933" s="3">
        <v>2024</v>
      </c>
      <c r="AV933" s="3">
        <v>384</v>
      </c>
      <c r="AW933" s="3">
        <v>6700</v>
      </c>
      <c r="AX933" s="2"/>
      <c r="AY933" s="2"/>
      <c r="AZ933" s="1"/>
      <c r="BA933" s="2"/>
      <c r="BB933" s="3">
        <v>1064</v>
      </c>
      <c r="BC933" s="3">
        <v>1065</v>
      </c>
      <c r="BD933" s="2"/>
      <c r="BE933" s="1" t="s">
        <v>7612</v>
      </c>
      <c r="BF933" s="4">
        <f>HYPERLINK("http://dx.doi.org/10.1126/science.adn9351","http://dx.doi.org/10.1126/science.adn9351")</f>
      </c>
      <c r="BG933" s="1"/>
      <c r="BH933" s="1"/>
      <c r="BI933" s="1"/>
      <c r="BJ933" s="1"/>
      <c r="BK933" s="1"/>
      <c r="BL933" s="1"/>
      <c r="BM933" s="1"/>
      <c r="BN933" s="3">
        <v>38843349</v>
      </c>
      <c r="BO933" s="1"/>
      <c r="BP933" s="1"/>
      <c r="BQ933" s="1"/>
      <c r="BR933" s="1"/>
      <c r="BS933" s="1" t="s">
        <v>7613</v>
      </c>
      <c r="BT933" s="5">
        <f>HYPERLINK("https%3A%2F%2Fwww.webofscience.com%2Fwos%2Fwoscc%2Ffull-record%2FWOS:001253276700007","View Full Record in Web of Science")</f>
      </c>
    </row>
    <row x14ac:dyDescent="0.25" r="934" customHeight="1" ht="12.75">
      <c r="A934" s="1" t="s">
        <v>72</v>
      </c>
      <c r="B934" s="1" t="s">
        <v>7614</v>
      </c>
      <c r="C934" s="1"/>
      <c r="D934" s="1"/>
      <c r="E934" s="1"/>
      <c r="F934" s="1" t="s">
        <v>7615</v>
      </c>
      <c r="G934" s="1"/>
      <c r="H934" s="1"/>
      <c r="I934" s="1" t="s">
        <v>7616</v>
      </c>
      <c r="J934" s="1" t="s">
        <v>940</v>
      </c>
      <c r="K934" s="1"/>
      <c r="L934" s="1"/>
      <c r="M934" s="1"/>
      <c r="N934" s="1"/>
      <c r="O934" s="1"/>
      <c r="P934" s="2"/>
      <c r="Q934" s="1"/>
      <c r="R934" s="1"/>
      <c r="S934" s="1"/>
      <c r="T934" s="1"/>
      <c r="U934" s="1"/>
      <c r="V934" s="1" t="s">
        <v>7617</v>
      </c>
      <c r="W934" s="1"/>
      <c r="X934" s="1"/>
      <c r="Y934" s="1"/>
      <c r="Z934" s="1"/>
      <c r="AA934" s="1" t="s">
        <v>7618</v>
      </c>
      <c r="AB934" s="1" t="s">
        <v>1152</v>
      </c>
      <c r="AC934" s="1"/>
      <c r="AD934" s="1"/>
      <c r="AE934" s="1"/>
      <c r="AF934" s="1"/>
      <c r="AG934" s="1"/>
      <c r="AH934" s="1"/>
      <c r="AI934" s="1"/>
      <c r="AJ934" s="1"/>
      <c r="AK934" s="1"/>
      <c r="AL934" s="1"/>
      <c r="AM934" s="1"/>
      <c r="AN934" s="1"/>
      <c r="AO934" s="1"/>
      <c r="AP934" s="1" t="s">
        <v>942</v>
      </c>
      <c r="AQ934" s="1"/>
      <c r="AR934" s="1"/>
      <c r="AS934" s="1"/>
      <c r="AT934" s="1" t="s">
        <v>757</v>
      </c>
      <c r="AU934" s="3">
        <v>2024</v>
      </c>
      <c r="AV934" s="3">
        <v>14</v>
      </c>
      <c r="AW934" s="3">
        <v>12</v>
      </c>
      <c r="AX934" s="2"/>
      <c r="AY934" s="2"/>
      <c r="AZ934" s="1"/>
      <c r="BA934" s="2"/>
      <c r="BB934" s="2"/>
      <c r="BC934" s="2"/>
      <c r="BD934" s="3">
        <v>5011</v>
      </c>
      <c r="BE934" s="1" t="s">
        <v>7619</v>
      </c>
      <c r="BF934" s="4">
        <f>HYPERLINK("http://dx.doi.org/10.3390/app14125011","http://dx.doi.org/10.3390/app14125011")</f>
      </c>
      <c r="BG934" s="1"/>
      <c r="BH934" s="1"/>
      <c r="BI934" s="1"/>
      <c r="BJ934" s="1"/>
      <c r="BK934" s="1"/>
      <c r="BL934" s="1"/>
      <c r="BM934" s="1"/>
      <c r="BN934" s="2"/>
      <c r="BO934" s="1"/>
      <c r="BP934" s="1"/>
      <c r="BQ934" s="1"/>
      <c r="BR934" s="1"/>
      <c r="BS934" s="1" t="s">
        <v>7620</v>
      </c>
      <c r="BT934" s="5">
        <f>HYPERLINK("https%3A%2F%2Fwww.webofscience.com%2Fwos%2Fwoscc%2Ffull-record%2FWOS:001254411300001","View Full Record in Web of Science")</f>
      </c>
    </row>
    <row x14ac:dyDescent="0.25" r="935" customHeight="1" ht="12.75">
      <c r="A935" s="1" t="s">
        <v>72</v>
      </c>
      <c r="B935" s="1" t="s">
        <v>7621</v>
      </c>
      <c r="C935" s="1"/>
      <c r="D935" s="1"/>
      <c r="E935" s="1"/>
      <c r="F935" s="1" t="s">
        <v>7622</v>
      </c>
      <c r="G935" s="1"/>
      <c r="H935" s="1"/>
      <c r="I935" s="1" t="s">
        <v>7623</v>
      </c>
      <c r="J935" s="1" t="s">
        <v>7624</v>
      </c>
      <c r="K935" s="1"/>
      <c r="L935" s="1"/>
      <c r="M935" s="1"/>
      <c r="N935" s="1"/>
      <c r="O935" s="1"/>
      <c r="P935" s="2"/>
      <c r="Q935" s="1"/>
      <c r="R935" s="1"/>
      <c r="S935" s="1"/>
      <c r="T935" s="1"/>
      <c r="U935" s="1"/>
      <c r="V935" s="1" t="s">
        <v>7625</v>
      </c>
      <c r="W935" s="1"/>
      <c r="X935" s="1"/>
      <c r="Y935" s="1"/>
      <c r="Z935" s="1"/>
      <c r="AA935" s="1"/>
      <c r="AB935" s="1"/>
      <c r="AC935" s="1"/>
      <c r="AD935" s="1"/>
      <c r="AE935" s="1"/>
      <c r="AF935" s="1"/>
      <c r="AG935" s="1"/>
      <c r="AH935" s="1"/>
      <c r="AI935" s="1"/>
      <c r="AJ935" s="1"/>
      <c r="AK935" s="1"/>
      <c r="AL935" s="1"/>
      <c r="AM935" s="1"/>
      <c r="AN935" s="1"/>
      <c r="AO935" s="1" t="s">
        <v>7626</v>
      </c>
      <c r="AP935" s="1"/>
      <c r="AQ935" s="1"/>
      <c r="AR935" s="1"/>
      <c r="AS935" s="1"/>
      <c r="AT935" s="1" t="s">
        <v>2540</v>
      </c>
      <c r="AU935" s="3">
        <v>2024</v>
      </c>
      <c r="AV935" s="3">
        <v>69</v>
      </c>
      <c r="AW935" s="3">
        <v>251</v>
      </c>
      <c r="AX935" s="2"/>
      <c r="AY935" s="2"/>
      <c r="AZ935" s="1"/>
      <c r="BA935" s="2"/>
      <c r="BB935" s="2"/>
      <c r="BC935" s="2"/>
      <c r="BD935" s="2"/>
      <c r="BE935" s="1" t="s">
        <v>7627</v>
      </c>
      <c r="BF935" s="4">
        <f>HYPERLINK("http://dx.doi.org/10.22201/fcpys.2448492xe.2024.251.86761","http://dx.doi.org/10.22201/fcpys.2448492xe.2024.251.86761")</f>
      </c>
      <c r="BG935" s="1"/>
      <c r="BH935" s="1"/>
      <c r="BI935" s="1"/>
      <c r="BJ935" s="1"/>
      <c r="BK935" s="1"/>
      <c r="BL935" s="1"/>
      <c r="BM935" s="1"/>
      <c r="BN935" s="2"/>
      <c r="BO935" s="1"/>
      <c r="BP935" s="1"/>
      <c r="BQ935" s="1"/>
      <c r="BR935" s="1"/>
      <c r="BS935" s="1" t="s">
        <v>7628</v>
      </c>
      <c r="BT935" s="5">
        <f>HYPERLINK("https%3A%2F%2Fwww.webofscience.com%2Fwos%2Fwoscc%2Ffull-record%2FWOS:001304575100015","View Full Record in Web of Science")</f>
      </c>
    </row>
    <row x14ac:dyDescent="0.25" r="936" customHeight="1" ht="12.75">
      <c r="A936" s="1" t="s">
        <v>72</v>
      </c>
      <c r="B936" s="1" t="s">
        <v>7629</v>
      </c>
      <c r="C936" s="1"/>
      <c r="D936" s="1"/>
      <c r="E936" s="1"/>
      <c r="F936" s="1" t="s">
        <v>7630</v>
      </c>
      <c r="G936" s="1"/>
      <c r="H936" s="1"/>
      <c r="I936" s="1" t="s">
        <v>7631</v>
      </c>
      <c r="J936" s="1" t="s">
        <v>7632</v>
      </c>
      <c r="K936" s="1"/>
      <c r="L936" s="1"/>
      <c r="M936" s="1"/>
      <c r="N936" s="1"/>
      <c r="O936" s="1"/>
      <c r="P936" s="2"/>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t="s">
        <v>7633</v>
      </c>
      <c r="AP936" s="1" t="s">
        <v>7634</v>
      </c>
      <c r="AQ936" s="1"/>
      <c r="AR936" s="1"/>
      <c r="AS936" s="1"/>
      <c r="AT936" s="1" t="s">
        <v>2540</v>
      </c>
      <c r="AU936" s="3">
        <v>2024</v>
      </c>
      <c r="AV936" s="3">
        <v>72</v>
      </c>
      <c r="AW936" s="2"/>
      <c r="AX936" s="2"/>
      <c r="AY936" s="2"/>
      <c r="AZ936" s="1"/>
      <c r="BA936" s="2"/>
      <c r="BB936" s="3">
        <v>1</v>
      </c>
      <c r="BC936" s="3">
        <v>3</v>
      </c>
      <c r="BD936" s="2"/>
      <c r="BE936" s="1" t="s">
        <v>7635</v>
      </c>
      <c r="BF936" s="4">
        <f>HYPERLINK("http://dx.doi.org/10.35575/rvucn.n72a1","http://dx.doi.org/10.35575/rvucn.n72a1")</f>
      </c>
      <c r="BG936" s="1"/>
      <c r="BH936" s="1"/>
      <c r="BI936" s="1"/>
      <c r="BJ936" s="1"/>
      <c r="BK936" s="1"/>
      <c r="BL936" s="1"/>
      <c r="BM936" s="1"/>
      <c r="BN936" s="2"/>
      <c r="BO936" s="1"/>
      <c r="BP936" s="1"/>
      <c r="BQ936" s="1"/>
      <c r="BR936" s="1"/>
      <c r="BS936" s="1" t="s">
        <v>7636</v>
      </c>
      <c r="BT936" s="5">
        <f>HYPERLINK("https%3A%2F%2Fwww.webofscience.com%2Fwos%2Fwoscc%2Ffull-record%2FWOS:001227118400001","View Full Record in Web of Science")</f>
      </c>
    </row>
    <row x14ac:dyDescent="0.25" r="937" customHeight="1" ht="12.75">
      <c r="A937" s="1" t="s">
        <v>72</v>
      </c>
      <c r="B937" s="1" t="s">
        <v>7637</v>
      </c>
      <c r="C937" s="1"/>
      <c r="D937" s="1"/>
      <c r="E937" s="1"/>
      <c r="F937" s="1" t="s">
        <v>7638</v>
      </c>
      <c r="G937" s="1"/>
      <c r="H937" s="1"/>
      <c r="I937" s="1" t="s">
        <v>7639</v>
      </c>
      <c r="J937" s="1" t="s">
        <v>4302</v>
      </c>
      <c r="K937" s="1"/>
      <c r="L937" s="1"/>
      <c r="M937" s="1"/>
      <c r="N937" s="1"/>
      <c r="O937" s="1"/>
      <c r="P937" s="2"/>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t="s">
        <v>6999</v>
      </c>
      <c r="AP937" s="1" t="s">
        <v>4303</v>
      </c>
      <c r="AQ937" s="1"/>
      <c r="AR937" s="1"/>
      <c r="AS937" s="1"/>
      <c r="AT937" s="1" t="s">
        <v>204</v>
      </c>
      <c r="AU937" s="3">
        <v>2023</v>
      </c>
      <c r="AV937" s="2"/>
      <c r="AW937" s="3">
        <v>57</v>
      </c>
      <c r="AX937" s="2"/>
      <c r="AY937" s="2"/>
      <c r="AZ937" s="1"/>
      <c r="BA937" s="2"/>
      <c r="BB937" s="3">
        <v>289</v>
      </c>
      <c r="BC937" s="3">
        <v>294</v>
      </c>
      <c r="BD937" s="2"/>
      <c r="BE937" s="1" t="s">
        <v>7640</v>
      </c>
      <c r="BF937" s="4">
        <f>HYPERLINK("http://dx.doi.org/10.32735/S0718-22012023000573292","http://dx.doi.org/10.32735/S0718-22012023000573292")</f>
      </c>
      <c r="BG937" s="1"/>
      <c r="BH937" s="1"/>
      <c r="BI937" s="1"/>
      <c r="BJ937" s="1"/>
      <c r="BK937" s="1"/>
      <c r="BL937" s="1"/>
      <c r="BM937" s="1"/>
      <c r="BN937" s="2"/>
      <c r="BO937" s="1"/>
      <c r="BP937" s="1"/>
      <c r="BQ937" s="1"/>
      <c r="BR937" s="1"/>
      <c r="BS937" s="1" t="s">
        <v>7641</v>
      </c>
      <c r="BT937" s="5">
        <f>HYPERLINK("https%3A%2F%2Fwww.webofscience.com%2Fwos%2Fwoscc%2Ffull-record%2FWOS:001203228500001","View Full Record in Web of Science")</f>
      </c>
    </row>
    <row x14ac:dyDescent="0.25" r="938" customHeight="1" ht="12.75">
      <c r="A938" s="1" t="s">
        <v>72</v>
      </c>
      <c r="B938" s="1" t="s">
        <v>7642</v>
      </c>
      <c r="C938" s="1"/>
      <c r="D938" s="1"/>
      <c r="E938" s="1"/>
      <c r="F938" s="1" t="s">
        <v>7643</v>
      </c>
      <c r="G938" s="1"/>
      <c r="H938" s="1"/>
      <c r="I938" s="1" t="s">
        <v>7644</v>
      </c>
      <c r="J938" s="1" t="s">
        <v>154</v>
      </c>
      <c r="K938" s="1"/>
      <c r="L938" s="1"/>
      <c r="M938" s="1"/>
      <c r="N938" s="1"/>
      <c r="O938" s="1"/>
      <c r="P938" s="2"/>
      <c r="Q938" s="1"/>
      <c r="R938" s="1"/>
      <c r="S938" s="1"/>
      <c r="T938" s="1"/>
      <c r="U938" s="1"/>
      <c r="V938" s="1" t="s">
        <v>7645</v>
      </c>
      <c r="W938" s="1"/>
      <c r="X938" s="1"/>
      <c r="Y938" s="1"/>
      <c r="Z938" s="1"/>
      <c r="AA938" s="1"/>
      <c r="AB938" s="1"/>
      <c r="AC938" s="1"/>
      <c r="AD938" s="1"/>
      <c r="AE938" s="1"/>
      <c r="AF938" s="1"/>
      <c r="AG938" s="1"/>
      <c r="AH938" s="1"/>
      <c r="AI938" s="1"/>
      <c r="AJ938" s="1"/>
      <c r="AK938" s="1"/>
      <c r="AL938" s="1"/>
      <c r="AM938" s="1"/>
      <c r="AN938" s="1"/>
      <c r="AO938" s="1" t="s">
        <v>156</v>
      </c>
      <c r="AP938" s="1" t="s">
        <v>157</v>
      </c>
      <c r="AQ938" s="1"/>
      <c r="AR938" s="1"/>
      <c r="AS938" s="1"/>
      <c r="AT938" s="1" t="s">
        <v>158</v>
      </c>
      <c r="AU938" s="3">
        <v>2023</v>
      </c>
      <c r="AV938" s="3">
        <v>13</v>
      </c>
      <c r="AW938" s="3">
        <v>2</v>
      </c>
      <c r="AX938" s="2"/>
      <c r="AY938" s="2"/>
      <c r="AZ938" s="1"/>
      <c r="BA938" s="2"/>
      <c r="BB938" s="3">
        <v>271</v>
      </c>
      <c r="BC938" s="3">
        <v>304</v>
      </c>
      <c r="BD938" s="2"/>
      <c r="BE938" s="1"/>
      <c r="BF938" s="1"/>
      <c r="BG938" s="1"/>
      <c r="BH938" s="1"/>
      <c r="BI938" s="1"/>
      <c r="BJ938" s="1"/>
      <c r="BK938" s="1"/>
      <c r="BL938" s="1"/>
      <c r="BM938" s="1"/>
      <c r="BN938" s="2"/>
      <c r="BO938" s="1"/>
      <c r="BP938" s="1"/>
      <c r="BQ938" s="1"/>
      <c r="BR938" s="1"/>
      <c r="BS938" s="1" t="s">
        <v>7646</v>
      </c>
      <c r="BT938" s="5">
        <f>HYPERLINK("https%3A%2F%2Fwww.webofscience.com%2Fwos%2Fwoscc%2Ffull-record%2FWOS:001164876600008","View Full Record in Web of Science")</f>
      </c>
    </row>
    <row x14ac:dyDescent="0.25" r="939" customHeight="1" ht="12.75">
      <c r="A939" s="1" t="s">
        <v>72</v>
      </c>
      <c r="B939" s="1" t="s">
        <v>2291</v>
      </c>
      <c r="C939" s="1"/>
      <c r="D939" s="1"/>
      <c r="E939" s="1"/>
      <c r="F939" s="1" t="s">
        <v>4466</v>
      </c>
      <c r="G939" s="1"/>
      <c r="H939" s="1"/>
      <c r="I939" s="1" t="s">
        <v>7647</v>
      </c>
      <c r="J939" s="1" t="s">
        <v>3322</v>
      </c>
      <c r="K939" s="1"/>
      <c r="L939" s="1"/>
      <c r="M939" s="1"/>
      <c r="N939" s="1"/>
      <c r="O939" s="1"/>
      <c r="P939" s="2"/>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t="s">
        <v>3323</v>
      </c>
      <c r="AP939" s="1" t="s">
        <v>3324</v>
      </c>
      <c r="AQ939" s="1"/>
      <c r="AR939" s="1"/>
      <c r="AS939" s="1"/>
      <c r="AT939" s="1" t="s">
        <v>757</v>
      </c>
      <c r="AU939" s="3">
        <v>2023</v>
      </c>
      <c r="AV939" s="3">
        <v>24</v>
      </c>
      <c r="AW939" s="3">
        <v>39</v>
      </c>
      <c r="AX939" s="2"/>
      <c r="AY939" s="2"/>
      <c r="AZ939" s="1"/>
      <c r="BA939" s="2"/>
      <c r="BB939" s="3">
        <v>213</v>
      </c>
      <c r="BC939" s="3">
        <v>226</v>
      </c>
      <c r="BD939" s="2"/>
      <c r="BE939" s="1"/>
      <c r="BF939" s="1"/>
      <c r="BG939" s="1"/>
      <c r="BH939" s="1"/>
      <c r="BI939" s="1"/>
      <c r="BJ939" s="1"/>
      <c r="BK939" s="1"/>
      <c r="BL939" s="1"/>
      <c r="BM939" s="1"/>
      <c r="BN939" s="2"/>
      <c r="BO939" s="1"/>
      <c r="BP939" s="1"/>
      <c r="BQ939" s="1"/>
      <c r="BR939" s="1"/>
      <c r="BS939" s="1" t="s">
        <v>7648</v>
      </c>
      <c r="BT939" s="5">
        <f>HYPERLINK("https%3A%2F%2Fwww.webofscience.com%2Fwos%2Fwoscc%2Ffull-record%2FWOS:001004544400014","View Full Record in Web of Science")</f>
      </c>
    </row>
    <row x14ac:dyDescent="0.25" r="940" customHeight="1" ht="12.75">
      <c r="A940" s="1" t="s">
        <v>72</v>
      </c>
      <c r="B940" s="1" t="s">
        <v>7649</v>
      </c>
      <c r="C940" s="1"/>
      <c r="D940" s="1"/>
      <c r="E940" s="1"/>
      <c r="F940" s="1" t="s">
        <v>7650</v>
      </c>
      <c r="G940" s="1"/>
      <c r="H940" s="1"/>
      <c r="I940" s="1" t="s">
        <v>7651</v>
      </c>
      <c r="J940" s="1" t="s">
        <v>199</v>
      </c>
      <c r="K940" s="1"/>
      <c r="L940" s="1"/>
      <c r="M940" s="1"/>
      <c r="N940" s="1"/>
      <c r="O940" s="1"/>
      <c r="P940" s="2"/>
      <c r="Q940" s="1"/>
      <c r="R940" s="1"/>
      <c r="S940" s="1"/>
      <c r="T940" s="1"/>
      <c r="U940" s="1"/>
      <c r="V940" s="1" t="s">
        <v>7652</v>
      </c>
      <c r="W940" s="1"/>
      <c r="X940" s="1"/>
      <c r="Y940" s="1"/>
      <c r="Z940" s="1"/>
      <c r="AA940" s="1" t="s">
        <v>201</v>
      </c>
      <c r="AB940" s="1" t="s">
        <v>7653</v>
      </c>
      <c r="AC940" s="1"/>
      <c r="AD940" s="1"/>
      <c r="AE940" s="1"/>
      <c r="AF940" s="1"/>
      <c r="AG940" s="1"/>
      <c r="AH940" s="1"/>
      <c r="AI940" s="1"/>
      <c r="AJ940" s="1"/>
      <c r="AK940" s="1"/>
      <c r="AL940" s="1"/>
      <c r="AM940" s="1"/>
      <c r="AN940" s="1"/>
      <c r="AO940" s="1"/>
      <c r="AP940" s="1" t="s">
        <v>203</v>
      </c>
      <c r="AQ940" s="1"/>
      <c r="AR940" s="1"/>
      <c r="AS940" s="1"/>
      <c r="AT940" s="1" t="s">
        <v>7654</v>
      </c>
      <c r="AU940" s="3">
        <v>2023</v>
      </c>
      <c r="AV940" s="3">
        <v>15</v>
      </c>
      <c r="AW940" s="3">
        <v>5</v>
      </c>
      <c r="AX940" s="2"/>
      <c r="AY940" s="2"/>
      <c r="AZ940" s="1"/>
      <c r="BA940" s="2"/>
      <c r="BB940" s="2"/>
      <c r="BC940" s="2"/>
      <c r="BD940" s="3">
        <v>1070</v>
      </c>
      <c r="BE940" s="1" t="s">
        <v>7655</v>
      </c>
      <c r="BF940" s="4">
        <f>HYPERLINK("http://dx.doi.org/10.3390/sym15051070","http://dx.doi.org/10.3390/sym15051070")</f>
      </c>
      <c r="BG940" s="1"/>
      <c r="BH940" s="1"/>
      <c r="BI940" s="1"/>
      <c r="BJ940" s="1"/>
      <c r="BK940" s="1"/>
      <c r="BL940" s="1"/>
      <c r="BM940" s="1"/>
      <c r="BN940" s="2"/>
      <c r="BO940" s="1"/>
      <c r="BP940" s="1"/>
      <c r="BQ940" s="1"/>
      <c r="BR940" s="1"/>
      <c r="BS940" s="1" t="s">
        <v>7656</v>
      </c>
      <c r="BT940" s="5">
        <f>HYPERLINK("https%3A%2F%2Fwww.webofscience.com%2Fwos%2Fwoscc%2Ffull-record%2FWOS:000997532400001","View Full Record in Web of Science")</f>
      </c>
    </row>
    <row x14ac:dyDescent="0.25" r="941" customHeight="1" ht="12.75">
      <c r="A941" s="1" t="s">
        <v>72</v>
      </c>
      <c r="B941" s="1" t="s">
        <v>7657</v>
      </c>
      <c r="C941" s="1"/>
      <c r="D941" s="1"/>
      <c r="E941" s="1"/>
      <c r="F941" s="1" t="s">
        <v>7658</v>
      </c>
      <c r="G941" s="1"/>
      <c r="H941" s="1"/>
      <c r="I941" s="1" t="s">
        <v>7659</v>
      </c>
      <c r="J941" s="1" t="s">
        <v>1884</v>
      </c>
      <c r="K941" s="1"/>
      <c r="L941" s="1"/>
      <c r="M941" s="1"/>
      <c r="N941" s="1"/>
      <c r="O941" s="1"/>
      <c r="P941" s="2"/>
      <c r="Q941" s="1"/>
      <c r="R941" s="1"/>
      <c r="S941" s="1"/>
      <c r="T941" s="1"/>
      <c r="U941" s="1"/>
      <c r="V941" s="1" t="s">
        <v>7660</v>
      </c>
      <c r="W941" s="1"/>
      <c r="X941" s="1"/>
      <c r="Y941" s="1"/>
      <c r="Z941" s="1"/>
      <c r="AA941" s="1"/>
      <c r="AB941" s="1"/>
      <c r="AC941" s="1"/>
      <c r="AD941" s="1"/>
      <c r="AE941" s="1"/>
      <c r="AF941" s="1"/>
      <c r="AG941" s="1"/>
      <c r="AH941" s="1"/>
      <c r="AI941" s="1"/>
      <c r="AJ941" s="1"/>
      <c r="AK941" s="1"/>
      <c r="AL941" s="1"/>
      <c r="AM941" s="1"/>
      <c r="AN941" s="1"/>
      <c r="AO941" s="1" t="s">
        <v>1885</v>
      </c>
      <c r="AP941" s="1" t="s">
        <v>1886</v>
      </c>
      <c r="AQ941" s="1"/>
      <c r="AR941" s="1"/>
      <c r="AS941" s="1"/>
      <c r="AT941" s="1"/>
      <c r="AU941" s="3">
        <v>2023</v>
      </c>
      <c r="AV941" s="2"/>
      <c r="AW941" s="3">
        <v>39</v>
      </c>
      <c r="AX941" s="2"/>
      <c r="AY941" s="2"/>
      <c r="AZ941" s="1"/>
      <c r="BA941" s="2"/>
      <c r="BB941" s="3">
        <v>105</v>
      </c>
      <c r="BC941" s="3">
        <v>126</v>
      </c>
      <c r="BD941" s="2"/>
      <c r="BE941" s="1"/>
      <c r="BF941" s="1"/>
      <c r="BG941" s="1"/>
      <c r="BH941" s="1"/>
      <c r="BI941" s="1"/>
      <c r="BJ941" s="1"/>
      <c r="BK941" s="1"/>
      <c r="BL941" s="1"/>
      <c r="BM941" s="1"/>
      <c r="BN941" s="2"/>
      <c r="BO941" s="1"/>
      <c r="BP941" s="1"/>
      <c r="BQ941" s="1"/>
      <c r="BR941" s="1"/>
      <c r="BS941" s="1" t="s">
        <v>7661</v>
      </c>
      <c r="BT941" s="5">
        <f>HYPERLINK("https%3A%2F%2Fwww.webofscience.com%2Fwos%2Fwoscc%2Ffull-record%2FWOS:001144754000005","View Full Record in Web of Science")</f>
      </c>
    </row>
    <row x14ac:dyDescent="0.25" r="942" customHeight="1" ht="12.75">
      <c r="A942" s="1" t="s">
        <v>72</v>
      </c>
      <c r="B942" s="1" t="s">
        <v>7662</v>
      </c>
      <c r="C942" s="1"/>
      <c r="D942" s="1"/>
      <c r="E942" s="1"/>
      <c r="F942" s="1" t="s">
        <v>7663</v>
      </c>
      <c r="G942" s="1"/>
      <c r="H942" s="1"/>
      <c r="I942" s="1" t="s">
        <v>7664</v>
      </c>
      <c r="J942" s="1" t="s">
        <v>5543</v>
      </c>
      <c r="K942" s="1"/>
      <c r="L942" s="1"/>
      <c r="M942" s="1"/>
      <c r="N942" s="1"/>
      <c r="O942" s="1"/>
      <c r="P942" s="2"/>
      <c r="Q942" s="1"/>
      <c r="R942" s="1"/>
      <c r="S942" s="1"/>
      <c r="T942" s="1"/>
      <c r="U942" s="1"/>
      <c r="V942" s="1" t="s">
        <v>7665</v>
      </c>
      <c r="W942" s="1"/>
      <c r="X942" s="1"/>
      <c r="Y942" s="1"/>
      <c r="Z942" s="1"/>
      <c r="AA942" s="1" t="s">
        <v>7666</v>
      </c>
      <c r="AB942" s="1" t="s">
        <v>7667</v>
      </c>
      <c r="AC942" s="1"/>
      <c r="AD942" s="1"/>
      <c r="AE942" s="1"/>
      <c r="AF942" s="1"/>
      <c r="AG942" s="1"/>
      <c r="AH942" s="1"/>
      <c r="AI942" s="1"/>
      <c r="AJ942" s="1"/>
      <c r="AK942" s="1"/>
      <c r="AL942" s="1"/>
      <c r="AM942" s="1"/>
      <c r="AN942" s="1"/>
      <c r="AO942" s="1"/>
      <c r="AP942" s="1" t="s">
        <v>5547</v>
      </c>
      <c r="AQ942" s="1"/>
      <c r="AR942" s="1"/>
      <c r="AS942" s="1"/>
      <c r="AT942" s="1" t="s">
        <v>169</v>
      </c>
      <c r="AU942" s="3">
        <v>2022</v>
      </c>
      <c r="AV942" s="3">
        <v>12</v>
      </c>
      <c r="AW942" s="3">
        <v>21</v>
      </c>
      <c r="AX942" s="2"/>
      <c r="AY942" s="2"/>
      <c r="AZ942" s="1"/>
      <c r="BA942" s="2"/>
      <c r="BB942" s="2"/>
      <c r="BC942" s="2"/>
      <c r="BD942" s="3">
        <v>3802</v>
      </c>
      <c r="BE942" s="1" t="s">
        <v>7668</v>
      </c>
      <c r="BF942" s="4">
        <f>HYPERLINK("http://dx.doi.org/10.3390/nano12213802","http://dx.doi.org/10.3390/nano12213802")</f>
      </c>
      <c r="BG942" s="1"/>
      <c r="BH942" s="1"/>
      <c r="BI942" s="1"/>
      <c r="BJ942" s="1"/>
      <c r="BK942" s="1"/>
      <c r="BL942" s="1"/>
      <c r="BM942" s="1"/>
      <c r="BN942" s="3">
        <v>36364578</v>
      </c>
      <c r="BO942" s="1"/>
      <c r="BP942" s="1"/>
      <c r="BQ942" s="1"/>
      <c r="BR942" s="1"/>
      <c r="BS942" s="1" t="s">
        <v>7669</v>
      </c>
      <c r="BT942" s="5">
        <f>HYPERLINK("https%3A%2F%2Fwww.webofscience.com%2Fwos%2Fwoscc%2Ffull-record%2FWOS:000881565400001","View Full Record in Web of Science")</f>
      </c>
    </row>
    <row x14ac:dyDescent="0.25" r="943" customHeight="1" ht="12.75">
      <c r="A943" s="1" t="s">
        <v>72</v>
      </c>
      <c r="B943" s="1" t="s">
        <v>1110</v>
      </c>
      <c r="C943" s="1"/>
      <c r="D943" s="1"/>
      <c r="E943" s="1"/>
      <c r="F943" s="1" t="s">
        <v>1111</v>
      </c>
      <c r="G943" s="1"/>
      <c r="H943" s="1"/>
      <c r="I943" s="1" t="s">
        <v>7670</v>
      </c>
      <c r="J943" s="1" t="s">
        <v>7671</v>
      </c>
      <c r="K943" s="1"/>
      <c r="L943" s="1"/>
      <c r="M943" s="1"/>
      <c r="N943" s="1"/>
      <c r="O943" s="1"/>
      <c r="P943" s="2"/>
      <c r="Q943" s="1"/>
      <c r="R943" s="1"/>
      <c r="S943" s="1"/>
      <c r="T943" s="1"/>
      <c r="U943" s="1"/>
      <c r="V943" s="1" t="s">
        <v>7672</v>
      </c>
      <c r="W943" s="1"/>
      <c r="X943" s="1"/>
      <c r="Y943" s="1"/>
      <c r="Z943" s="1"/>
      <c r="AA943" s="1" t="s">
        <v>1115</v>
      </c>
      <c r="AB943" s="1" t="s">
        <v>1116</v>
      </c>
      <c r="AC943" s="1"/>
      <c r="AD943" s="1"/>
      <c r="AE943" s="1"/>
      <c r="AF943" s="1"/>
      <c r="AG943" s="1"/>
      <c r="AH943" s="1"/>
      <c r="AI943" s="1"/>
      <c r="AJ943" s="1"/>
      <c r="AK943" s="1"/>
      <c r="AL943" s="1"/>
      <c r="AM943" s="1"/>
      <c r="AN943" s="1"/>
      <c r="AO943" s="1" t="s">
        <v>7673</v>
      </c>
      <c r="AP943" s="1"/>
      <c r="AQ943" s="1"/>
      <c r="AR943" s="1"/>
      <c r="AS943" s="1"/>
      <c r="AT943" s="1" t="s">
        <v>292</v>
      </c>
      <c r="AU943" s="3">
        <v>2022</v>
      </c>
      <c r="AV943" s="3">
        <v>11</v>
      </c>
      <c r="AW943" s="3">
        <v>3</v>
      </c>
      <c r="AX943" s="2"/>
      <c r="AY943" s="2"/>
      <c r="AZ943" s="1"/>
      <c r="BA943" s="2"/>
      <c r="BB943" s="3">
        <v>118</v>
      </c>
      <c r="BC943" s="3">
        <v>124</v>
      </c>
      <c r="BD943" s="2"/>
      <c r="BE943" s="1" t="s">
        <v>7674</v>
      </c>
      <c r="BF943" s="4">
        <f>HYPERLINK("http://dx.doi.org/10.17811/ebl.11.3.2022.118-124","http://dx.doi.org/10.17811/ebl.11.3.2022.118-124")</f>
      </c>
      <c r="BG943" s="1"/>
      <c r="BH943" s="1"/>
      <c r="BI943" s="1"/>
      <c r="BJ943" s="1"/>
      <c r="BK943" s="1"/>
      <c r="BL943" s="1"/>
      <c r="BM943" s="1"/>
      <c r="BN943" s="2"/>
      <c r="BO943" s="1"/>
      <c r="BP943" s="1"/>
      <c r="BQ943" s="1"/>
      <c r="BR943" s="1"/>
      <c r="BS943" s="1" t="s">
        <v>7675</v>
      </c>
      <c r="BT943" s="5">
        <f>HYPERLINK("https%3A%2F%2Fwww.webofscience.com%2Fwos%2Fwoscc%2Ffull-record%2FWOS:000826986300004","View Full Record in Web of Science")</f>
      </c>
    </row>
    <row x14ac:dyDescent="0.25" r="944" customHeight="1" ht="12.75">
      <c r="A944" s="1" t="s">
        <v>72</v>
      </c>
      <c r="B944" s="1" t="s">
        <v>7676</v>
      </c>
      <c r="C944" s="1"/>
      <c r="D944" s="1"/>
      <c r="E944" s="1"/>
      <c r="F944" s="1" t="s">
        <v>7677</v>
      </c>
      <c r="G944" s="1"/>
      <c r="H944" s="1"/>
      <c r="I944" s="1" t="s">
        <v>7678</v>
      </c>
      <c r="J944" s="1" t="s">
        <v>2621</v>
      </c>
      <c r="K944" s="1"/>
      <c r="L944" s="1"/>
      <c r="M944" s="1"/>
      <c r="N944" s="1"/>
      <c r="O944" s="1"/>
      <c r="P944" s="2"/>
      <c r="Q944" s="1"/>
      <c r="R944" s="1"/>
      <c r="S944" s="1"/>
      <c r="T944" s="1"/>
      <c r="U944" s="1"/>
      <c r="V944" s="1" t="s">
        <v>7679</v>
      </c>
      <c r="W944" s="1"/>
      <c r="X944" s="1"/>
      <c r="Y944" s="1"/>
      <c r="Z944" s="1"/>
      <c r="AA944" s="1"/>
      <c r="AB944" s="1"/>
      <c r="AC944" s="1"/>
      <c r="AD944" s="1"/>
      <c r="AE944" s="1"/>
      <c r="AF944" s="1"/>
      <c r="AG944" s="1"/>
      <c r="AH944" s="1"/>
      <c r="AI944" s="1"/>
      <c r="AJ944" s="1"/>
      <c r="AK944" s="1"/>
      <c r="AL944" s="1"/>
      <c r="AM944" s="1"/>
      <c r="AN944" s="1"/>
      <c r="AO944" s="1" t="s">
        <v>2623</v>
      </c>
      <c r="AP944" s="1" t="s">
        <v>2624</v>
      </c>
      <c r="AQ944" s="1"/>
      <c r="AR944" s="1"/>
      <c r="AS944" s="1"/>
      <c r="AT944" s="1" t="s">
        <v>181</v>
      </c>
      <c r="AU944" s="3">
        <v>2022</v>
      </c>
      <c r="AV944" s="2"/>
      <c r="AW944" s="3">
        <v>28</v>
      </c>
      <c r="AX944" s="2"/>
      <c r="AY944" s="2"/>
      <c r="AZ944" s="1"/>
      <c r="BA944" s="2"/>
      <c r="BB944" s="3">
        <v>136</v>
      </c>
      <c r="BC944" s="3">
        <v>172</v>
      </c>
      <c r="BD944" s="2"/>
      <c r="BE944" s="1"/>
      <c r="BF944" s="1"/>
      <c r="BG944" s="1"/>
      <c r="BH944" s="1"/>
      <c r="BI944" s="1"/>
      <c r="BJ944" s="1"/>
      <c r="BK944" s="1"/>
      <c r="BL944" s="1"/>
      <c r="BM944" s="1"/>
      <c r="BN944" s="2"/>
      <c r="BO944" s="1"/>
      <c r="BP944" s="1"/>
      <c r="BQ944" s="1"/>
      <c r="BR944" s="1"/>
      <c r="BS944" s="1" t="s">
        <v>7680</v>
      </c>
      <c r="BT944" s="5">
        <f>HYPERLINK("https%3A%2F%2Fwww.webofscience.com%2Fwos%2Fwoscc%2Ffull-record%2FWOS:000715741600009","View Full Record in Web of Science")</f>
      </c>
    </row>
    <row x14ac:dyDescent="0.25" r="945" customHeight="1" ht="12.75">
      <c r="A945" s="1" t="s">
        <v>72</v>
      </c>
      <c r="B945" s="1" t="s">
        <v>7681</v>
      </c>
      <c r="C945" s="1"/>
      <c r="D945" s="1"/>
      <c r="E945" s="1"/>
      <c r="F945" s="1" t="s">
        <v>7682</v>
      </c>
      <c r="G945" s="1"/>
      <c r="H945" s="1"/>
      <c r="I945" s="1" t="s">
        <v>7683</v>
      </c>
      <c r="J945" s="1" t="s">
        <v>1884</v>
      </c>
      <c r="K945" s="1"/>
      <c r="L945" s="1"/>
      <c r="M945" s="1"/>
      <c r="N945" s="1"/>
      <c r="O945" s="1"/>
      <c r="P945" s="2"/>
      <c r="Q945" s="1"/>
      <c r="R945" s="1"/>
      <c r="S945" s="1"/>
      <c r="T945" s="1"/>
      <c r="U945" s="1"/>
      <c r="V945" s="1" t="s">
        <v>7684</v>
      </c>
      <c r="W945" s="1"/>
      <c r="X945" s="1"/>
      <c r="Y945" s="1"/>
      <c r="Z945" s="1"/>
      <c r="AA945" s="1"/>
      <c r="AB945" s="1" t="s">
        <v>7685</v>
      </c>
      <c r="AC945" s="1"/>
      <c r="AD945" s="1"/>
      <c r="AE945" s="1"/>
      <c r="AF945" s="1"/>
      <c r="AG945" s="1"/>
      <c r="AH945" s="1"/>
      <c r="AI945" s="1"/>
      <c r="AJ945" s="1"/>
      <c r="AK945" s="1"/>
      <c r="AL945" s="1"/>
      <c r="AM945" s="1"/>
      <c r="AN945" s="1"/>
      <c r="AO945" s="1" t="s">
        <v>1885</v>
      </c>
      <c r="AP945" s="1" t="s">
        <v>1886</v>
      </c>
      <c r="AQ945" s="1"/>
      <c r="AR945" s="1"/>
      <c r="AS945" s="1"/>
      <c r="AT945" s="1" t="s">
        <v>204</v>
      </c>
      <c r="AU945" s="3">
        <v>2021</v>
      </c>
      <c r="AV945" s="2"/>
      <c r="AW945" s="3">
        <v>35</v>
      </c>
      <c r="AX945" s="2"/>
      <c r="AY945" s="2"/>
      <c r="AZ945" s="1"/>
      <c r="BA945" s="2"/>
      <c r="BB945" s="3">
        <v>29</v>
      </c>
      <c r="BC945" s="3">
        <v>40</v>
      </c>
      <c r="BD945" s="2"/>
      <c r="BE945" s="1" t="s">
        <v>7686</v>
      </c>
      <c r="BF945" s="4">
        <f>HYPERLINK("http://dx.doi.org/10.35588/estudav.v0i35.5322","http://dx.doi.org/10.35588/estudav.v0i35.5322")</f>
      </c>
      <c r="BG945" s="1"/>
      <c r="BH945" s="1"/>
      <c r="BI945" s="1"/>
      <c r="BJ945" s="1"/>
      <c r="BK945" s="1"/>
      <c r="BL945" s="1"/>
      <c r="BM945" s="1"/>
      <c r="BN945" s="2"/>
      <c r="BO945" s="1"/>
      <c r="BP945" s="1"/>
      <c r="BQ945" s="1"/>
      <c r="BR945" s="1"/>
      <c r="BS945" s="1" t="s">
        <v>7687</v>
      </c>
      <c r="BT945" s="5">
        <f>HYPERLINK("https%3A%2F%2Fwww.webofscience.com%2Fwos%2Fwoscc%2Ffull-record%2FWOS:000739816200003","View Full Record in Web of Science")</f>
      </c>
    </row>
    <row x14ac:dyDescent="0.25" r="946" customHeight="1" ht="12.75">
      <c r="A946" s="1" t="s">
        <v>72</v>
      </c>
      <c r="B946" s="1" t="s">
        <v>7688</v>
      </c>
      <c r="C946" s="1"/>
      <c r="D946" s="1"/>
      <c r="E946" s="1"/>
      <c r="F946" s="1" t="s">
        <v>7689</v>
      </c>
      <c r="G946" s="1"/>
      <c r="H946" s="1"/>
      <c r="I946" s="1" t="s">
        <v>7690</v>
      </c>
      <c r="J946" s="1" t="s">
        <v>7691</v>
      </c>
      <c r="K946" s="1"/>
      <c r="L946" s="1"/>
      <c r="M946" s="1"/>
      <c r="N946" s="1"/>
      <c r="O946" s="1"/>
      <c r="P946" s="2"/>
      <c r="Q946" s="1"/>
      <c r="R946" s="1"/>
      <c r="S946" s="1"/>
      <c r="T946" s="1"/>
      <c r="U946" s="1"/>
      <c r="V946" s="1" t="s">
        <v>7692</v>
      </c>
      <c r="W946" s="1"/>
      <c r="X946" s="1"/>
      <c r="Y946" s="1"/>
      <c r="Z946" s="1"/>
      <c r="AA946" s="1" t="s">
        <v>7693</v>
      </c>
      <c r="AB946" s="1" t="s">
        <v>7694</v>
      </c>
      <c r="AC946" s="1"/>
      <c r="AD946" s="1"/>
      <c r="AE946" s="1"/>
      <c r="AF946" s="1"/>
      <c r="AG946" s="1"/>
      <c r="AH946" s="1"/>
      <c r="AI946" s="1"/>
      <c r="AJ946" s="1"/>
      <c r="AK946" s="1"/>
      <c r="AL946" s="1"/>
      <c r="AM946" s="1"/>
      <c r="AN946" s="1"/>
      <c r="AO946" s="1" t="s">
        <v>7695</v>
      </c>
      <c r="AP946" s="1"/>
      <c r="AQ946" s="1"/>
      <c r="AR946" s="1"/>
      <c r="AS946" s="1"/>
      <c r="AT946" s="1" t="s">
        <v>126</v>
      </c>
      <c r="AU946" s="3">
        <v>2021</v>
      </c>
      <c r="AV946" s="3">
        <v>20</v>
      </c>
      <c r="AW946" s="3">
        <v>4</v>
      </c>
      <c r="AX946" s="2"/>
      <c r="AY946" s="2"/>
      <c r="AZ946" s="1"/>
      <c r="BA946" s="2"/>
      <c r="BB946" s="3">
        <v>3388</v>
      </c>
      <c r="BC946" s="3">
        <v>3403</v>
      </c>
      <c r="BD946" s="2" t="s">
        <v>7696</v>
      </c>
      <c r="BE946" s="1" t="s">
        <v>7697</v>
      </c>
      <c r="BF946" s="4">
        <f>HYPERLINK("http://dx.doi.org/10.1111/1541-4337.12777","http://dx.doi.org/10.1111/1541-4337.12777")</f>
      </c>
      <c r="BG946" s="1"/>
      <c r="BH946" s="1" t="s">
        <v>7698</v>
      </c>
      <c r="BI946" s="1"/>
      <c r="BJ946" s="1"/>
      <c r="BK946" s="1"/>
      <c r="BL946" s="1"/>
      <c r="BM946" s="1"/>
      <c r="BN946" s="3">
        <v>34118127</v>
      </c>
      <c r="BO946" s="1"/>
      <c r="BP946" s="1"/>
      <c r="BQ946" s="1"/>
      <c r="BR946" s="1"/>
      <c r="BS946" s="1" t="s">
        <v>7699</v>
      </c>
      <c r="BT946" s="5">
        <f>HYPERLINK("https%3A%2F%2Fwww.webofscience.com%2Fwos%2Fwoscc%2Ffull-record%2FWOS:000660558300001","View Full Record in Web of Science")</f>
      </c>
    </row>
    <row x14ac:dyDescent="0.25" r="947" customHeight="1" ht="12.75">
      <c r="A947" s="1" t="s">
        <v>72</v>
      </c>
      <c r="B947" s="1" t="s">
        <v>7700</v>
      </c>
      <c r="C947" s="1"/>
      <c r="D947" s="1"/>
      <c r="E947" s="1"/>
      <c r="F947" s="1" t="s">
        <v>7701</v>
      </c>
      <c r="G947" s="1"/>
      <c r="H947" s="1"/>
      <c r="I947" s="1" t="s">
        <v>7702</v>
      </c>
      <c r="J947" s="1" t="s">
        <v>1884</v>
      </c>
      <c r="K947" s="1"/>
      <c r="L947" s="1"/>
      <c r="M947" s="1"/>
      <c r="N947" s="1"/>
      <c r="O947" s="1"/>
      <c r="P947" s="2"/>
      <c r="Q947" s="1"/>
      <c r="R947" s="1"/>
      <c r="S947" s="1"/>
      <c r="T947" s="1"/>
      <c r="U947" s="1"/>
      <c r="V947" s="1" t="s">
        <v>7703</v>
      </c>
      <c r="W947" s="1"/>
      <c r="X947" s="1"/>
      <c r="Y947" s="1"/>
      <c r="Z947" s="1"/>
      <c r="AA947" s="1"/>
      <c r="AB947" s="1"/>
      <c r="AC947" s="1"/>
      <c r="AD947" s="1"/>
      <c r="AE947" s="1"/>
      <c r="AF947" s="1"/>
      <c r="AG947" s="1"/>
      <c r="AH947" s="1"/>
      <c r="AI947" s="1"/>
      <c r="AJ947" s="1"/>
      <c r="AK947" s="1"/>
      <c r="AL947" s="1"/>
      <c r="AM947" s="1"/>
      <c r="AN947" s="1"/>
      <c r="AO947" s="1" t="s">
        <v>1885</v>
      </c>
      <c r="AP947" s="1" t="s">
        <v>1886</v>
      </c>
      <c r="AQ947" s="1"/>
      <c r="AR947" s="1"/>
      <c r="AS947" s="1"/>
      <c r="AT947" s="1" t="s">
        <v>757</v>
      </c>
      <c r="AU947" s="3">
        <v>2021</v>
      </c>
      <c r="AV947" s="2"/>
      <c r="AW947" s="3">
        <v>34</v>
      </c>
      <c r="AX947" s="2"/>
      <c r="AY947" s="2"/>
      <c r="AZ947" s="1"/>
      <c r="BA947" s="2"/>
      <c r="BB947" s="3">
        <v>57</v>
      </c>
      <c r="BC947" s="3">
        <v>67</v>
      </c>
      <c r="BD947" s="2"/>
      <c r="BE947" s="1" t="s">
        <v>7704</v>
      </c>
      <c r="BF947" s="4">
        <f>HYPERLINK("http://dx.doi.org/10.35588/estudav.v0i34.5003","http://dx.doi.org/10.35588/estudav.v0i34.5003")</f>
      </c>
      <c r="BG947" s="1"/>
      <c r="BH947" s="1"/>
      <c r="BI947" s="1"/>
      <c r="BJ947" s="1"/>
      <c r="BK947" s="1"/>
      <c r="BL947" s="1"/>
      <c r="BM947" s="1"/>
      <c r="BN947" s="2"/>
      <c r="BO947" s="1"/>
      <c r="BP947" s="1"/>
      <c r="BQ947" s="1"/>
      <c r="BR947" s="1"/>
      <c r="BS947" s="1" t="s">
        <v>7705</v>
      </c>
      <c r="BT947" s="5">
        <f>HYPERLINK("https%3A%2F%2Fwww.webofscience.com%2Fwos%2Fwoscc%2Ffull-record%2FWOS:000668091500006","View Full Record in Web of Science")</f>
      </c>
    </row>
    <row x14ac:dyDescent="0.25" r="948" customHeight="1" ht="12.75">
      <c r="A948" s="1" t="s">
        <v>72</v>
      </c>
      <c r="B948" s="1" t="s">
        <v>7706</v>
      </c>
      <c r="C948" s="1"/>
      <c r="D948" s="1"/>
      <c r="E948" s="1"/>
      <c r="F948" s="1" t="s">
        <v>7707</v>
      </c>
      <c r="G948" s="1"/>
      <c r="H948" s="1"/>
      <c r="I948" s="1" t="s">
        <v>7708</v>
      </c>
      <c r="J948" s="1" t="s">
        <v>7709</v>
      </c>
      <c r="K948" s="1"/>
      <c r="L948" s="1"/>
      <c r="M948" s="1"/>
      <c r="N948" s="1"/>
      <c r="O948" s="1"/>
      <c r="P948" s="2"/>
      <c r="Q948" s="1"/>
      <c r="R948" s="1"/>
      <c r="S948" s="1"/>
      <c r="T948" s="1"/>
      <c r="U948" s="1"/>
      <c r="V948" s="1" t="s">
        <v>7710</v>
      </c>
      <c r="W948" s="1"/>
      <c r="X948" s="1"/>
      <c r="Y948" s="1"/>
      <c r="Z948" s="1"/>
      <c r="AA948" s="1" t="s">
        <v>3665</v>
      </c>
      <c r="AB948" s="1" t="s">
        <v>7711</v>
      </c>
      <c r="AC948" s="1"/>
      <c r="AD948" s="1"/>
      <c r="AE948" s="1"/>
      <c r="AF948" s="1"/>
      <c r="AG948" s="1"/>
      <c r="AH948" s="1"/>
      <c r="AI948" s="1"/>
      <c r="AJ948" s="1"/>
      <c r="AK948" s="1"/>
      <c r="AL948" s="1"/>
      <c r="AM948" s="1"/>
      <c r="AN948" s="1"/>
      <c r="AO948" s="1" t="s">
        <v>7712</v>
      </c>
      <c r="AP948" s="1"/>
      <c r="AQ948" s="1"/>
      <c r="AR948" s="1"/>
      <c r="AS948" s="1"/>
      <c r="AT948" s="1" t="s">
        <v>7713</v>
      </c>
      <c r="AU948" s="3">
        <v>2021</v>
      </c>
      <c r="AV948" s="3">
        <v>11</v>
      </c>
      <c r="AW948" s="3">
        <v>1</v>
      </c>
      <c r="AX948" s="2"/>
      <c r="AY948" s="2"/>
      <c r="AZ948" s="1"/>
      <c r="BA948" s="2"/>
      <c r="BB948" s="2"/>
      <c r="BC948" s="2"/>
      <c r="BD948" s="3">
        <v>7748</v>
      </c>
      <c r="BE948" s="1" t="s">
        <v>7714</v>
      </c>
      <c r="BF948" s="4">
        <f>HYPERLINK("http://dx.doi.org/10.1038/s41598-021-87147-5","http://dx.doi.org/10.1038/s41598-021-87147-5")</f>
      </c>
      <c r="BG948" s="1"/>
      <c r="BH948" s="1"/>
      <c r="BI948" s="1"/>
      <c r="BJ948" s="1"/>
      <c r="BK948" s="1"/>
      <c r="BL948" s="1"/>
      <c r="BM948" s="1"/>
      <c r="BN948" s="3">
        <v>33833321</v>
      </c>
      <c r="BO948" s="1"/>
      <c r="BP948" s="1"/>
      <c r="BQ948" s="1"/>
      <c r="BR948" s="1"/>
      <c r="BS948" s="1" t="s">
        <v>7715</v>
      </c>
      <c r="BT948" s="5">
        <f>HYPERLINK("https%3A%2F%2Fwww.webofscience.com%2Fwos%2Fwoscc%2Ffull-record%2FWOS:000639562100068","View Full Record in Web of Science")</f>
      </c>
    </row>
    <row x14ac:dyDescent="0.25" r="949" customHeight="1" ht="12.75">
      <c r="A949" s="1" t="s">
        <v>72</v>
      </c>
      <c r="B949" s="1" t="s">
        <v>7716</v>
      </c>
      <c r="C949" s="1"/>
      <c r="D949" s="1"/>
      <c r="E949" s="1"/>
      <c r="F949" s="1" t="s">
        <v>7717</v>
      </c>
      <c r="G949" s="1"/>
      <c r="H949" s="1"/>
      <c r="I949" s="1" t="s">
        <v>7718</v>
      </c>
      <c r="J949" s="1" t="s">
        <v>1763</v>
      </c>
      <c r="K949" s="1"/>
      <c r="L949" s="1"/>
      <c r="M949" s="1"/>
      <c r="N949" s="1"/>
      <c r="O949" s="1"/>
      <c r="P949" s="2"/>
      <c r="Q949" s="1"/>
      <c r="R949" s="1"/>
      <c r="S949" s="1"/>
      <c r="T949" s="1"/>
      <c r="U949" s="1"/>
      <c r="V949" s="1" t="s">
        <v>7719</v>
      </c>
      <c r="W949" s="1"/>
      <c r="X949" s="1"/>
      <c r="Y949" s="1"/>
      <c r="Z949" s="1"/>
      <c r="AA949" s="1" t="s">
        <v>3665</v>
      </c>
      <c r="AB949" s="1" t="s">
        <v>2960</v>
      </c>
      <c r="AC949" s="1"/>
      <c r="AD949" s="1"/>
      <c r="AE949" s="1"/>
      <c r="AF949" s="1"/>
      <c r="AG949" s="1"/>
      <c r="AH949" s="1"/>
      <c r="AI949" s="1"/>
      <c r="AJ949" s="1"/>
      <c r="AK949" s="1"/>
      <c r="AL949" s="1"/>
      <c r="AM949" s="1"/>
      <c r="AN949" s="1"/>
      <c r="AO949" s="1" t="s">
        <v>1764</v>
      </c>
      <c r="AP949" s="1" t="s">
        <v>7720</v>
      </c>
      <c r="AQ949" s="1"/>
      <c r="AR949" s="1"/>
      <c r="AS949" s="1"/>
      <c r="AT949" s="1" t="s">
        <v>683</v>
      </c>
      <c r="AU949" s="3">
        <v>2021</v>
      </c>
      <c r="AV949" s="3">
        <v>503</v>
      </c>
      <c r="AW949" s="2"/>
      <c r="AX949" s="2"/>
      <c r="AY949" s="2"/>
      <c r="AZ949" s="1"/>
      <c r="BA949" s="2"/>
      <c r="BB949" s="2"/>
      <c r="BC949" s="2"/>
      <c r="BD949" s="3">
        <v>108298</v>
      </c>
      <c r="BE949" s="1" t="s">
        <v>7721</v>
      </c>
      <c r="BF949" s="4">
        <f>HYPERLINK("http://dx.doi.org/10.1016/j.carres.2021.108298","http://dx.doi.org/10.1016/j.carres.2021.108298")</f>
      </c>
      <c r="BG949" s="1"/>
      <c r="BH949" s="1" t="s">
        <v>7722</v>
      </c>
      <c r="BI949" s="1"/>
      <c r="BJ949" s="1"/>
      <c r="BK949" s="1"/>
      <c r="BL949" s="1"/>
      <c r="BM949" s="1"/>
      <c r="BN949" s="3">
        <v>33831669</v>
      </c>
      <c r="BO949" s="1"/>
      <c r="BP949" s="1"/>
      <c r="BQ949" s="1"/>
      <c r="BR949" s="1"/>
      <c r="BS949" s="1" t="s">
        <v>7723</v>
      </c>
      <c r="BT949" s="5">
        <f>HYPERLINK("https%3A%2F%2Fwww.webofscience.com%2Fwos%2Fwoscc%2Ffull-record%2FWOS:000643890300001","View Full Record in Web of Science")</f>
      </c>
    </row>
    <row x14ac:dyDescent="0.25" r="950" customHeight="1" ht="12.75">
      <c r="A950" s="1" t="s">
        <v>72</v>
      </c>
      <c r="B950" s="1" t="s">
        <v>7724</v>
      </c>
      <c r="C950" s="1"/>
      <c r="D950" s="1"/>
      <c r="E950" s="1"/>
      <c r="F950" s="1" t="s">
        <v>7725</v>
      </c>
      <c r="G950" s="1"/>
      <c r="H950" s="1"/>
      <c r="I950" s="1" t="s">
        <v>7726</v>
      </c>
      <c r="J950" s="1" t="s">
        <v>7727</v>
      </c>
      <c r="K950" s="1"/>
      <c r="L950" s="1"/>
      <c r="M950" s="1"/>
      <c r="N950" s="1"/>
      <c r="O950" s="1"/>
      <c r="P950" s="2"/>
      <c r="Q950" s="1"/>
      <c r="R950" s="1"/>
      <c r="S950" s="1"/>
      <c r="T950" s="1"/>
      <c r="U950" s="1"/>
      <c r="V950" s="1" t="s">
        <v>7728</v>
      </c>
      <c r="W950" s="1"/>
      <c r="X950" s="1"/>
      <c r="Y950" s="1"/>
      <c r="Z950" s="1"/>
      <c r="AA950" s="1" t="s">
        <v>7729</v>
      </c>
      <c r="AB950" s="1" t="s">
        <v>7730</v>
      </c>
      <c r="AC950" s="1"/>
      <c r="AD950" s="1"/>
      <c r="AE950" s="1"/>
      <c r="AF950" s="1"/>
      <c r="AG950" s="1"/>
      <c r="AH950" s="1"/>
      <c r="AI950" s="1"/>
      <c r="AJ950" s="1"/>
      <c r="AK950" s="1"/>
      <c r="AL950" s="1"/>
      <c r="AM950" s="1"/>
      <c r="AN950" s="1"/>
      <c r="AO950" s="1" t="s">
        <v>7731</v>
      </c>
      <c r="AP950" s="1" t="s">
        <v>7732</v>
      </c>
      <c r="AQ950" s="1"/>
      <c r="AR950" s="1"/>
      <c r="AS950" s="1"/>
      <c r="AT950" s="1" t="s">
        <v>464</v>
      </c>
      <c r="AU950" s="3">
        <v>2021</v>
      </c>
      <c r="AV950" s="3">
        <v>41</v>
      </c>
      <c r="AW950" s="3">
        <v>2</v>
      </c>
      <c r="AX950" s="2"/>
      <c r="AY950" s="2"/>
      <c r="AZ950" s="1"/>
      <c r="BA950" s="2"/>
      <c r="BB950" s="3">
        <v>359</v>
      </c>
      <c r="BC950" s="3">
        <v>364</v>
      </c>
      <c r="BD950" s="2"/>
      <c r="BE950" s="1" t="s">
        <v>7733</v>
      </c>
      <c r="BF950" s="4">
        <f>HYPERLINK("http://dx.doi.org/10.1590/fst.03820","http://dx.doi.org/10.1590/fst.03820")</f>
      </c>
      <c r="BG950" s="1"/>
      <c r="BH950" s="1"/>
      <c r="BI950" s="1"/>
      <c r="BJ950" s="1"/>
      <c r="BK950" s="1"/>
      <c r="BL950" s="1"/>
      <c r="BM950" s="1"/>
      <c r="BN950" s="2"/>
      <c r="BO950" s="1"/>
      <c r="BP950" s="1"/>
      <c r="BQ950" s="1"/>
      <c r="BR950" s="1"/>
      <c r="BS950" s="1" t="s">
        <v>7734</v>
      </c>
      <c r="BT950" s="5">
        <f>HYPERLINK("https%3A%2F%2Fwww.webofscience.com%2Fwos%2Fwoscc%2Ffull-record%2FWOS:000637782100007","View Full Record in Web of Science")</f>
      </c>
    </row>
    <row x14ac:dyDescent="0.25" r="951" customHeight="1" ht="12.75">
      <c r="A951" s="1" t="s">
        <v>267</v>
      </c>
      <c r="B951" s="1" t="s">
        <v>5733</v>
      </c>
      <c r="C951" s="1"/>
      <c r="D951" s="1" t="s">
        <v>3367</v>
      </c>
      <c r="E951" s="1"/>
      <c r="F951" s="1" t="s">
        <v>5734</v>
      </c>
      <c r="G951" s="1"/>
      <c r="H951" s="1"/>
      <c r="I951" s="1" t="s">
        <v>7735</v>
      </c>
      <c r="J951" s="1" t="s">
        <v>3370</v>
      </c>
      <c r="K951" s="1"/>
      <c r="L951" s="1"/>
      <c r="M951" s="1"/>
      <c r="N951" s="1"/>
      <c r="O951" s="1"/>
      <c r="P951" s="2"/>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t="s">
        <v>3371</v>
      </c>
      <c r="AR951" s="1"/>
      <c r="AS951" s="1"/>
      <c r="AT951" s="1"/>
      <c r="AU951" s="3">
        <v>2021</v>
      </c>
      <c r="AV951" s="2"/>
      <c r="AW951" s="2"/>
      <c r="AX951" s="2"/>
      <c r="AY951" s="2"/>
      <c r="AZ951" s="1"/>
      <c r="BA951" s="2"/>
      <c r="BB951" s="3">
        <v>97</v>
      </c>
      <c r="BC951" s="3">
        <v>115</v>
      </c>
      <c r="BD951" s="2"/>
      <c r="BE951" s="1"/>
      <c r="BF951" s="1"/>
      <c r="BG951" s="1"/>
      <c r="BH951" s="1"/>
      <c r="BI951" s="1"/>
      <c r="BJ951" s="1"/>
      <c r="BK951" s="1"/>
      <c r="BL951" s="1"/>
      <c r="BM951" s="1"/>
      <c r="BN951" s="2"/>
      <c r="BO951" s="1"/>
      <c r="BP951" s="1"/>
      <c r="BQ951" s="1"/>
      <c r="BR951" s="1"/>
      <c r="BS951" s="1" t="s">
        <v>7736</v>
      </c>
      <c r="BT951" s="5">
        <f>HYPERLINK("https%3A%2F%2Fwww.webofscience.com%2Fwos%2Fwoscc%2Ffull-record%2FWOS:000651158400006","View Full Record in Web of Science")</f>
      </c>
    </row>
    <row x14ac:dyDescent="0.25" r="952" customHeight="1" ht="12.75">
      <c r="A952" s="1" t="s">
        <v>72</v>
      </c>
      <c r="B952" s="1" t="s">
        <v>7737</v>
      </c>
      <c r="C952" s="1"/>
      <c r="D952" s="1"/>
      <c r="E952" s="1"/>
      <c r="F952" s="1" t="s">
        <v>7738</v>
      </c>
      <c r="G952" s="1"/>
      <c r="H952" s="1"/>
      <c r="I952" s="1" t="s">
        <v>7739</v>
      </c>
      <c r="J952" s="1" t="s">
        <v>7740</v>
      </c>
      <c r="K952" s="1"/>
      <c r="L952" s="1"/>
      <c r="M952" s="1"/>
      <c r="N952" s="1"/>
      <c r="O952" s="1"/>
      <c r="P952" s="2"/>
      <c r="Q952" s="1"/>
      <c r="R952" s="1"/>
      <c r="S952" s="1"/>
      <c r="T952" s="1"/>
      <c r="U952" s="1"/>
      <c r="V952" s="1" t="s">
        <v>7741</v>
      </c>
      <c r="W952" s="1"/>
      <c r="X952" s="1"/>
      <c r="Y952" s="1"/>
      <c r="Z952" s="1"/>
      <c r="AA952" s="1" t="s">
        <v>7742</v>
      </c>
      <c r="AB952" s="1"/>
      <c r="AC952" s="1"/>
      <c r="AD952" s="1"/>
      <c r="AE952" s="1"/>
      <c r="AF952" s="1"/>
      <c r="AG952" s="1"/>
      <c r="AH952" s="1"/>
      <c r="AI952" s="1"/>
      <c r="AJ952" s="1"/>
      <c r="AK952" s="1"/>
      <c r="AL952" s="1"/>
      <c r="AM952" s="1"/>
      <c r="AN952" s="1"/>
      <c r="AO952" s="1" t="s">
        <v>7743</v>
      </c>
      <c r="AP952" s="1" t="s">
        <v>7744</v>
      </c>
      <c r="AQ952" s="1"/>
      <c r="AR952" s="1"/>
      <c r="AS952" s="1"/>
      <c r="AT952" s="1"/>
      <c r="AU952" s="3">
        <v>2021</v>
      </c>
      <c r="AV952" s="2"/>
      <c r="AW952" s="3">
        <v>1</v>
      </c>
      <c r="AX952" s="2"/>
      <c r="AY952" s="2"/>
      <c r="AZ952" s="1"/>
      <c r="BA952" s="2"/>
      <c r="BB952" s="3">
        <v>47</v>
      </c>
      <c r="BC952" s="3">
        <v>65</v>
      </c>
      <c r="BD952" s="2"/>
      <c r="BE952" s="1" t="s">
        <v>7745</v>
      </c>
      <c r="BF952" s="4">
        <f>HYPERLINK("http://dx.doi.org/10.17561/ree.n1.2021.6258","http://dx.doi.org/10.17561/ree.n1.2021.6258")</f>
      </c>
      <c r="BG952" s="1"/>
      <c r="BH952" s="1"/>
      <c r="BI952" s="1"/>
      <c r="BJ952" s="1"/>
      <c r="BK952" s="1"/>
      <c r="BL952" s="1"/>
      <c r="BM952" s="1"/>
      <c r="BN952" s="2"/>
      <c r="BO952" s="1"/>
      <c r="BP952" s="1"/>
      <c r="BQ952" s="1"/>
      <c r="BR952" s="1"/>
      <c r="BS952" s="1" t="s">
        <v>7746</v>
      </c>
      <c r="BT952" s="5">
        <f>HYPERLINK("https%3A%2F%2Fwww.webofscience.com%2Fwos%2Fwoscc%2Ffull-record%2FWOS:000677700300004","View Full Record in Web of Science")</f>
      </c>
    </row>
    <row x14ac:dyDescent="0.25" r="953" customHeight="1" ht="12.75">
      <c r="A953" s="1" t="s">
        <v>72</v>
      </c>
      <c r="B953" s="1" t="s">
        <v>7747</v>
      </c>
      <c r="C953" s="1"/>
      <c r="D953" s="1"/>
      <c r="E953" s="1"/>
      <c r="F953" s="1" t="s">
        <v>7748</v>
      </c>
      <c r="G953" s="1"/>
      <c r="H953" s="1"/>
      <c r="I953" s="1" t="s">
        <v>7749</v>
      </c>
      <c r="J953" s="1" t="s">
        <v>7750</v>
      </c>
      <c r="K953" s="1"/>
      <c r="L953" s="1"/>
      <c r="M953" s="1"/>
      <c r="N953" s="1"/>
      <c r="O953" s="1"/>
      <c r="P953" s="2"/>
      <c r="Q953" s="1"/>
      <c r="R953" s="1"/>
      <c r="S953" s="1"/>
      <c r="T953" s="1"/>
      <c r="U953" s="1"/>
      <c r="V953" s="1" t="s">
        <v>7751</v>
      </c>
      <c r="W953" s="1"/>
      <c r="X953" s="1"/>
      <c r="Y953" s="1"/>
      <c r="Z953" s="1"/>
      <c r="AA953" s="1" t="s">
        <v>3665</v>
      </c>
      <c r="AB953" s="1"/>
      <c r="AC953" s="1"/>
      <c r="AD953" s="1"/>
      <c r="AE953" s="1"/>
      <c r="AF953" s="1"/>
      <c r="AG953" s="1"/>
      <c r="AH953" s="1"/>
      <c r="AI953" s="1"/>
      <c r="AJ953" s="1"/>
      <c r="AK953" s="1"/>
      <c r="AL953" s="1"/>
      <c r="AM953" s="1"/>
      <c r="AN953" s="1"/>
      <c r="AO953" s="1" t="s">
        <v>7752</v>
      </c>
      <c r="AP953" s="1" t="s">
        <v>7753</v>
      </c>
      <c r="AQ953" s="1"/>
      <c r="AR953" s="1"/>
      <c r="AS953" s="1"/>
      <c r="AT953" s="1" t="s">
        <v>204</v>
      </c>
      <c r="AU953" s="3">
        <v>2020</v>
      </c>
      <c r="AV953" s="3">
        <v>252</v>
      </c>
      <c r="AW953" s="3">
        <v>6</v>
      </c>
      <c r="AX953" s="2"/>
      <c r="AY953" s="2"/>
      <c r="AZ953" s="1"/>
      <c r="BA953" s="2"/>
      <c r="BB953" s="2"/>
      <c r="BC953" s="2"/>
      <c r="BD953" s="3">
        <v>107</v>
      </c>
      <c r="BE953" s="1" t="s">
        <v>7754</v>
      </c>
      <c r="BF953" s="4">
        <f>HYPERLINK("http://dx.doi.org/10.1007/s00425-020-03508-w","http://dx.doi.org/10.1007/s00425-020-03508-w")</f>
      </c>
      <c r="BG953" s="1"/>
      <c r="BH953" s="1"/>
      <c r="BI953" s="1"/>
      <c r="BJ953" s="1"/>
      <c r="BK953" s="1"/>
      <c r="BL953" s="1"/>
      <c r="BM953" s="1"/>
      <c r="BN953" s="2"/>
      <c r="BO953" s="1"/>
      <c r="BP953" s="1"/>
      <c r="BQ953" s="1"/>
      <c r="BR953" s="1"/>
      <c r="BS953" s="1" t="s">
        <v>7755</v>
      </c>
      <c r="BT953" s="5">
        <f>HYPERLINK("https%3A%2F%2Fwww.webofscience.com%2Fwos%2Fwoscc%2Ffull-record%2FWOS:000590485000001","View Full Record in Web of Science")</f>
      </c>
    </row>
    <row x14ac:dyDescent="0.25" r="954" customHeight="1" ht="12.75">
      <c r="A954" s="1" t="s">
        <v>72</v>
      </c>
      <c r="B954" s="1" t="s">
        <v>2166</v>
      </c>
      <c r="C954" s="1"/>
      <c r="D954" s="1"/>
      <c r="E954" s="1"/>
      <c r="F954" s="1" t="s">
        <v>2167</v>
      </c>
      <c r="G954" s="1"/>
      <c r="H954" s="1"/>
      <c r="I954" s="1" t="s">
        <v>7756</v>
      </c>
      <c r="J954" s="1" t="s">
        <v>7757</v>
      </c>
      <c r="K954" s="1"/>
      <c r="L954" s="1"/>
      <c r="M954" s="1"/>
      <c r="N954" s="1"/>
      <c r="O954" s="1"/>
      <c r="P954" s="2"/>
      <c r="Q954" s="1"/>
      <c r="R954" s="1"/>
      <c r="S954" s="1"/>
      <c r="T954" s="1"/>
      <c r="U954" s="1"/>
      <c r="V954" s="1" t="s">
        <v>7758</v>
      </c>
      <c r="W954" s="1"/>
      <c r="X954" s="1"/>
      <c r="Y954" s="1"/>
      <c r="Z954" s="1"/>
      <c r="AA954" s="1" t="s">
        <v>201</v>
      </c>
      <c r="AB954" s="1" t="s">
        <v>1152</v>
      </c>
      <c r="AC954" s="1"/>
      <c r="AD954" s="1"/>
      <c r="AE954" s="1"/>
      <c r="AF954" s="1"/>
      <c r="AG954" s="1"/>
      <c r="AH954" s="1"/>
      <c r="AI954" s="1"/>
      <c r="AJ954" s="1"/>
      <c r="AK954" s="1"/>
      <c r="AL954" s="1"/>
      <c r="AM954" s="1"/>
      <c r="AN954" s="1"/>
      <c r="AO954" s="1" t="s">
        <v>7759</v>
      </c>
      <c r="AP954" s="1" t="s">
        <v>7760</v>
      </c>
      <c r="AQ954" s="1"/>
      <c r="AR954" s="1"/>
      <c r="AS954" s="1"/>
      <c r="AT954" s="1" t="s">
        <v>7761</v>
      </c>
      <c r="AU954" s="3">
        <v>2020</v>
      </c>
      <c r="AV954" s="3">
        <v>2020</v>
      </c>
      <c r="AW954" s="2"/>
      <c r="AX954" s="2"/>
      <c r="AY954" s="2"/>
      <c r="AZ954" s="1"/>
      <c r="BA954" s="2"/>
      <c r="BB954" s="2"/>
      <c r="BC954" s="2"/>
      <c r="BD954" s="3">
        <v>8987150</v>
      </c>
      <c r="BE954" s="1" t="s">
        <v>7762</v>
      </c>
      <c r="BF954" s="4">
        <f>HYPERLINK("http://dx.doi.org/10.1155/2020/8987150","http://dx.doi.org/10.1155/2020/8987150")</f>
      </c>
      <c r="BG954" s="1"/>
      <c r="BH954" s="1"/>
      <c r="BI954" s="1"/>
      <c r="BJ954" s="1"/>
      <c r="BK954" s="1"/>
      <c r="BL954" s="1"/>
      <c r="BM954" s="1"/>
      <c r="BN954" s="2"/>
      <c r="BO954" s="1"/>
      <c r="BP954" s="1"/>
      <c r="BQ954" s="1"/>
      <c r="BR954" s="1"/>
      <c r="BS954" s="1" t="s">
        <v>7763</v>
      </c>
      <c r="BT954" s="5">
        <f>HYPERLINK("https%3A%2F%2Fwww.webofscience.com%2Fwos%2Fwoscc%2Ffull-record%2FWOS:001023008800001","View Full Record in Web of Science")</f>
      </c>
    </row>
    <row x14ac:dyDescent="0.25" r="955" customHeight="1" ht="12.75">
      <c r="A955" s="1" t="s">
        <v>72</v>
      </c>
      <c r="B955" s="1" t="s">
        <v>7764</v>
      </c>
      <c r="C955" s="1"/>
      <c r="D955" s="1"/>
      <c r="E955" s="1"/>
      <c r="F955" s="1" t="s">
        <v>7765</v>
      </c>
      <c r="G955" s="1"/>
      <c r="H955" s="1"/>
      <c r="I955" s="1" t="s">
        <v>7766</v>
      </c>
      <c r="J955" s="1" t="s">
        <v>7767</v>
      </c>
      <c r="K955" s="1"/>
      <c r="L955" s="1"/>
      <c r="M955" s="1"/>
      <c r="N955" s="1"/>
      <c r="O955" s="1"/>
      <c r="P955" s="2"/>
      <c r="Q955" s="1"/>
      <c r="R955" s="1"/>
      <c r="S955" s="1"/>
      <c r="T955" s="1"/>
      <c r="U955" s="1"/>
      <c r="V955" s="1"/>
      <c r="W955" s="1"/>
      <c r="X955" s="1"/>
      <c r="Y955" s="1"/>
      <c r="Z955" s="1"/>
      <c r="AA955" s="1"/>
      <c r="AB955" s="1" t="s">
        <v>7768</v>
      </c>
      <c r="AC955" s="1"/>
      <c r="AD955" s="1"/>
      <c r="AE955" s="1"/>
      <c r="AF955" s="1"/>
      <c r="AG955" s="1"/>
      <c r="AH955" s="1"/>
      <c r="AI955" s="1"/>
      <c r="AJ955" s="1"/>
      <c r="AK955" s="1"/>
      <c r="AL955" s="1"/>
      <c r="AM955" s="1"/>
      <c r="AN955" s="1"/>
      <c r="AO955" s="1" t="s">
        <v>7769</v>
      </c>
      <c r="AP955" s="1"/>
      <c r="AQ955" s="1"/>
      <c r="AR955" s="1"/>
      <c r="AS955" s="1"/>
      <c r="AT955" s="1" t="s">
        <v>3654</v>
      </c>
      <c r="AU955" s="3">
        <v>2020</v>
      </c>
      <c r="AV955" s="3">
        <v>26</v>
      </c>
      <c r="AW955" s="3">
        <v>3</v>
      </c>
      <c r="AX955" s="2"/>
      <c r="AY955" s="2"/>
      <c r="AZ955" s="1"/>
      <c r="BA955" s="2"/>
      <c r="BB955" s="3">
        <v>735</v>
      </c>
      <c r="BC955" s="3">
        <v>741</v>
      </c>
      <c r="BD955" s="2"/>
      <c r="BE955" s="1" t="s">
        <v>7770</v>
      </c>
      <c r="BF955" s="4">
        <f>HYPERLINK("http://dx.doi.org/10.1590/TEM-1980-542x2020v260313","http://dx.doi.org/10.1590/TEM-1980-542x2020v260313")</f>
      </c>
      <c r="BG955" s="1"/>
      <c r="BH955" s="1"/>
      <c r="BI955" s="1"/>
      <c r="BJ955" s="1"/>
      <c r="BK955" s="1"/>
      <c r="BL955" s="1"/>
      <c r="BM955" s="1"/>
      <c r="BN955" s="2"/>
      <c r="BO955" s="1"/>
      <c r="BP955" s="1"/>
      <c r="BQ955" s="1"/>
      <c r="BR955" s="1"/>
      <c r="BS955" s="1" t="s">
        <v>7771</v>
      </c>
      <c r="BT955" s="5">
        <f>HYPERLINK("https%3A%2F%2Fwww.webofscience.com%2Fwos%2Fwoscc%2Ffull-record%2FWOS:000591653800012","View Full Record in Web of Science")</f>
      </c>
    </row>
    <row x14ac:dyDescent="0.25" r="956" customHeight="1" ht="12.75">
      <c r="A956" s="1" t="s">
        <v>72</v>
      </c>
      <c r="B956" s="1" t="s">
        <v>7772</v>
      </c>
      <c r="C956" s="1"/>
      <c r="D956" s="1"/>
      <c r="E956" s="1"/>
      <c r="F956" s="1" t="s">
        <v>7773</v>
      </c>
      <c r="G956" s="1"/>
      <c r="H956" s="1"/>
      <c r="I956" s="1" t="s">
        <v>7774</v>
      </c>
      <c r="J956" s="1" t="s">
        <v>7775</v>
      </c>
      <c r="K956" s="1"/>
      <c r="L956" s="1"/>
      <c r="M956" s="1"/>
      <c r="N956" s="1"/>
      <c r="O956" s="1"/>
      <c r="P956" s="2"/>
      <c r="Q956" s="1"/>
      <c r="R956" s="1"/>
      <c r="S956" s="1"/>
      <c r="T956" s="1"/>
      <c r="U956" s="1"/>
      <c r="V956" s="1" t="s">
        <v>7776</v>
      </c>
      <c r="W956" s="1"/>
      <c r="X956" s="1"/>
      <c r="Y956" s="1"/>
      <c r="Z956" s="1"/>
      <c r="AA956" s="1"/>
      <c r="AB956" s="1"/>
      <c r="AC956" s="1"/>
      <c r="AD956" s="1"/>
      <c r="AE956" s="1"/>
      <c r="AF956" s="1"/>
      <c r="AG956" s="1"/>
      <c r="AH956" s="1"/>
      <c r="AI956" s="1"/>
      <c r="AJ956" s="1"/>
      <c r="AK956" s="1"/>
      <c r="AL956" s="1"/>
      <c r="AM956" s="1"/>
      <c r="AN956" s="1"/>
      <c r="AO956" s="1" t="s">
        <v>7777</v>
      </c>
      <c r="AP956" s="1" t="s">
        <v>7778</v>
      </c>
      <c r="AQ956" s="1"/>
      <c r="AR956" s="1"/>
      <c r="AS956" s="1"/>
      <c r="AT956" s="1" t="s">
        <v>158</v>
      </c>
      <c r="AU956" s="3">
        <v>2020</v>
      </c>
      <c r="AV956" s="3">
        <v>9</v>
      </c>
      <c r="AW956" s="3">
        <v>18</v>
      </c>
      <c r="AX956" s="2"/>
      <c r="AY956" s="2"/>
      <c r="AZ956" s="1"/>
      <c r="BA956" s="2"/>
      <c r="BB956" s="3">
        <v>23</v>
      </c>
      <c r="BC956" s="3">
        <v>55</v>
      </c>
      <c r="BD956" s="2"/>
      <c r="BE956" s="1" t="s">
        <v>7779</v>
      </c>
      <c r="BF956" s="4">
        <f>HYPERLINK("http://dx.doi.org/10.22395/csye.v9n18a2","http://dx.doi.org/10.22395/csye.v9n18a2")</f>
      </c>
      <c r="BG956" s="1"/>
      <c r="BH956" s="1"/>
      <c r="BI956" s="1"/>
      <c r="BJ956" s="1"/>
      <c r="BK956" s="1"/>
      <c r="BL956" s="1"/>
      <c r="BM956" s="1"/>
      <c r="BN956" s="2"/>
      <c r="BO956" s="1"/>
      <c r="BP956" s="1"/>
      <c r="BQ956" s="1"/>
      <c r="BR956" s="1"/>
      <c r="BS956" s="1" t="s">
        <v>7780</v>
      </c>
      <c r="BT956" s="5">
        <f>HYPERLINK("https%3A%2F%2Fwww.webofscience.com%2Fwos%2Fwoscc%2Ffull-record%2FWOS:000596130500002","View Full Record in Web of Science")</f>
      </c>
    </row>
    <row x14ac:dyDescent="0.25" r="957" customHeight="1" ht="12.75">
      <c r="A957" s="1" t="s">
        <v>72</v>
      </c>
      <c r="B957" s="1" t="s">
        <v>7781</v>
      </c>
      <c r="C957" s="1"/>
      <c r="D957" s="1"/>
      <c r="E957" s="1"/>
      <c r="F957" s="1" t="s">
        <v>7782</v>
      </c>
      <c r="G957" s="1"/>
      <c r="H957" s="1"/>
      <c r="I957" s="1" t="s">
        <v>7783</v>
      </c>
      <c r="J957" s="1" t="s">
        <v>7784</v>
      </c>
      <c r="K957" s="1"/>
      <c r="L957" s="1"/>
      <c r="M957" s="1"/>
      <c r="N957" s="1"/>
      <c r="O957" s="1"/>
      <c r="P957" s="2"/>
      <c r="Q957" s="1"/>
      <c r="R957" s="1"/>
      <c r="S957" s="1"/>
      <c r="T957" s="1"/>
      <c r="U957" s="1"/>
      <c r="V957" s="1" t="s">
        <v>7785</v>
      </c>
      <c r="W957" s="1"/>
      <c r="X957" s="1"/>
      <c r="Y957" s="1"/>
      <c r="Z957" s="1"/>
      <c r="AA957" s="1" t="s">
        <v>7786</v>
      </c>
      <c r="AB957" s="1" t="s">
        <v>7787</v>
      </c>
      <c r="AC957" s="1"/>
      <c r="AD957" s="1"/>
      <c r="AE957" s="1"/>
      <c r="AF957" s="1"/>
      <c r="AG957" s="1"/>
      <c r="AH957" s="1"/>
      <c r="AI957" s="1"/>
      <c r="AJ957" s="1"/>
      <c r="AK957" s="1"/>
      <c r="AL957" s="1"/>
      <c r="AM957" s="1"/>
      <c r="AN957" s="1"/>
      <c r="AO957" s="1" t="s">
        <v>7788</v>
      </c>
      <c r="AP957" s="1" t="s">
        <v>7789</v>
      </c>
      <c r="AQ957" s="1"/>
      <c r="AR957" s="1"/>
      <c r="AS957" s="1"/>
      <c r="AT957" s="1" t="s">
        <v>5130</v>
      </c>
      <c r="AU957" s="3">
        <v>2020</v>
      </c>
      <c r="AV957" s="3">
        <v>29</v>
      </c>
      <c r="AW957" s="3">
        <v>2</v>
      </c>
      <c r="AX957" s="2"/>
      <c r="AY957" s="2"/>
      <c r="AZ957" s="1"/>
      <c r="BA957" s="2"/>
      <c r="BB957" s="2"/>
      <c r="BC957" s="2"/>
      <c r="BD957" s="2" t="s">
        <v>7790</v>
      </c>
      <c r="BE957" s="1" t="s">
        <v>7791</v>
      </c>
      <c r="BF957" s="4">
        <f>HYPERLINK("http://dx.doi.org/10.3145/epi.2020.mar.24","http://dx.doi.org/10.3145/epi.2020.mar.24")</f>
      </c>
      <c r="BG957" s="1"/>
      <c r="BH957" s="1"/>
      <c r="BI957" s="1"/>
      <c r="BJ957" s="1"/>
      <c r="BK957" s="1"/>
      <c r="BL957" s="1"/>
      <c r="BM957" s="1"/>
      <c r="BN957" s="2"/>
      <c r="BO957" s="1"/>
      <c r="BP957" s="1"/>
      <c r="BQ957" s="1"/>
      <c r="BR957" s="1"/>
      <c r="BS957" s="1" t="s">
        <v>7792</v>
      </c>
      <c r="BT957" s="5">
        <f>HYPERLINK("https%3A%2F%2Fwww.webofscience.com%2Fwos%2Fwoscc%2Ffull-record%2FWOS:000531811800022","View Full Record in Web of Science")</f>
      </c>
    </row>
    <row x14ac:dyDescent="0.25" r="958" customHeight="1" ht="12.75">
      <c r="A958" s="1" t="s">
        <v>72</v>
      </c>
      <c r="B958" s="1" t="s">
        <v>295</v>
      </c>
      <c r="C958" s="1"/>
      <c r="D958" s="1"/>
      <c r="E958" s="1"/>
      <c r="F958" s="1" t="s">
        <v>297</v>
      </c>
      <c r="G958" s="1"/>
      <c r="H958" s="1"/>
      <c r="I958" s="1" t="s">
        <v>7793</v>
      </c>
      <c r="J958" s="1" t="s">
        <v>1926</v>
      </c>
      <c r="K958" s="1"/>
      <c r="L958" s="1"/>
      <c r="M958" s="1"/>
      <c r="N958" s="1"/>
      <c r="O958" s="1"/>
      <c r="P958" s="2"/>
      <c r="Q958" s="1"/>
      <c r="R958" s="1"/>
      <c r="S958" s="1"/>
      <c r="T958" s="1"/>
      <c r="U958" s="1"/>
      <c r="V958" s="1" t="s">
        <v>7794</v>
      </c>
      <c r="W958" s="1"/>
      <c r="X958" s="1"/>
      <c r="Y958" s="1"/>
      <c r="Z958" s="1"/>
      <c r="AA958" s="1"/>
      <c r="AB958" s="1"/>
      <c r="AC958" s="1"/>
      <c r="AD958" s="1"/>
      <c r="AE958" s="1"/>
      <c r="AF958" s="1"/>
      <c r="AG958" s="1"/>
      <c r="AH958" s="1"/>
      <c r="AI958" s="1"/>
      <c r="AJ958" s="1"/>
      <c r="AK958" s="1"/>
      <c r="AL958" s="1"/>
      <c r="AM958" s="1"/>
      <c r="AN958" s="1"/>
      <c r="AO958" s="1" t="s">
        <v>1928</v>
      </c>
      <c r="AP958" s="1"/>
      <c r="AQ958" s="1"/>
      <c r="AR958" s="1"/>
      <c r="AS958" s="1"/>
      <c r="AT958" s="1" t="s">
        <v>103</v>
      </c>
      <c r="AU958" s="3">
        <v>2020</v>
      </c>
      <c r="AV958" s="3">
        <v>49</v>
      </c>
      <c r="AW958" s="2"/>
      <c r="AX958" s="2"/>
      <c r="AY958" s="2"/>
      <c r="AZ958" s="1"/>
      <c r="BA958" s="2"/>
      <c r="BB958" s="3">
        <v>209</v>
      </c>
      <c r="BC958" s="3">
        <v>221</v>
      </c>
      <c r="BD958" s="2"/>
      <c r="BE958" s="1"/>
      <c r="BF958" s="1"/>
      <c r="BG958" s="1"/>
      <c r="BH958" s="1"/>
      <c r="BI958" s="1"/>
      <c r="BJ958" s="1"/>
      <c r="BK958" s="1"/>
      <c r="BL958" s="1"/>
      <c r="BM958" s="1"/>
      <c r="BN958" s="2"/>
      <c r="BO958" s="1"/>
      <c r="BP958" s="1"/>
      <c r="BQ958" s="1"/>
      <c r="BR958" s="1"/>
      <c r="BS958" s="1" t="s">
        <v>7795</v>
      </c>
      <c r="BT958" s="5">
        <f>HYPERLINK("https%3A%2F%2Fwww.webofscience.com%2Fwos%2Fwoscc%2Ffull-record%2FWOS:000614863100002","View Full Record in Web of Science")</f>
      </c>
    </row>
    <row x14ac:dyDescent="0.25" r="959" customHeight="1" ht="12.75">
      <c r="A959" s="1" t="s">
        <v>778</v>
      </c>
      <c r="B959" s="1" t="s">
        <v>1307</v>
      </c>
      <c r="C959" s="1"/>
      <c r="D959" s="1" t="s">
        <v>7796</v>
      </c>
      <c r="E959" s="1"/>
      <c r="F959" s="1" t="s">
        <v>1308</v>
      </c>
      <c r="G959" s="1"/>
      <c r="H959" s="1"/>
      <c r="I959" s="1" t="s">
        <v>7797</v>
      </c>
      <c r="J959" s="1" t="s">
        <v>7798</v>
      </c>
      <c r="K959" s="1" t="s">
        <v>7799</v>
      </c>
      <c r="L959" s="1"/>
      <c r="M959" s="1"/>
      <c r="N959" s="1"/>
      <c r="O959" s="1"/>
      <c r="P959" s="2"/>
      <c r="Q959" s="1"/>
      <c r="R959" s="1"/>
      <c r="S959" s="1"/>
      <c r="T959" s="1"/>
      <c r="U959" s="1"/>
      <c r="V959" s="1" t="s">
        <v>7800</v>
      </c>
      <c r="W959" s="1"/>
      <c r="X959" s="1"/>
      <c r="Y959" s="1"/>
      <c r="Z959" s="1"/>
      <c r="AA959" s="1"/>
      <c r="AB959" s="1" t="s">
        <v>7801</v>
      </c>
      <c r="AC959" s="1"/>
      <c r="AD959" s="1"/>
      <c r="AE959" s="1"/>
      <c r="AF959" s="1"/>
      <c r="AG959" s="1"/>
      <c r="AH959" s="1"/>
      <c r="AI959" s="1"/>
      <c r="AJ959" s="1"/>
      <c r="AK959" s="1"/>
      <c r="AL959" s="1"/>
      <c r="AM959" s="1"/>
      <c r="AN959" s="1"/>
      <c r="AO959" s="1" t="s">
        <v>7802</v>
      </c>
      <c r="AP959" s="1" t="s">
        <v>7803</v>
      </c>
      <c r="AQ959" s="1" t="s">
        <v>7804</v>
      </c>
      <c r="AR959" s="1"/>
      <c r="AS959" s="1"/>
      <c r="AT959" s="1"/>
      <c r="AU959" s="3">
        <v>2020</v>
      </c>
      <c r="AV959" s="2"/>
      <c r="AW959" s="2"/>
      <c r="AX959" s="2"/>
      <c r="AY959" s="2"/>
      <c r="AZ959" s="1"/>
      <c r="BA959" s="2"/>
      <c r="BB959" s="3">
        <v>15</v>
      </c>
      <c r="BC959" s="3">
        <v>29</v>
      </c>
      <c r="BD959" s="2"/>
      <c r="BE959" s="1" t="s">
        <v>7805</v>
      </c>
      <c r="BF959" s="4">
        <f>HYPERLINK("http://dx.doi.org/10.1007/978-3-030-24254-1_2","http://dx.doi.org/10.1007/978-3-030-24254-1_2")</f>
      </c>
      <c r="BG959" s="1" t="s">
        <v>7806</v>
      </c>
      <c r="BH959" s="1"/>
      <c r="BI959" s="1"/>
      <c r="BJ959" s="1"/>
      <c r="BK959" s="1"/>
      <c r="BL959" s="1"/>
      <c r="BM959" s="1"/>
      <c r="BN959" s="2"/>
      <c r="BO959" s="1"/>
      <c r="BP959" s="1"/>
      <c r="BQ959" s="1"/>
      <c r="BR959" s="1"/>
      <c r="BS959" s="1" t="s">
        <v>7807</v>
      </c>
      <c r="BT959" s="5">
        <f>HYPERLINK("https%3A%2F%2Fwww.webofscience.com%2Fwos%2Fwoscc%2Ffull-record%2FWOS:000637313800004","View Full Record in Web of Science")</f>
      </c>
    </row>
    <row x14ac:dyDescent="0.25" r="960" customHeight="1" ht="12.75">
      <c r="A960" s="1" t="s">
        <v>267</v>
      </c>
      <c r="B960" s="1" t="s">
        <v>2322</v>
      </c>
      <c r="C960" s="1"/>
      <c r="D960" s="1" t="s">
        <v>296</v>
      </c>
      <c r="E960" s="1"/>
      <c r="F960" s="1" t="s">
        <v>2323</v>
      </c>
      <c r="G960" s="1"/>
      <c r="H960" s="1"/>
      <c r="I960" s="1" t="s">
        <v>7808</v>
      </c>
      <c r="J960" s="1" t="s">
        <v>299</v>
      </c>
      <c r="K960" s="1" t="s">
        <v>300</v>
      </c>
      <c r="L960" s="1"/>
      <c r="M960" s="1"/>
      <c r="N960" s="1"/>
      <c r="O960" s="1"/>
      <c r="P960" s="2"/>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t="s">
        <v>301</v>
      </c>
      <c r="AR960" s="1"/>
      <c r="AS960" s="1"/>
      <c r="AT960" s="1"/>
      <c r="AU960" s="3">
        <v>2020</v>
      </c>
      <c r="AV960" s="3">
        <v>8</v>
      </c>
      <c r="AW960" s="2"/>
      <c r="AX960" s="2"/>
      <c r="AY960" s="2"/>
      <c r="AZ960" s="1"/>
      <c r="BA960" s="2"/>
      <c r="BB960" s="3">
        <v>72</v>
      </c>
      <c r="BC960" s="3">
        <v>74</v>
      </c>
      <c r="BD960" s="2"/>
      <c r="BE960" s="1"/>
      <c r="BF960" s="1"/>
      <c r="BG960" s="1"/>
      <c r="BH960" s="1"/>
      <c r="BI960" s="1"/>
      <c r="BJ960" s="1"/>
      <c r="BK960" s="1"/>
      <c r="BL960" s="1"/>
      <c r="BM960" s="1"/>
      <c r="BN960" s="2"/>
      <c r="BO960" s="1"/>
      <c r="BP960" s="1"/>
      <c r="BQ960" s="1"/>
      <c r="BR960" s="1"/>
      <c r="BS960" s="1" t="s">
        <v>7809</v>
      </c>
      <c r="BT960" s="5">
        <f>HYPERLINK("https%3A%2F%2Fwww.webofscience.com%2Fwos%2Fwoscc%2Ffull-record%2FWOS:000608865900015","View Full Record in Web of Science")</f>
      </c>
    </row>
    <row x14ac:dyDescent="0.25" r="961" customHeight="1" ht="12.75">
      <c r="A961" s="1" t="s">
        <v>267</v>
      </c>
      <c r="B961" s="1" t="s">
        <v>2322</v>
      </c>
      <c r="C961" s="1"/>
      <c r="D961" s="1" t="s">
        <v>296</v>
      </c>
      <c r="E961" s="1"/>
      <c r="F961" s="1" t="s">
        <v>2323</v>
      </c>
      <c r="G961" s="1"/>
      <c r="H961" s="1"/>
      <c r="I961" s="1" t="s">
        <v>7810</v>
      </c>
      <c r="J961" s="1" t="s">
        <v>299</v>
      </c>
      <c r="K961" s="1" t="s">
        <v>300</v>
      </c>
      <c r="L961" s="1"/>
      <c r="M961" s="1"/>
      <c r="N961" s="1"/>
      <c r="O961" s="1"/>
      <c r="P961" s="2"/>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t="s">
        <v>301</v>
      </c>
      <c r="AR961" s="1"/>
      <c r="AS961" s="1"/>
      <c r="AT961" s="1"/>
      <c r="AU961" s="3">
        <v>2020</v>
      </c>
      <c r="AV961" s="3">
        <v>8</v>
      </c>
      <c r="AW961" s="2"/>
      <c r="AX961" s="2"/>
      <c r="AY961" s="2"/>
      <c r="AZ961" s="1"/>
      <c r="BA961" s="2"/>
      <c r="BB961" s="3">
        <v>116</v>
      </c>
      <c r="BC961" s="3">
        <v>120</v>
      </c>
      <c r="BD961" s="2"/>
      <c r="BE961" s="1"/>
      <c r="BF961" s="1"/>
      <c r="BG961" s="1"/>
      <c r="BH961" s="1"/>
      <c r="BI961" s="1"/>
      <c r="BJ961" s="1"/>
      <c r="BK961" s="1"/>
      <c r="BL961" s="1"/>
      <c r="BM961" s="1"/>
      <c r="BN961" s="2"/>
      <c r="BO961" s="1"/>
      <c r="BP961" s="1"/>
      <c r="BQ961" s="1"/>
      <c r="BR961" s="1"/>
      <c r="BS961" s="1" t="s">
        <v>7811</v>
      </c>
      <c r="BT961" s="5">
        <f>HYPERLINK("https%3A%2F%2Fwww.webofscience.com%2Fwos%2Fwoscc%2Ffull-record%2FWOS:000608865900028","View Full Record in Web of Science")</f>
      </c>
    </row>
    <row x14ac:dyDescent="0.25" r="962" customHeight="1" ht="12.75">
      <c r="A962" s="1" t="s">
        <v>303</v>
      </c>
      <c r="B962" s="1" t="s">
        <v>7812</v>
      </c>
      <c r="C962" s="1"/>
      <c r="D962" s="1"/>
      <c r="E962" s="1" t="s">
        <v>2821</v>
      </c>
      <c r="F962" s="1" t="s">
        <v>7813</v>
      </c>
      <c r="G962" s="1"/>
      <c r="H962" s="1"/>
      <c r="I962" s="1" t="s">
        <v>7814</v>
      </c>
      <c r="J962" s="1" t="s">
        <v>7815</v>
      </c>
      <c r="K962" s="1" t="s">
        <v>2825</v>
      </c>
      <c r="L962" s="1"/>
      <c r="M962" s="1"/>
      <c r="N962" s="1"/>
      <c r="O962" s="1" t="s">
        <v>7816</v>
      </c>
      <c r="P962" s="2" t="s">
        <v>7817</v>
      </c>
      <c r="Q962" s="1" t="s">
        <v>2828</v>
      </c>
      <c r="R962" s="1"/>
      <c r="S962" s="1"/>
      <c r="T962" s="1"/>
      <c r="U962" s="1"/>
      <c r="V962" s="1" t="s">
        <v>7818</v>
      </c>
      <c r="W962" s="1"/>
      <c r="X962" s="1"/>
      <c r="Y962" s="1"/>
      <c r="Z962" s="1"/>
      <c r="AA962" s="1"/>
      <c r="AB962" s="1"/>
      <c r="AC962" s="1"/>
      <c r="AD962" s="1"/>
      <c r="AE962" s="1"/>
      <c r="AF962" s="1"/>
      <c r="AG962" s="1"/>
      <c r="AH962" s="1"/>
      <c r="AI962" s="1"/>
      <c r="AJ962" s="1"/>
      <c r="AK962" s="1"/>
      <c r="AL962" s="1"/>
      <c r="AM962" s="1"/>
      <c r="AN962" s="1"/>
      <c r="AO962" s="1" t="s">
        <v>2831</v>
      </c>
      <c r="AP962" s="1"/>
      <c r="AQ962" s="1"/>
      <c r="AR962" s="1"/>
      <c r="AS962" s="1"/>
      <c r="AT962" s="1"/>
      <c r="AU962" s="3">
        <v>2019</v>
      </c>
      <c r="AV962" s="3">
        <v>471</v>
      </c>
      <c r="AW962" s="2"/>
      <c r="AX962" s="2"/>
      <c r="AY962" s="2"/>
      <c r="AZ962" s="1"/>
      <c r="BA962" s="2"/>
      <c r="BB962" s="2"/>
      <c r="BC962" s="2"/>
      <c r="BD962" s="3">
        <v>82036</v>
      </c>
      <c r="BE962" s="1" t="s">
        <v>7819</v>
      </c>
      <c r="BF962" s="4">
        <f>HYPERLINK("http://dx.doi.org/10.1088/1757-899X/471/8/082036","http://dx.doi.org/10.1088/1757-899X/471/8/082036")</f>
      </c>
      <c r="BG962" s="1"/>
      <c r="BH962" s="1"/>
      <c r="BI962" s="1"/>
      <c r="BJ962" s="1"/>
      <c r="BK962" s="1"/>
      <c r="BL962" s="1"/>
      <c r="BM962" s="1"/>
      <c r="BN962" s="2"/>
      <c r="BO962" s="1"/>
      <c r="BP962" s="1"/>
      <c r="BQ962" s="1"/>
      <c r="BR962" s="1"/>
      <c r="BS962" s="1" t="s">
        <v>7820</v>
      </c>
      <c r="BT962" s="5">
        <f>HYPERLINK("https%3A%2F%2Fwww.webofscience.com%2Fwos%2Fwoscc%2Ffull-record%2FWOS:000465811803082","View Full Record in Web of Science")</f>
      </c>
    </row>
    <row x14ac:dyDescent="0.25" r="963" customHeight="1" ht="12.75">
      <c r="A963" s="1" t="s">
        <v>303</v>
      </c>
      <c r="B963" s="1" t="s">
        <v>7821</v>
      </c>
      <c r="C963" s="1"/>
      <c r="D963" s="1" t="s">
        <v>7822</v>
      </c>
      <c r="E963" s="1"/>
      <c r="F963" s="1" t="s">
        <v>7823</v>
      </c>
      <c r="G963" s="1"/>
      <c r="H963" s="1"/>
      <c r="I963" s="1" t="s">
        <v>7824</v>
      </c>
      <c r="J963" s="1" t="s">
        <v>7825</v>
      </c>
      <c r="K963" s="1" t="s">
        <v>7826</v>
      </c>
      <c r="L963" s="1"/>
      <c r="M963" s="1"/>
      <c r="N963" s="1"/>
      <c r="O963" s="1" t="s">
        <v>7827</v>
      </c>
      <c r="P963" s="2" t="s">
        <v>7828</v>
      </c>
      <c r="Q963" s="1" t="s">
        <v>7829</v>
      </c>
      <c r="R963" s="1"/>
      <c r="S963" s="1"/>
      <c r="T963" s="1"/>
      <c r="U963" s="1"/>
      <c r="V963" s="1" t="s">
        <v>7830</v>
      </c>
      <c r="W963" s="1"/>
      <c r="X963" s="1"/>
      <c r="Y963" s="1"/>
      <c r="Z963" s="1"/>
      <c r="AA963" s="1" t="s">
        <v>3412</v>
      </c>
      <c r="AB963" s="1" t="s">
        <v>3413</v>
      </c>
      <c r="AC963" s="1"/>
      <c r="AD963" s="1"/>
      <c r="AE963" s="1"/>
      <c r="AF963" s="1"/>
      <c r="AG963" s="1"/>
      <c r="AH963" s="1"/>
      <c r="AI963" s="1"/>
      <c r="AJ963" s="1"/>
      <c r="AK963" s="1"/>
      <c r="AL963" s="1"/>
      <c r="AM963" s="1"/>
      <c r="AN963" s="1"/>
      <c r="AO963" s="1" t="s">
        <v>7831</v>
      </c>
      <c r="AP963" s="1"/>
      <c r="AQ963" s="1"/>
      <c r="AR963" s="1"/>
      <c r="AS963" s="1"/>
      <c r="AT963" s="1"/>
      <c r="AU963" s="3">
        <v>2019</v>
      </c>
      <c r="AV963" s="3">
        <v>39</v>
      </c>
      <c r="AW963" s="2"/>
      <c r="AX963" s="2"/>
      <c r="AY963" s="2"/>
      <c r="AZ963" s="1"/>
      <c r="BA963" s="2"/>
      <c r="BB963" s="3">
        <v>786</v>
      </c>
      <c r="BC963" s="3">
        <v>793</v>
      </c>
      <c r="BD963" s="2"/>
      <c r="BE963" s="1" t="s">
        <v>7832</v>
      </c>
      <c r="BF963" s="4">
        <f>HYPERLINK("http://dx.doi.org/10.1016/j.promfg.2020.01.430","http://dx.doi.org/10.1016/j.promfg.2020.01.430")</f>
      </c>
      <c r="BG963" s="1"/>
      <c r="BH963" s="1"/>
      <c r="BI963" s="1"/>
      <c r="BJ963" s="1"/>
      <c r="BK963" s="1"/>
      <c r="BL963" s="1"/>
      <c r="BM963" s="1"/>
      <c r="BN963" s="2"/>
      <c r="BO963" s="1"/>
      <c r="BP963" s="1"/>
      <c r="BQ963" s="1"/>
      <c r="BR963" s="1"/>
      <c r="BS963" s="1" t="s">
        <v>7833</v>
      </c>
      <c r="BT963" s="5">
        <f>HYPERLINK("https%3A%2F%2Fwww.webofscience.com%2Fwos%2Fwoscc%2Ffull-record%2FWOS:000889480200092","View Full Record in Web of Science")</f>
      </c>
    </row>
    <row x14ac:dyDescent="0.25" r="964" customHeight="1" ht="12.75">
      <c r="A964" s="1" t="s">
        <v>72</v>
      </c>
      <c r="B964" s="1" t="s">
        <v>7834</v>
      </c>
      <c r="C964" s="1"/>
      <c r="D964" s="1"/>
      <c r="E964" s="1"/>
      <c r="F964" s="1" t="s">
        <v>7835</v>
      </c>
      <c r="G964" s="1"/>
      <c r="H964" s="1"/>
      <c r="I964" s="1" t="s">
        <v>7836</v>
      </c>
      <c r="J964" s="1" t="s">
        <v>7837</v>
      </c>
      <c r="K964" s="1"/>
      <c r="L964" s="1"/>
      <c r="M964" s="1"/>
      <c r="N964" s="1"/>
      <c r="O964" s="1"/>
      <c r="P964" s="2"/>
      <c r="Q964" s="1"/>
      <c r="R964" s="1"/>
      <c r="S964" s="1"/>
      <c r="T964" s="1"/>
      <c r="U964" s="1"/>
      <c r="V964" s="1" t="s">
        <v>7838</v>
      </c>
      <c r="W964" s="1"/>
      <c r="X964" s="1"/>
      <c r="Y964" s="1"/>
      <c r="Z964" s="1"/>
      <c r="AA964" s="1"/>
      <c r="AB964" s="1" t="s">
        <v>7839</v>
      </c>
      <c r="AC964" s="1"/>
      <c r="AD964" s="1"/>
      <c r="AE964" s="1"/>
      <c r="AF964" s="1"/>
      <c r="AG964" s="1"/>
      <c r="AH964" s="1"/>
      <c r="AI964" s="1"/>
      <c r="AJ964" s="1"/>
      <c r="AK964" s="1"/>
      <c r="AL964" s="1"/>
      <c r="AM964" s="1"/>
      <c r="AN964" s="1"/>
      <c r="AO964" s="1" t="s">
        <v>7840</v>
      </c>
      <c r="AP964" s="1" t="s">
        <v>7841</v>
      </c>
      <c r="AQ964" s="1"/>
      <c r="AR964" s="1"/>
      <c r="AS964" s="1"/>
      <c r="AT964" s="1" t="s">
        <v>204</v>
      </c>
      <c r="AU964" s="3">
        <v>2018</v>
      </c>
      <c r="AV964" s="3">
        <v>10</v>
      </c>
      <c r="AW964" s="3">
        <v>4</v>
      </c>
      <c r="AX964" s="2"/>
      <c r="AY964" s="2"/>
      <c r="AZ964" s="1"/>
      <c r="BA964" s="2"/>
      <c r="BB964" s="3">
        <v>933</v>
      </c>
      <c r="BC964" s="3">
        <v>940</v>
      </c>
      <c r="BD964" s="2"/>
      <c r="BE964" s="1" t="s">
        <v>7842</v>
      </c>
      <c r="BF964" s="4">
        <f>HYPERLINK("http://dx.doi.org/10.1142/S1793525318500322","http://dx.doi.org/10.1142/S1793525318500322")</f>
      </c>
      <c r="BG964" s="1"/>
      <c r="BH964" s="1"/>
      <c r="BI964" s="1"/>
      <c r="BJ964" s="1"/>
      <c r="BK964" s="1"/>
      <c r="BL964" s="1"/>
      <c r="BM964" s="1"/>
      <c r="BN964" s="2"/>
      <c r="BO964" s="1"/>
      <c r="BP964" s="1"/>
      <c r="BQ964" s="1"/>
      <c r="BR964" s="1"/>
      <c r="BS964" s="1" t="s">
        <v>7843</v>
      </c>
      <c r="BT964" s="5">
        <f>HYPERLINK("https%3A%2F%2Fwww.webofscience.com%2Fwos%2Fwoscc%2Ffull-record%2FWOS:000451435100007","View Full Record in Web of Science")</f>
      </c>
    </row>
    <row x14ac:dyDescent="0.25" r="965" customHeight="1" ht="12.75">
      <c r="A965" s="1" t="s">
        <v>72</v>
      </c>
      <c r="B965" s="1" t="s">
        <v>348</v>
      </c>
      <c r="C965" s="1"/>
      <c r="D965" s="1"/>
      <c r="E965" s="1"/>
      <c r="F965" s="1" t="s">
        <v>349</v>
      </c>
      <c r="G965" s="1"/>
      <c r="H965" s="1"/>
      <c r="I965" s="1" t="s">
        <v>7844</v>
      </c>
      <c r="J965" s="1" t="s">
        <v>343</v>
      </c>
      <c r="K965" s="1"/>
      <c r="L965" s="1"/>
      <c r="M965" s="1"/>
      <c r="N965" s="1"/>
      <c r="O965" s="1"/>
      <c r="P965" s="2"/>
      <c r="Q965" s="1"/>
      <c r="R965" s="1"/>
      <c r="S965" s="1"/>
      <c r="T965" s="1"/>
      <c r="U965" s="1"/>
      <c r="V965" s="1" t="s">
        <v>7845</v>
      </c>
      <c r="W965" s="1"/>
      <c r="X965" s="1"/>
      <c r="Y965" s="1"/>
      <c r="Z965" s="1"/>
      <c r="AA965" s="1"/>
      <c r="AB965" s="1"/>
      <c r="AC965" s="1"/>
      <c r="AD965" s="1"/>
      <c r="AE965" s="1"/>
      <c r="AF965" s="1"/>
      <c r="AG965" s="1"/>
      <c r="AH965" s="1"/>
      <c r="AI965" s="1"/>
      <c r="AJ965" s="1"/>
      <c r="AK965" s="1"/>
      <c r="AL965" s="1"/>
      <c r="AM965" s="1"/>
      <c r="AN965" s="1"/>
      <c r="AO965" s="1" t="s">
        <v>345</v>
      </c>
      <c r="AP965" s="1"/>
      <c r="AQ965" s="1"/>
      <c r="AR965" s="1"/>
      <c r="AS965" s="1"/>
      <c r="AT965" s="1" t="s">
        <v>265</v>
      </c>
      <c r="AU965" s="3">
        <v>2017</v>
      </c>
      <c r="AV965" s="3">
        <v>66</v>
      </c>
      <c r="AW965" s="3">
        <v>164</v>
      </c>
      <c r="AX965" s="2"/>
      <c r="AY965" s="2"/>
      <c r="AZ965" s="1"/>
      <c r="BA965" s="2"/>
      <c r="BB965" s="3">
        <v>151</v>
      </c>
      <c r="BC965" s="3">
        <v>179</v>
      </c>
      <c r="BD965" s="2"/>
      <c r="BE965" s="1" t="s">
        <v>7846</v>
      </c>
      <c r="BF965" s="4">
        <f>HYPERLINK("http://dx.doi.org/10.15446/ideasyvalores.v66n164.45177","http://dx.doi.org/10.15446/ideasyvalores.v66n164.45177")</f>
      </c>
      <c r="BG965" s="1"/>
      <c r="BH965" s="1"/>
      <c r="BI965" s="1"/>
      <c r="BJ965" s="1"/>
      <c r="BK965" s="1"/>
      <c r="BL965" s="1"/>
      <c r="BM965" s="1"/>
      <c r="BN965" s="2"/>
      <c r="BO965" s="1"/>
      <c r="BP965" s="1"/>
      <c r="BQ965" s="1"/>
      <c r="BR965" s="1"/>
      <c r="BS965" s="1" t="s">
        <v>7847</v>
      </c>
      <c r="BT965" s="5">
        <f>HYPERLINK("https%3A%2F%2Fwww.webofscience.com%2Fwos%2Fwoscc%2Ffull-record%2FWOS:000408725400007","View Full Record in Web of Science")</f>
      </c>
    </row>
    <row x14ac:dyDescent="0.25" r="966" customHeight="1" ht="12.75">
      <c r="A966" s="1" t="s">
        <v>72</v>
      </c>
      <c r="B966" s="1" t="s">
        <v>7848</v>
      </c>
      <c r="C966" s="1"/>
      <c r="D966" s="1"/>
      <c r="E966" s="1"/>
      <c r="F966" s="1" t="s">
        <v>7849</v>
      </c>
      <c r="G966" s="1"/>
      <c r="H966" s="1"/>
      <c r="I966" s="1" t="s">
        <v>7850</v>
      </c>
      <c r="J966" s="1" t="s">
        <v>358</v>
      </c>
      <c r="K966" s="1"/>
      <c r="L966" s="1"/>
      <c r="M966" s="1"/>
      <c r="N966" s="1"/>
      <c r="O966" s="1"/>
      <c r="P966" s="2"/>
      <c r="Q966" s="1"/>
      <c r="R966" s="1"/>
      <c r="S966" s="1"/>
      <c r="T966" s="1"/>
      <c r="U966" s="1"/>
      <c r="V966" s="1" t="s">
        <v>7851</v>
      </c>
      <c r="W966" s="1"/>
      <c r="X966" s="1"/>
      <c r="Y966" s="1"/>
      <c r="Z966" s="1"/>
      <c r="AA966" s="1"/>
      <c r="AB966" s="1" t="s">
        <v>7852</v>
      </c>
      <c r="AC966" s="1"/>
      <c r="AD966" s="1"/>
      <c r="AE966" s="1"/>
      <c r="AF966" s="1"/>
      <c r="AG966" s="1"/>
      <c r="AH966" s="1"/>
      <c r="AI966" s="1"/>
      <c r="AJ966" s="1"/>
      <c r="AK966" s="1"/>
      <c r="AL966" s="1"/>
      <c r="AM966" s="1"/>
      <c r="AN966" s="1"/>
      <c r="AO966" s="1" t="s">
        <v>359</v>
      </c>
      <c r="AP966" s="1"/>
      <c r="AQ966" s="1"/>
      <c r="AR966" s="1"/>
      <c r="AS966" s="1"/>
      <c r="AT966" s="1" t="s">
        <v>158</v>
      </c>
      <c r="AU966" s="3">
        <v>2017</v>
      </c>
      <c r="AV966" s="3">
        <v>50</v>
      </c>
      <c r="AW966" s="3">
        <v>2</v>
      </c>
      <c r="AX966" s="2"/>
      <c r="AY966" s="2"/>
      <c r="AZ966" s="1"/>
      <c r="BA966" s="2"/>
      <c r="BB966" s="3">
        <v>699</v>
      </c>
      <c r="BC966" s="3">
        <v>728</v>
      </c>
      <c r="BD966" s="2"/>
      <c r="BE966" s="1"/>
      <c r="BF966" s="1"/>
      <c r="BG966" s="1"/>
      <c r="BH966" s="1"/>
      <c r="BI966" s="1"/>
      <c r="BJ966" s="1"/>
      <c r="BK966" s="1"/>
      <c r="BL966" s="1"/>
      <c r="BM966" s="1"/>
      <c r="BN966" s="2"/>
      <c r="BO966" s="1"/>
      <c r="BP966" s="1"/>
      <c r="BQ966" s="1"/>
      <c r="BR966" s="1"/>
      <c r="BS966" s="1" t="s">
        <v>7853</v>
      </c>
      <c r="BT966" s="5">
        <f>HYPERLINK("https%3A%2F%2Fwww.webofscience.com%2Fwos%2Fwoscc%2Ffull-record%2FWOS:000425266000010","View Full Record in Web of Science")</f>
      </c>
    </row>
    <row x14ac:dyDescent="0.25" r="967" customHeight="1" ht="12.75">
      <c r="A967" s="1" t="s">
        <v>72</v>
      </c>
      <c r="B967" s="1" t="s">
        <v>7854</v>
      </c>
      <c r="C967" s="1"/>
      <c r="D967" s="1"/>
      <c r="E967" s="1"/>
      <c r="F967" s="1" t="s">
        <v>7855</v>
      </c>
      <c r="G967" s="1"/>
      <c r="H967" s="1"/>
      <c r="I967" s="1" t="s">
        <v>7856</v>
      </c>
      <c r="J967" s="1" t="s">
        <v>6409</v>
      </c>
      <c r="K967" s="1"/>
      <c r="L967" s="1"/>
      <c r="M967" s="1"/>
      <c r="N967" s="1"/>
      <c r="O967" s="1"/>
      <c r="P967" s="2"/>
      <c r="Q967" s="1"/>
      <c r="R967" s="1"/>
      <c r="S967" s="1"/>
      <c r="T967" s="1"/>
      <c r="U967" s="1"/>
      <c r="V967" s="1" t="s">
        <v>7857</v>
      </c>
      <c r="W967" s="1"/>
      <c r="X967" s="1"/>
      <c r="Y967" s="1"/>
      <c r="Z967" s="1"/>
      <c r="AA967" s="1" t="s">
        <v>7858</v>
      </c>
      <c r="AB967" s="1" t="s">
        <v>7859</v>
      </c>
      <c r="AC967" s="1"/>
      <c r="AD967" s="1"/>
      <c r="AE967" s="1"/>
      <c r="AF967" s="1"/>
      <c r="AG967" s="1"/>
      <c r="AH967" s="1"/>
      <c r="AI967" s="1"/>
      <c r="AJ967" s="1"/>
      <c r="AK967" s="1"/>
      <c r="AL967" s="1"/>
      <c r="AM967" s="1"/>
      <c r="AN967" s="1"/>
      <c r="AO967" s="1"/>
      <c r="AP967" s="1" t="s">
        <v>6413</v>
      </c>
      <c r="AQ967" s="1"/>
      <c r="AR967" s="1"/>
      <c r="AS967" s="1"/>
      <c r="AT967" s="1" t="s">
        <v>567</v>
      </c>
      <c r="AU967" s="3">
        <v>2017</v>
      </c>
      <c r="AV967" s="3">
        <v>9</v>
      </c>
      <c r="AW967" s="3">
        <v>4</v>
      </c>
      <c r="AX967" s="2"/>
      <c r="AY967" s="2"/>
      <c r="AZ967" s="1"/>
      <c r="BA967" s="2"/>
      <c r="BB967" s="2"/>
      <c r="BC967" s="2"/>
      <c r="BD967" s="3">
        <v>117</v>
      </c>
      <c r="BE967" s="1" t="s">
        <v>7860</v>
      </c>
      <c r="BF967" s="4">
        <f>HYPERLINK("http://dx.doi.org/10.3390/polym9040117","http://dx.doi.org/10.3390/polym9040117")</f>
      </c>
      <c r="BG967" s="1"/>
      <c r="BH967" s="1"/>
      <c r="BI967" s="1"/>
      <c r="BJ967" s="1"/>
      <c r="BK967" s="1"/>
      <c r="BL967" s="1"/>
      <c r="BM967" s="1"/>
      <c r="BN967" s="3">
        <v>30970812</v>
      </c>
      <c r="BO967" s="1"/>
      <c r="BP967" s="1"/>
      <c r="BQ967" s="1"/>
      <c r="BR967" s="1"/>
      <c r="BS967" s="1" t="s">
        <v>7861</v>
      </c>
      <c r="BT967" s="5">
        <f>HYPERLINK("https%3A%2F%2Fwww.webofscience.com%2Fwos%2Fwoscc%2Ffull-record%2FWOS:000401719700003","View Full Record in Web of Science")</f>
      </c>
    </row>
    <row x14ac:dyDescent="0.25" r="968" customHeight="1" ht="12.75">
      <c r="A968" s="1" t="s">
        <v>72</v>
      </c>
      <c r="B968" s="1" t="s">
        <v>7862</v>
      </c>
      <c r="C968" s="1"/>
      <c r="D968" s="1"/>
      <c r="E968" s="1"/>
      <c r="F968" s="1" t="s">
        <v>7863</v>
      </c>
      <c r="G968" s="1"/>
      <c r="H968" s="1"/>
      <c r="I968" s="1" t="s">
        <v>7864</v>
      </c>
      <c r="J968" s="1" t="s">
        <v>7865</v>
      </c>
      <c r="K968" s="1"/>
      <c r="L968" s="1"/>
      <c r="M968" s="1"/>
      <c r="N968" s="1"/>
      <c r="O968" s="1"/>
      <c r="P968" s="2"/>
      <c r="Q968" s="1"/>
      <c r="R968" s="1"/>
      <c r="S968" s="1"/>
      <c r="T968" s="1"/>
      <c r="U968" s="1"/>
      <c r="V968" s="1" t="s">
        <v>7866</v>
      </c>
      <c r="W968" s="1"/>
      <c r="X968" s="1"/>
      <c r="Y968" s="1"/>
      <c r="Z968" s="1"/>
      <c r="AA968" s="1" t="s">
        <v>7867</v>
      </c>
      <c r="AB968" s="1" t="s">
        <v>7868</v>
      </c>
      <c r="AC968" s="1"/>
      <c r="AD968" s="1"/>
      <c r="AE968" s="1"/>
      <c r="AF968" s="1"/>
      <c r="AG968" s="1"/>
      <c r="AH968" s="1"/>
      <c r="AI968" s="1"/>
      <c r="AJ968" s="1"/>
      <c r="AK968" s="1"/>
      <c r="AL968" s="1"/>
      <c r="AM968" s="1"/>
      <c r="AN968" s="1"/>
      <c r="AO968" s="1" t="s">
        <v>7869</v>
      </c>
      <c r="AP968" s="1" t="s">
        <v>7870</v>
      </c>
      <c r="AQ968" s="1"/>
      <c r="AR968" s="1"/>
      <c r="AS968" s="1"/>
      <c r="AT968" s="1"/>
      <c r="AU968" s="3">
        <v>2017</v>
      </c>
      <c r="AV968" s="3">
        <v>47</v>
      </c>
      <c r="AW968" s="3">
        <v>2</v>
      </c>
      <c r="AX968" s="2"/>
      <c r="AY968" s="2"/>
      <c r="AZ968" s="1"/>
      <c r="BA968" s="2"/>
      <c r="BB968" s="3">
        <v>257</v>
      </c>
      <c r="BC968" s="3">
        <v>262</v>
      </c>
      <c r="BD968" s="2"/>
      <c r="BE968" s="1" t="s">
        <v>7871</v>
      </c>
      <c r="BF968" s="4">
        <f>HYPERLINK("http://dx.doi.org/10.5277/oa170208","http://dx.doi.org/10.5277/oa170208")</f>
      </c>
      <c r="BG968" s="1"/>
      <c r="BH968" s="1"/>
      <c r="BI968" s="1"/>
      <c r="BJ968" s="1"/>
      <c r="BK968" s="1"/>
      <c r="BL968" s="1"/>
      <c r="BM968" s="1"/>
      <c r="BN968" s="2"/>
      <c r="BO968" s="1"/>
      <c r="BP968" s="1"/>
      <c r="BQ968" s="1"/>
      <c r="BR968" s="1"/>
      <c r="BS968" s="1" t="s">
        <v>7872</v>
      </c>
      <c r="BT968" s="5">
        <f>HYPERLINK("https%3A%2F%2Fwww.webofscience.com%2Fwos%2Fwoscc%2Ffull-record%2FWOS:000428218700008","View Full Record in Web of Science")</f>
      </c>
    </row>
    <row x14ac:dyDescent="0.25" r="969" customHeight="1" ht="12.75">
      <c r="A969" s="1" t="s">
        <v>267</v>
      </c>
      <c r="B969" s="1" t="s">
        <v>7873</v>
      </c>
      <c r="C969" s="1" t="s">
        <v>7874</v>
      </c>
      <c r="D969" s="1"/>
      <c r="E969" s="1"/>
      <c r="F969" s="1" t="s">
        <v>7875</v>
      </c>
      <c r="G969" s="1" t="s">
        <v>7874</v>
      </c>
      <c r="H969" s="1"/>
      <c r="I969" s="1" t="s">
        <v>7876</v>
      </c>
      <c r="J969" s="1" t="s">
        <v>7877</v>
      </c>
      <c r="K969" s="1" t="s">
        <v>7878</v>
      </c>
      <c r="L969" s="1"/>
      <c r="M969" s="1"/>
      <c r="N969" s="1"/>
      <c r="O969" s="1"/>
      <c r="P969" s="2"/>
      <c r="Q969" s="1"/>
      <c r="R969" s="1"/>
      <c r="S969" s="1"/>
      <c r="T969" s="1"/>
      <c r="U969" s="1"/>
      <c r="V969" s="1" t="s">
        <v>7879</v>
      </c>
      <c r="W969" s="1"/>
      <c r="X969" s="1"/>
      <c r="Y969" s="1"/>
      <c r="Z969" s="1"/>
      <c r="AA969" s="1" t="s">
        <v>201</v>
      </c>
      <c r="AB969" s="1" t="s">
        <v>1152</v>
      </c>
      <c r="AC969" s="1"/>
      <c r="AD969" s="1"/>
      <c r="AE969" s="1"/>
      <c r="AF969" s="1"/>
      <c r="AG969" s="1"/>
      <c r="AH969" s="1"/>
      <c r="AI969" s="1"/>
      <c r="AJ969" s="1"/>
      <c r="AK969" s="1"/>
      <c r="AL969" s="1"/>
      <c r="AM969" s="1"/>
      <c r="AN969" s="1"/>
      <c r="AO969" s="1"/>
      <c r="AP969" s="1"/>
      <c r="AQ969" s="1" t="s">
        <v>7880</v>
      </c>
      <c r="AR969" s="1"/>
      <c r="AS969" s="1"/>
      <c r="AT969" s="1"/>
      <c r="AU969" s="3">
        <v>2017</v>
      </c>
      <c r="AV969" s="2"/>
      <c r="AW969" s="2"/>
      <c r="AX969" s="2"/>
      <c r="AY969" s="2"/>
      <c r="AZ969" s="1"/>
      <c r="BA969" s="2"/>
      <c r="BB969" s="3">
        <v>231</v>
      </c>
      <c r="BC969" s="3">
        <v>255</v>
      </c>
      <c r="BD969" s="2"/>
      <c r="BE969" s="1" t="s">
        <v>7881</v>
      </c>
      <c r="BF969" s="4">
        <f>HYPERLINK("http://dx.doi.org/10.4018/978-1-5225-1025-3.ch011","http://dx.doi.org/10.4018/978-1-5225-1025-3.ch011")</f>
      </c>
      <c r="BG969" s="1" t="s">
        <v>7882</v>
      </c>
      <c r="BH969" s="1"/>
      <c r="BI969" s="1"/>
      <c r="BJ969" s="1"/>
      <c r="BK969" s="1"/>
      <c r="BL969" s="1"/>
      <c r="BM969" s="1"/>
      <c r="BN969" s="2"/>
      <c r="BO969" s="1"/>
      <c r="BP969" s="1"/>
      <c r="BQ969" s="1"/>
      <c r="BR969" s="1"/>
      <c r="BS969" s="1" t="s">
        <v>7883</v>
      </c>
      <c r="BT969" s="5">
        <f>HYPERLINK("https%3A%2F%2Fwww.webofscience.com%2Fwos%2Fwoscc%2Ffull-record%2FWOS:000404128900013","View Full Record in Web of Science")</f>
      </c>
    </row>
    <row x14ac:dyDescent="0.25" r="970" customHeight="1" ht="12.75">
      <c r="A970" s="1" t="s">
        <v>72</v>
      </c>
      <c r="B970" s="1" t="s">
        <v>7884</v>
      </c>
      <c r="C970" s="1"/>
      <c r="D970" s="1"/>
      <c r="E970" s="1"/>
      <c r="F970" s="1" t="s">
        <v>7885</v>
      </c>
      <c r="G970" s="1"/>
      <c r="H970" s="1"/>
      <c r="I970" s="1" t="s">
        <v>7886</v>
      </c>
      <c r="J970" s="1" t="s">
        <v>7887</v>
      </c>
      <c r="K970" s="1"/>
      <c r="L970" s="1"/>
      <c r="M970" s="1"/>
      <c r="N970" s="1"/>
      <c r="O970" s="1"/>
      <c r="P970" s="2"/>
      <c r="Q970" s="1"/>
      <c r="R970" s="1"/>
      <c r="S970" s="1"/>
      <c r="T970" s="1"/>
      <c r="U970" s="1"/>
      <c r="V970" s="1" t="s">
        <v>7888</v>
      </c>
      <c r="W970" s="1"/>
      <c r="X970" s="1"/>
      <c r="Y970" s="1"/>
      <c r="Z970" s="1"/>
      <c r="AA970" s="1" t="s">
        <v>201</v>
      </c>
      <c r="AB970" s="1" t="s">
        <v>1152</v>
      </c>
      <c r="AC970" s="1"/>
      <c r="AD970" s="1"/>
      <c r="AE970" s="1"/>
      <c r="AF970" s="1"/>
      <c r="AG970" s="1"/>
      <c r="AH970" s="1"/>
      <c r="AI970" s="1"/>
      <c r="AJ970" s="1"/>
      <c r="AK970" s="1"/>
      <c r="AL970" s="1"/>
      <c r="AM970" s="1"/>
      <c r="AN970" s="1"/>
      <c r="AO970" s="1" t="s">
        <v>7889</v>
      </c>
      <c r="AP970" s="1"/>
      <c r="AQ970" s="1"/>
      <c r="AR970" s="1"/>
      <c r="AS970" s="1"/>
      <c r="AT970" s="1" t="s">
        <v>683</v>
      </c>
      <c r="AU970" s="3">
        <v>2016</v>
      </c>
      <c r="AV970" s="3">
        <v>14</v>
      </c>
      <c r="AW970" s="3">
        <v>5</v>
      </c>
      <c r="AX970" s="2"/>
      <c r="AY970" s="2"/>
      <c r="AZ970" s="1"/>
      <c r="BA970" s="2"/>
      <c r="BB970" s="3">
        <v>2099</v>
      </c>
      <c r="BC970" s="3">
        <v>2106</v>
      </c>
      <c r="BD970" s="2"/>
      <c r="BE970" s="1" t="s">
        <v>7890</v>
      </c>
      <c r="BF970" s="4">
        <f>HYPERLINK("http://dx.doi.org/10.1109/TLA.2016.7530401","http://dx.doi.org/10.1109/TLA.2016.7530401")</f>
      </c>
      <c r="BG970" s="1"/>
      <c r="BH970" s="1"/>
      <c r="BI970" s="1"/>
      <c r="BJ970" s="1"/>
      <c r="BK970" s="1"/>
      <c r="BL970" s="1"/>
      <c r="BM970" s="1"/>
      <c r="BN970" s="2"/>
      <c r="BO970" s="1"/>
      <c r="BP970" s="1"/>
      <c r="BQ970" s="1"/>
      <c r="BR970" s="1"/>
      <c r="BS970" s="1" t="s">
        <v>7891</v>
      </c>
      <c r="BT970" s="5">
        <f>HYPERLINK("https%3A%2F%2Fwww.webofscience.com%2Fwos%2Fwoscc%2Ffull-record%2FWOS:000381583000010","View Full Record in Web of Science")</f>
      </c>
    </row>
    <row x14ac:dyDescent="0.25" r="971" customHeight="1" ht="12.75">
      <c r="A971" s="1" t="s">
        <v>72</v>
      </c>
      <c r="B971" s="1" t="s">
        <v>4282</v>
      </c>
      <c r="C971" s="1"/>
      <c r="D971" s="1"/>
      <c r="E971" s="1"/>
      <c r="F971" s="1" t="s">
        <v>4283</v>
      </c>
      <c r="G971" s="1"/>
      <c r="H971" s="1"/>
      <c r="I971" s="1" t="s">
        <v>7892</v>
      </c>
      <c r="J971" s="1" t="s">
        <v>2920</v>
      </c>
      <c r="K971" s="1"/>
      <c r="L971" s="1"/>
      <c r="M971" s="1"/>
      <c r="N971" s="1"/>
      <c r="O971" s="1"/>
      <c r="P971" s="2"/>
      <c r="Q971" s="1"/>
      <c r="R971" s="1"/>
      <c r="S971" s="1"/>
      <c r="T971" s="1"/>
      <c r="U971" s="1"/>
      <c r="V971" s="1" t="s">
        <v>7893</v>
      </c>
      <c r="W971" s="1"/>
      <c r="X971" s="1"/>
      <c r="Y971" s="1"/>
      <c r="Z971" s="1"/>
      <c r="AA971" s="1" t="s">
        <v>7894</v>
      </c>
      <c r="AB971" s="1" t="s">
        <v>2923</v>
      </c>
      <c r="AC971" s="1"/>
      <c r="AD971" s="1"/>
      <c r="AE971" s="1"/>
      <c r="AF971" s="1"/>
      <c r="AG971" s="1"/>
      <c r="AH971" s="1"/>
      <c r="AI971" s="1"/>
      <c r="AJ971" s="1"/>
      <c r="AK971" s="1"/>
      <c r="AL971" s="1"/>
      <c r="AM971" s="1"/>
      <c r="AN971" s="1"/>
      <c r="AO971" s="1" t="s">
        <v>2924</v>
      </c>
      <c r="AP971" s="1" t="s">
        <v>2925</v>
      </c>
      <c r="AQ971" s="1"/>
      <c r="AR971" s="1"/>
      <c r="AS971" s="1"/>
      <c r="AT971" s="1"/>
      <c r="AU971" s="3">
        <v>2016</v>
      </c>
      <c r="AV971" s="3">
        <v>19</v>
      </c>
      <c r="AW971" s="3">
        <v>11</v>
      </c>
      <c r="AX971" s="2"/>
      <c r="AY971" s="2"/>
      <c r="AZ971" s="1"/>
      <c r="BA971" s="2"/>
      <c r="BB971" s="3">
        <v>941</v>
      </c>
      <c r="BC971" s="3">
        <v>953</v>
      </c>
      <c r="BD971" s="2"/>
      <c r="BE971" s="1"/>
      <c r="BF971" s="1"/>
      <c r="BG971" s="1"/>
      <c r="BH971" s="1"/>
      <c r="BI971" s="1"/>
      <c r="BJ971" s="1"/>
      <c r="BK971" s="1"/>
      <c r="BL971" s="1"/>
      <c r="BM971" s="1"/>
      <c r="BN971" s="2"/>
      <c r="BO971" s="1"/>
      <c r="BP971" s="1"/>
      <c r="BQ971" s="1"/>
      <c r="BR971" s="1"/>
      <c r="BS971" s="1" t="s">
        <v>7895</v>
      </c>
      <c r="BT971" s="5">
        <f>HYPERLINK("https%3A%2F%2Fwww.webofscience.com%2Fwos%2Fwoscc%2Ffull-record%2FWOS:000387800600002","View Full Record in Web of Science")</f>
      </c>
    </row>
    <row x14ac:dyDescent="0.25" r="972" customHeight="1" ht="12.75">
      <c r="A972" s="1" t="s">
        <v>267</v>
      </c>
      <c r="B972" s="1" t="s">
        <v>2158</v>
      </c>
      <c r="C972" s="1" t="s">
        <v>2159</v>
      </c>
      <c r="D972" s="1"/>
      <c r="E972" s="1"/>
      <c r="F972" s="1" t="s">
        <v>2160</v>
      </c>
      <c r="G972" s="1" t="s">
        <v>2159</v>
      </c>
      <c r="H972" s="1"/>
      <c r="I972" s="1" t="s">
        <v>7896</v>
      </c>
      <c r="J972" s="1" t="s">
        <v>2162</v>
      </c>
      <c r="K972" s="1" t="s">
        <v>2163</v>
      </c>
      <c r="L972" s="1"/>
      <c r="M972" s="1"/>
      <c r="N972" s="1"/>
      <c r="O972" s="1"/>
      <c r="P972" s="2"/>
      <c r="Q972" s="1"/>
      <c r="R972" s="1"/>
      <c r="S972" s="1"/>
      <c r="T972" s="1"/>
      <c r="U972" s="1"/>
      <c r="V972" s="1"/>
      <c r="W972" s="1"/>
      <c r="X972" s="1"/>
      <c r="Y972" s="1"/>
      <c r="Z972" s="1"/>
      <c r="AA972" s="1" t="s">
        <v>450</v>
      </c>
      <c r="AB972" s="1"/>
      <c r="AC972" s="1"/>
      <c r="AD972" s="1"/>
      <c r="AE972" s="1"/>
      <c r="AF972" s="1"/>
      <c r="AG972" s="1"/>
      <c r="AH972" s="1"/>
      <c r="AI972" s="1"/>
      <c r="AJ972" s="1"/>
      <c r="AK972" s="1"/>
      <c r="AL972" s="1"/>
      <c r="AM972" s="1"/>
      <c r="AN972" s="1"/>
      <c r="AO972" s="1"/>
      <c r="AP972" s="1"/>
      <c r="AQ972" s="1" t="s">
        <v>2164</v>
      </c>
      <c r="AR972" s="1"/>
      <c r="AS972" s="1"/>
      <c r="AT972" s="1"/>
      <c r="AU972" s="3">
        <v>2016</v>
      </c>
      <c r="AV972" s="2"/>
      <c r="AW972" s="2"/>
      <c r="AX972" s="2"/>
      <c r="AY972" s="2"/>
      <c r="AZ972" s="1"/>
      <c r="BA972" s="2"/>
      <c r="BB972" s="3">
        <v>1</v>
      </c>
      <c r="BC972" s="2" t="s">
        <v>1630</v>
      </c>
      <c r="BD972" s="2"/>
      <c r="BE972" s="1"/>
      <c r="BF972" s="1"/>
      <c r="BG972" s="1"/>
      <c r="BH972" s="1"/>
      <c r="BI972" s="1"/>
      <c r="BJ972" s="1"/>
      <c r="BK972" s="1"/>
      <c r="BL972" s="1"/>
      <c r="BM972" s="1"/>
      <c r="BN972" s="2"/>
      <c r="BO972" s="1"/>
      <c r="BP972" s="1"/>
      <c r="BQ972" s="1"/>
      <c r="BR972" s="1"/>
      <c r="BS972" s="1" t="s">
        <v>7897</v>
      </c>
      <c r="BT972" s="5">
        <f>HYPERLINK("https%3A%2F%2Fwww.webofscience.com%2Fwos%2Fwoscc%2Ffull-record%2FWOS:000458913900001","View Full Record in Web of Science")</f>
      </c>
    </row>
    <row x14ac:dyDescent="0.25" r="973" customHeight="1" ht="12.75">
      <c r="A973" s="1" t="s">
        <v>778</v>
      </c>
      <c r="B973" s="1" t="s">
        <v>7898</v>
      </c>
      <c r="C973" s="1"/>
      <c r="D973" s="1" t="s">
        <v>7899</v>
      </c>
      <c r="E973" s="1"/>
      <c r="F973" s="1" t="s">
        <v>7900</v>
      </c>
      <c r="G973" s="1"/>
      <c r="H973" s="1"/>
      <c r="I973" s="1" t="s">
        <v>7901</v>
      </c>
      <c r="J973" s="1" t="s">
        <v>7902</v>
      </c>
      <c r="K973" s="1" t="s">
        <v>7903</v>
      </c>
      <c r="L973" s="1" t="s">
        <v>7904</v>
      </c>
      <c r="M973" s="1"/>
      <c r="N973" s="1"/>
      <c r="O973" s="1"/>
      <c r="P973" s="2"/>
      <c r="Q973" s="1"/>
      <c r="R973" s="1"/>
      <c r="S973" s="1"/>
      <c r="T973" s="1"/>
      <c r="U973" s="1"/>
      <c r="V973" s="1"/>
      <c r="W973" s="1"/>
      <c r="X973" s="1"/>
      <c r="Y973" s="1"/>
      <c r="Z973" s="1"/>
      <c r="AA973" s="1" t="s">
        <v>7905</v>
      </c>
      <c r="AB973" s="1" t="s">
        <v>7906</v>
      </c>
      <c r="AC973" s="1"/>
      <c r="AD973" s="1"/>
      <c r="AE973" s="1"/>
      <c r="AF973" s="1"/>
      <c r="AG973" s="1"/>
      <c r="AH973" s="1"/>
      <c r="AI973" s="1"/>
      <c r="AJ973" s="1"/>
      <c r="AK973" s="1"/>
      <c r="AL973" s="1"/>
      <c r="AM973" s="1"/>
      <c r="AN973" s="1"/>
      <c r="AO973" s="1" t="s">
        <v>7907</v>
      </c>
      <c r="AP973" s="1" t="s">
        <v>7908</v>
      </c>
      <c r="AQ973" s="1" t="s">
        <v>7909</v>
      </c>
      <c r="AR973" s="1"/>
      <c r="AS973" s="1"/>
      <c r="AT973" s="1"/>
      <c r="AU973" s="3">
        <v>2016</v>
      </c>
      <c r="AV973" s="3">
        <v>210</v>
      </c>
      <c r="AW973" s="2"/>
      <c r="AX973" s="2"/>
      <c r="AY973" s="2"/>
      <c r="AZ973" s="1"/>
      <c r="BA973" s="2"/>
      <c r="BB973" s="3">
        <v>233</v>
      </c>
      <c r="BC973" s="3">
        <v>248</v>
      </c>
      <c r="BD973" s="2"/>
      <c r="BE973" s="1"/>
      <c r="BF973" s="1"/>
      <c r="BG973" s="1"/>
      <c r="BH973" s="1"/>
      <c r="BI973" s="1"/>
      <c r="BJ973" s="1"/>
      <c r="BK973" s="1"/>
      <c r="BL973" s="1"/>
      <c r="BM973" s="1"/>
      <c r="BN973" s="2"/>
      <c r="BO973" s="1"/>
      <c r="BP973" s="1"/>
      <c r="BQ973" s="1"/>
      <c r="BR973" s="1"/>
      <c r="BS973" s="1" t="s">
        <v>7910</v>
      </c>
      <c r="BT973" s="5">
        <f>HYPERLINK("https%3A%2F%2Fwww.webofscience.com%2Fwos%2Fwoscc%2Ffull-record%2FWOS:000440545100011","View Full Record in Web of Science")</f>
      </c>
    </row>
    <row x14ac:dyDescent="0.25" r="974" customHeight="1" ht="12.75">
      <c r="A974" s="1" t="s">
        <v>72</v>
      </c>
      <c r="B974" s="1" t="s">
        <v>7911</v>
      </c>
      <c r="C974" s="1"/>
      <c r="D974" s="1"/>
      <c r="E974" s="1"/>
      <c r="F974" s="1" t="s">
        <v>7912</v>
      </c>
      <c r="G974" s="1"/>
      <c r="H974" s="1"/>
      <c r="I974" s="1" t="s">
        <v>7913</v>
      </c>
      <c r="J974" s="1" t="s">
        <v>7914</v>
      </c>
      <c r="K974" s="1"/>
      <c r="L974" s="1"/>
      <c r="M974" s="1"/>
      <c r="N974" s="1"/>
      <c r="O974" s="1"/>
      <c r="P974" s="2"/>
      <c r="Q974" s="1"/>
      <c r="R974" s="1"/>
      <c r="S974" s="1"/>
      <c r="T974" s="1"/>
      <c r="U974" s="1"/>
      <c r="V974" s="1" t="s">
        <v>7915</v>
      </c>
      <c r="W974" s="1"/>
      <c r="X974" s="1"/>
      <c r="Y974" s="1"/>
      <c r="Z974" s="1"/>
      <c r="AA974" s="1"/>
      <c r="AB974" s="1"/>
      <c r="AC974" s="1"/>
      <c r="AD974" s="1"/>
      <c r="AE974" s="1"/>
      <c r="AF974" s="1"/>
      <c r="AG974" s="1"/>
      <c r="AH974" s="1"/>
      <c r="AI974" s="1"/>
      <c r="AJ974" s="1"/>
      <c r="AK974" s="1"/>
      <c r="AL974" s="1"/>
      <c r="AM974" s="1"/>
      <c r="AN974" s="1"/>
      <c r="AO974" s="1" t="s">
        <v>7916</v>
      </c>
      <c r="AP974" s="1" t="s">
        <v>7917</v>
      </c>
      <c r="AQ974" s="1"/>
      <c r="AR974" s="1"/>
      <c r="AS974" s="1"/>
      <c r="AT974" s="1" t="s">
        <v>103</v>
      </c>
      <c r="AU974" s="3">
        <v>2016</v>
      </c>
      <c r="AV974" s="3">
        <v>52</v>
      </c>
      <c r="AW974" s="2"/>
      <c r="AX974" s="2" t="s">
        <v>267</v>
      </c>
      <c r="AY974" s="2"/>
      <c r="AZ974" s="1"/>
      <c r="BA974" s="2"/>
      <c r="BB974" s="3">
        <v>301</v>
      </c>
      <c r="BC974" s="3">
        <v>309</v>
      </c>
      <c r="BD974" s="2"/>
      <c r="BE974" s="1" t="s">
        <v>7918</v>
      </c>
      <c r="BF974" s="4">
        <f>HYPERLINK("http://dx.doi.org/10.1016/j.econmod.2015.08.018","http://dx.doi.org/10.1016/j.econmod.2015.08.018")</f>
      </c>
      <c r="BG974" s="1"/>
      <c r="BH974" s="1"/>
      <c r="BI974" s="1"/>
      <c r="BJ974" s="1"/>
      <c r="BK974" s="1"/>
      <c r="BL974" s="1"/>
      <c r="BM974" s="1"/>
      <c r="BN974" s="2"/>
      <c r="BO974" s="1"/>
      <c r="BP974" s="1"/>
      <c r="BQ974" s="1"/>
      <c r="BR974" s="1"/>
      <c r="BS974" s="1" t="s">
        <v>7919</v>
      </c>
      <c r="BT974" s="5">
        <f>HYPERLINK("https%3A%2F%2Fwww.webofscience.com%2Fwos%2Fwoscc%2Ffull-record%2FWOS:000367414900001","View Full Record in Web of Science")</f>
      </c>
    </row>
    <row x14ac:dyDescent="0.25" r="975" customHeight="1" ht="12.75">
      <c r="A975" s="1" t="s">
        <v>72</v>
      </c>
      <c r="B975" s="1" t="s">
        <v>7920</v>
      </c>
      <c r="C975" s="1"/>
      <c r="D975" s="1"/>
      <c r="E975" s="1"/>
      <c r="F975" s="1" t="s">
        <v>7921</v>
      </c>
      <c r="G975" s="1"/>
      <c r="H975" s="1"/>
      <c r="I975" s="1" t="s">
        <v>7922</v>
      </c>
      <c r="J975" s="1" t="s">
        <v>7923</v>
      </c>
      <c r="K975" s="1"/>
      <c r="L975" s="1"/>
      <c r="M975" s="1"/>
      <c r="N975" s="1"/>
      <c r="O975" s="1"/>
      <c r="P975" s="2"/>
      <c r="Q975" s="1"/>
      <c r="R975" s="1"/>
      <c r="S975" s="1"/>
      <c r="T975" s="1"/>
      <c r="U975" s="1"/>
      <c r="V975" s="1" t="s">
        <v>7924</v>
      </c>
      <c r="W975" s="1"/>
      <c r="X975" s="1"/>
      <c r="Y975" s="1"/>
      <c r="Z975" s="1"/>
      <c r="AA975" s="1"/>
      <c r="AB975" s="1"/>
      <c r="AC975" s="1"/>
      <c r="AD975" s="1"/>
      <c r="AE975" s="1"/>
      <c r="AF975" s="1"/>
      <c r="AG975" s="1"/>
      <c r="AH975" s="1"/>
      <c r="AI975" s="1"/>
      <c r="AJ975" s="1"/>
      <c r="AK975" s="1"/>
      <c r="AL975" s="1"/>
      <c r="AM975" s="1"/>
      <c r="AN975" s="1"/>
      <c r="AO975" s="1" t="s">
        <v>7925</v>
      </c>
      <c r="AP975" s="1" t="s">
        <v>7926</v>
      </c>
      <c r="AQ975" s="1"/>
      <c r="AR975" s="1"/>
      <c r="AS975" s="1"/>
      <c r="AT975" s="1" t="s">
        <v>204</v>
      </c>
      <c r="AU975" s="3">
        <v>2015</v>
      </c>
      <c r="AV975" s="3">
        <v>18</v>
      </c>
      <c r="AW975" s="3">
        <v>6</v>
      </c>
      <c r="AX975" s="2"/>
      <c r="AY975" s="2"/>
      <c r="AZ975" s="1"/>
      <c r="BA975" s="2"/>
      <c r="BB975" s="3">
        <v>1379</v>
      </c>
      <c r="BC975" s="3">
        <v>1398</v>
      </c>
      <c r="BD975" s="2"/>
      <c r="BE975" s="1" t="s">
        <v>7927</v>
      </c>
      <c r="BF975" s="4">
        <f>HYPERLINK("http://dx.doi.org/10.1515/fca-2015-0080","http://dx.doi.org/10.1515/fca-2015-0080")</f>
      </c>
      <c r="BG975" s="1"/>
      <c r="BH975" s="1"/>
      <c r="BI975" s="1"/>
      <c r="BJ975" s="1"/>
      <c r="BK975" s="1"/>
      <c r="BL975" s="1"/>
      <c r="BM975" s="1"/>
      <c r="BN975" s="2"/>
      <c r="BO975" s="1"/>
      <c r="BP975" s="1"/>
      <c r="BQ975" s="1"/>
      <c r="BR975" s="1"/>
      <c r="BS975" s="1" t="s">
        <v>7928</v>
      </c>
      <c r="BT975" s="5">
        <f>HYPERLINK("https%3A%2F%2Fwww.webofscience.com%2Fwos%2Fwoscc%2Ffull-record%2FWOS:000366045100005","View Full Record in Web of Science")</f>
      </c>
    </row>
    <row x14ac:dyDescent="0.25" r="976" customHeight="1" ht="12.75">
      <c r="A976" s="1" t="s">
        <v>72</v>
      </c>
      <c r="B976" s="1" t="s">
        <v>7929</v>
      </c>
      <c r="C976" s="1"/>
      <c r="D976" s="1"/>
      <c r="E976" s="1"/>
      <c r="F976" s="1" t="s">
        <v>7930</v>
      </c>
      <c r="G976" s="1"/>
      <c r="H976" s="1"/>
      <c r="I976" s="1" t="s">
        <v>7931</v>
      </c>
      <c r="J976" s="1" t="s">
        <v>4437</v>
      </c>
      <c r="K976" s="1"/>
      <c r="L976" s="1"/>
      <c r="M976" s="1"/>
      <c r="N976" s="1"/>
      <c r="O976" s="1"/>
      <c r="P976" s="2"/>
      <c r="Q976" s="1"/>
      <c r="R976" s="1"/>
      <c r="S976" s="1"/>
      <c r="T976" s="1"/>
      <c r="U976" s="1"/>
      <c r="V976" s="1" t="s">
        <v>7932</v>
      </c>
      <c r="W976" s="1"/>
      <c r="X976" s="1"/>
      <c r="Y976" s="1"/>
      <c r="Z976" s="1"/>
      <c r="AA976" s="1" t="s">
        <v>5992</v>
      </c>
      <c r="AB976" s="1"/>
      <c r="AC976" s="1"/>
      <c r="AD976" s="1"/>
      <c r="AE976" s="1"/>
      <c r="AF976" s="1"/>
      <c r="AG976" s="1"/>
      <c r="AH976" s="1"/>
      <c r="AI976" s="1"/>
      <c r="AJ976" s="1"/>
      <c r="AK976" s="1"/>
      <c r="AL976" s="1"/>
      <c r="AM976" s="1"/>
      <c r="AN976" s="1"/>
      <c r="AO976" s="1" t="s">
        <v>4439</v>
      </c>
      <c r="AP976" s="1" t="s">
        <v>4440</v>
      </c>
      <c r="AQ976" s="1"/>
      <c r="AR976" s="1"/>
      <c r="AS976" s="1"/>
      <c r="AT976" s="1" t="s">
        <v>431</v>
      </c>
      <c r="AU976" s="3">
        <v>2015</v>
      </c>
      <c r="AV976" s="3">
        <v>89</v>
      </c>
      <c r="AW976" s="2"/>
      <c r="AX976" s="2"/>
      <c r="AY976" s="2"/>
      <c r="AZ976" s="1"/>
      <c r="BA976" s="2"/>
      <c r="BB976" s="3">
        <v>1155</v>
      </c>
      <c r="BC976" s="3">
        <v>1163</v>
      </c>
      <c r="BD976" s="2"/>
      <c r="BE976" s="1" t="s">
        <v>7933</v>
      </c>
      <c r="BF976" s="4">
        <f>HYPERLINK("http://dx.doi.org/10.1016/j.ijheatmasstransfer.2015.05.115","http://dx.doi.org/10.1016/j.ijheatmasstransfer.2015.05.115")</f>
      </c>
      <c r="BG976" s="1"/>
      <c r="BH976" s="1"/>
      <c r="BI976" s="1"/>
      <c r="BJ976" s="1"/>
      <c r="BK976" s="1"/>
      <c r="BL976" s="1"/>
      <c r="BM976" s="1"/>
      <c r="BN976" s="2"/>
      <c r="BO976" s="1"/>
      <c r="BP976" s="1"/>
      <c r="BQ976" s="1"/>
      <c r="BR976" s="1"/>
      <c r="BS976" s="1" t="s">
        <v>7934</v>
      </c>
      <c r="BT976" s="5">
        <f>HYPERLINK("https%3A%2F%2Fwww.webofscience.com%2Fwos%2Fwoscc%2Ffull-record%2FWOS:000359029600110","View Full Record in Web of Science")</f>
      </c>
    </row>
    <row x14ac:dyDescent="0.25" r="977" customHeight="1" ht="12.75">
      <c r="A977" s="1" t="s">
        <v>72</v>
      </c>
      <c r="B977" s="1" t="s">
        <v>7935</v>
      </c>
      <c r="C977" s="1"/>
      <c r="D977" s="1"/>
      <c r="E977" s="1"/>
      <c r="F977" s="1" t="s">
        <v>7936</v>
      </c>
      <c r="G977" s="1"/>
      <c r="H977" s="1"/>
      <c r="I977" s="1" t="s">
        <v>7937</v>
      </c>
      <c r="J977" s="1" t="s">
        <v>2178</v>
      </c>
      <c r="K977" s="1"/>
      <c r="L977" s="1"/>
      <c r="M977" s="1"/>
      <c r="N977" s="1"/>
      <c r="O977" s="1"/>
      <c r="P977" s="2"/>
      <c r="Q977" s="1"/>
      <c r="R977" s="1"/>
      <c r="S977" s="1"/>
      <c r="T977" s="1"/>
      <c r="U977" s="1"/>
      <c r="V977" s="1" t="s">
        <v>7938</v>
      </c>
      <c r="W977" s="1"/>
      <c r="X977" s="1"/>
      <c r="Y977" s="1"/>
      <c r="Z977" s="1"/>
      <c r="AA977" s="1"/>
      <c r="AB977" s="1" t="s">
        <v>7939</v>
      </c>
      <c r="AC977" s="1"/>
      <c r="AD977" s="1"/>
      <c r="AE977" s="1"/>
      <c r="AF977" s="1"/>
      <c r="AG977" s="1"/>
      <c r="AH977" s="1"/>
      <c r="AI977" s="1"/>
      <c r="AJ977" s="1"/>
      <c r="AK977" s="1"/>
      <c r="AL977" s="1"/>
      <c r="AM977" s="1"/>
      <c r="AN977" s="1"/>
      <c r="AO977" s="1" t="s">
        <v>2182</v>
      </c>
      <c r="AP977" s="1" t="s">
        <v>2183</v>
      </c>
      <c r="AQ977" s="1"/>
      <c r="AR977" s="1"/>
      <c r="AS977" s="1"/>
      <c r="AT977" s="1" t="s">
        <v>431</v>
      </c>
      <c r="AU977" s="3">
        <v>2015</v>
      </c>
      <c r="AV977" s="3">
        <v>288</v>
      </c>
      <c r="AW977" s="2" t="s">
        <v>7940</v>
      </c>
      <c r="AX977" s="2"/>
      <c r="AY977" s="2"/>
      <c r="AZ977" s="1"/>
      <c r="BA977" s="2"/>
      <c r="BB977" s="3">
        <v>1727</v>
      </c>
      <c r="BC977" s="3">
        <v>1740</v>
      </c>
      <c r="BD977" s="2"/>
      <c r="BE977" s="1" t="s">
        <v>7941</v>
      </c>
      <c r="BF977" s="4">
        <f>HYPERLINK("http://dx.doi.org/10.1002/mana.201400353","http://dx.doi.org/10.1002/mana.201400353")</f>
      </c>
      <c r="BG977" s="1"/>
      <c r="BH977" s="1"/>
      <c r="BI977" s="1"/>
      <c r="BJ977" s="1"/>
      <c r="BK977" s="1"/>
      <c r="BL977" s="1"/>
      <c r="BM977" s="1"/>
      <c r="BN977" s="2"/>
      <c r="BO977" s="1"/>
      <c r="BP977" s="1"/>
      <c r="BQ977" s="1"/>
      <c r="BR977" s="1"/>
      <c r="BS977" s="1" t="s">
        <v>7942</v>
      </c>
      <c r="BT977" s="5">
        <f>HYPERLINK("https%3A%2F%2Fwww.webofscience.com%2Fwos%2Fwoscc%2Ffull-record%2FWOS:000362552300012","View Full Record in Web of Science")</f>
      </c>
    </row>
    <row x14ac:dyDescent="0.25" r="978" customHeight="1" ht="12.75">
      <c r="A978" s="1" t="s">
        <v>72</v>
      </c>
      <c r="B978" s="1" t="s">
        <v>816</v>
      </c>
      <c r="C978" s="1"/>
      <c r="D978" s="1"/>
      <c r="E978" s="1"/>
      <c r="F978" s="1" t="s">
        <v>7943</v>
      </c>
      <c r="G978" s="1"/>
      <c r="H978" s="1"/>
      <c r="I978" s="1" t="s">
        <v>7944</v>
      </c>
      <c r="J978" s="1" t="s">
        <v>3091</v>
      </c>
      <c r="K978" s="1"/>
      <c r="L978" s="1"/>
      <c r="M978" s="1"/>
      <c r="N978" s="1"/>
      <c r="O978" s="1"/>
      <c r="P978" s="2"/>
      <c r="Q978" s="1"/>
      <c r="R978" s="1"/>
      <c r="S978" s="1"/>
      <c r="T978" s="1"/>
      <c r="U978" s="1"/>
      <c r="V978" s="1"/>
      <c r="W978" s="1"/>
      <c r="X978" s="1"/>
      <c r="Y978" s="1"/>
      <c r="Z978" s="1"/>
      <c r="AA978" s="1" t="s">
        <v>3093</v>
      </c>
      <c r="AB978" s="1"/>
      <c r="AC978" s="1"/>
      <c r="AD978" s="1"/>
      <c r="AE978" s="1"/>
      <c r="AF978" s="1"/>
      <c r="AG978" s="1"/>
      <c r="AH978" s="1"/>
      <c r="AI978" s="1"/>
      <c r="AJ978" s="1"/>
      <c r="AK978" s="1"/>
      <c r="AL978" s="1"/>
      <c r="AM978" s="1"/>
      <c r="AN978" s="1"/>
      <c r="AO978" s="1" t="s">
        <v>3094</v>
      </c>
      <c r="AP978" s="1" t="s">
        <v>3095</v>
      </c>
      <c r="AQ978" s="1"/>
      <c r="AR978" s="1"/>
      <c r="AS978" s="1"/>
      <c r="AT978" s="1" t="s">
        <v>292</v>
      </c>
      <c r="AU978" s="3">
        <v>2015</v>
      </c>
      <c r="AV978" s="3">
        <v>62</v>
      </c>
      <c r="AW978" s="3">
        <v>3</v>
      </c>
      <c r="AX978" s="2"/>
      <c r="AY978" s="2"/>
      <c r="AZ978" s="1"/>
      <c r="BA978" s="2"/>
      <c r="BB978" s="3">
        <v>283</v>
      </c>
      <c r="BC978" s="3">
        <v>295</v>
      </c>
      <c r="BD978" s="2"/>
      <c r="BE978" s="1" t="s">
        <v>7945</v>
      </c>
      <c r="BF978" s="4">
        <f>HYPERLINK("http://dx.doi.org/10.1177/0037768615587805","http://dx.doi.org/10.1177/0037768615587805")</f>
      </c>
      <c r="BG978" s="1"/>
      <c r="BH978" s="1"/>
      <c r="BI978" s="1"/>
      <c r="BJ978" s="1"/>
      <c r="BK978" s="1"/>
      <c r="BL978" s="1"/>
      <c r="BM978" s="1"/>
      <c r="BN978" s="2"/>
      <c r="BO978" s="1"/>
      <c r="BP978" s="1"/>
      <c r="BQ978" s="1"/>
      <c r="BR978" s="1"/>
      <c r="BS978" s="1" t="s">
        <v>7946</v>
      </c>
      <c r="BT978" s="5">
        <f>HYPERLINK("https%3A%2F%2Fwww.webofscience.com%2Fwos%2Fwoscc%2Ffull-record%2FWOS:000359926700001","View Full Record in Web of Science")</f>
      </c>
    </row>
    <row x14ac:dyDescent="0.25" r="979" customHeight="1" ht="12.75">
      <c r="A979" s="1" t="s">
        <v>72</v>
      </c>
      <c r="B979" s="1" t="s">
        <v>7947</v>
      </c>
      <c r="C979" s="1"/>
      <c r="D979" s="1"/>
      <c r="E979" s="1"/>
      <c r="F979" s="1" t="s">
        <v>7948</v>
      </c>
      <c r="G979" s="1"/>
      <c r="H979" s="1"/>
      <c r="I979" s="1" t="s">
        <v>7949</v>
      </c>
      <c r="J979" s="1" t="s">
        <v>7950</v>
      </c>
      <c r="K979" s="1"/>
      <c r="L979" s="1"/>
      <c r="M979" s="1"/>
      <c r="N979" s="1"/>
      <c r="O979" s="1" t="s">
        <v>7951</v>
      </c>
      <c r="P979" s="2" t="s">
        <v>7952</v>
      </c>
      <c r="Q979" s="1" t="s">
        <v>7953</v>
      </c>
      <c r="R979" s="1"/>
      <c r="S979" s="1"/>
      <c r="T979" s="1"/>
      <c r="U979" s="1"/>
      <c r="V979" s="1" t="s">
        <v>7954</v>
      </c>
      <c r="W979" s="1"/>
      <c r="X979" s="1"/>
      <c r="Y979" s="1"/>
      <c r="Z979" s="1"/>
      <c r="AA979" s="1" t="s">
        <v>7955</v>
      </c>
      <c r="AB979" s="1" t="s">
        <v>7956</v>
      </c>
      <c r="AC979" s="1"/>
      <c r="AD979" s="1"/>
      <c r="AE979" s="1"/>
      <c r="AF979" s="1"/>
      <c r="AG979" s="1"/>
      <c r="AH979" s="1"/>
      <c r="AI979" s="1"/>
      <c r="AJ979" s="1"/>
      <c r="AK979" s="1"/>
      <c r="AL979" s="1"/>
      <c r="AM979" s="1"/>
      <c r="AN979" s="1"/>
      <c r="AO979" s="1" t="s">
        <v>7957</v>
      </c>
      <c r="AP979" s="1" t="s">
        <v>7958</v>
      </c>
      <c r="AQ979" s="1"/>
      <c r="AR979" s="1"/>
      <c r="AS979" s="1"/>
      <c r="AT979" s="1" t="s">
        <v>204</v>
      </c>
      <c r="AU979" s="3">
        <v>2014</v>
      </c>
      <c r="AV979" s="3">
        <v>44</v>
      </c>
      <c r="AW979" s="3">
        <v>12</v>
      </c>
      <c r="AX979" s="2"/>
      <c r="AY979" s="2"/>
      <c r="AZ979" s="1" t="s">
        <v>170</v>
      </c>
      <c r="BA979" s="2"/>
      <c r="BB979" s="3">
        <v>1361</v>
      </c>
      <c r="BC979" s="3">
        <v>1369</v>
      </c>
      <c r="BD979" s="2"/>
      <c r="BE979" s="1" t="s">
        <v>7959</v>
      </c>
      <c r="BF979" s="4">
        <f>HYPERLINK("http://dx.doi.org/10.1007/s10800-014-0750-7","http://dx.doi.org/10.1007/s10800-014-0750-7")</f>
      </c>
      <c r="BG979" s="1"/>
      <c r="BH979" s="1"/>
      <c r="BI979" s="1"/>
      <c r="BJ979" s="1"/>
      <c r="BK979" s="1"/>
      <c r="BL979" s="1"/>
      <c r="BM979" s="1"/>
      <c r="BN979" s="2"/>
      <c r="BO979" s="1"/>
      <c r="BP979" s="1"/>
      <c r="BQ979" s="1"/>
      <c r="BR979" s="1"/>
      <c r="BS979" s="1" t="s">
        <v>7960</v>
      </c>
      <c r="BT979" s="5">
        <f>HYPERLINK("https%3A%2F%2Fwww.webofscience.com%2Fwos%2Fwoscc%2Ffull-record%2FWOS:000344778900014","View Full Record in Web of Science")</f>
      </c>
    </row>
    <row x14ac:dyDescent="0.25" r="980" customHeight="1" ht="12.75">
      <c r="A980" s="1" t="s">
        <v>72</v>
      </c>
      <c r="B980" s="1" t="s">
        <v>7961</v>
      </c>
      <c r="C980" s="1"/>
      <c r="D980" s="1"/>
      <c r="E980" s="1"/>
      <c r="F980" s="1" t="s">
        <v>7962</v>
      </c>
      <c r="G980" s="1"/>
      <c r="H980" s="1"/>
      <c r="I980" s="1" t="s">
        <v>7963</v>
      </c>
      <c r="J980" s="1" t="s">
        <v>1548</v>
      </c>
      <c r="K980" s="1"/>
      <c r="L980" s="1"/>
      <c r="M980" s="1"/>
      <c r="N980" s="1"/>
      <c r="O980" s="1"/>
      <c r="P980" s="2"/>
      <c r="Q980" s="1"/>
      <c r="R980" s="1"/>
      <c r="S980" s="1"/>
      <c r="T980" s="1"/>
      <c r="U980" s="1"/>
      <c r="V980" s="1" t="s">
        <v>7964</v>
      </c>
      <c r="W980" s="1"/>
      <c r="X980" s="1"/>
      <c r="Y980" s="1"/>
      <c r="Z980" s="1"/>
      <c r="AA980" s="1" t="s">
        <v>2641</v>
      </c>
      <c r="AB980" s="1" t="s">
        <v>7965</v>
      </c>
      <c r="AC980" s="1"/>
      <c r="AD980" s="1"/>
      <c r="AE980" s="1"/>
      <c r="AF980" s="1"/>
      <c r="AG980" s="1"/>
      <c r="AH980" s="1"/>
      <c r="AI980" s="1"/>
      <c r="AJ980" s="1"/>
      <c r="AK980" s="1"/>
      <c r="AL980" s="1"/>
      <c r="AM980" s="1"/>
      <c r="AN980" s="1"/>
      <c r="AO980" s="1" t="s">
        <v>1552</v>
      </c>
      <c r="AP980" s="1" t="s">
        <v>1553</v>
      </c>
      <c r="AQ980" s="1"/>
      <c r="AR980" s="1"/>
      <c r="AS980" s="1"/>
      <c r="AT980" s="1" t="s">
        <v>7966</v>
      </c>
      <c r="AU980" s="3">
        <v>2014</v>
      </c>
      <c r="AV980" s="3">
        <v>90</v>
      </c>
      <c r="AW980" s="3">
        <v>3</v>
      </c>
      <c r="AX980" s="2"/>
      <c r="AY980" s="2"/>
      <c r="AZ980" s="1"/>
      <c r="BA980" s="2"/>
      <c r="BB980" s="2"/>
      <c r="BC980" s="2"/>
      <c r="BD980" s="3">
        <v>30201</v>
      </c>
      <c r="BE980" s="1" t="s">
        <v>7967</v>
      </c>
      <c r="BF980" s="4">
        <f>HYPERLINK("http://dx.doi.org/10.1103/PhysRevE.90.030201","http://dx.doi.org/10.1103/PhysRevE.90.030201")</f>
      </c>
      <c r="BG980" s="1"/>
      <c r="BH980" s="1"/>
      <c r="BI980" s="1"/>
      <c r="BJ980" s="1"/>
      <c r="BK980" s="1"/>
      <c r="BL980" s="1"/>
      <c r="BM980" s="1"/>
      <c r="BN980" s="3">
        <v>25314379</v>
      </c>
      <c r="BO980" s="1"/>
      <c r="BP980" s="1"/>
      <c r="BQ980" s="1"/>
      <c r="BR980" s="1"/>
      <c r="BS980" s="1" t="s">
        <v>7968</v>
      </c>
      <c r="BT980" s="5">
        <f>HYPERLINK("https%3A%2F%2Fwww.webofscience.com%2Fwos%2Fwoscc%2Ffull-record%2FWOS:000341269900001","View Full Record in Web of Science")</f>
      </c>
    </row>
    <row x14ac:dyDescent="0.25" r="981" customHeight="1" ht="12.75">
      <c r="A981" s="1" t="s">
        <v>72</v>
      </c>
      <c r="B981" s="1" t="s">
        <v>7969</v>
      </c>
      <c r="C981" s="1"/>
      <c r="D981" s="1"/>
      <c r="E981" s="1"/>
      <c r="F981" s="1" t="s">
        <v>7970</v>
      </c>
      <c r="G981" s="1"/>
      <c r="H981" s="1"/>
      <c r="I981" s="1" t="s">
        <v>7971</v>
      </c>
      <c r="J981" s="1" t="s">
        <v>6055</v>
      </c>
      <c r="K981" s="1"/>
      <c r="L981" s="1"/>
      <c r="M981" s="1"/>
      <c r="N981" s="1"/>
      <c r="O981" s="1"/>
      <c r="P981" s="2"/>
      <c r="Q981" s="1"/>
      <c r="R981" s="1"/>
      <c r="S981" s="1"/>
      <c r="T981" s="1"/>
      <c r="U981" s="1"/>
      <c r="V981" s="1" t="s">
        <v>7972</v>
      </c>
      <c r="W981" s="1"/>
      <c r="X981" s="1"/>
      <c r="Y981" s="1"/>
      <c r="Z981" s="1"/>
      <c r="AA981" s="1" t="s">
        <v>6057</v>
      </c>
      <c r="AB981" s="1" t="s">
        <v>5249</v>
      </c>
      <c r="AC981" s="1"/>
      <c r="AD981" s="1"/>
      <c r="AE981" s="1"/>
      <c r="AF981" s="1"/>
      <c r="AG981" s="1"/>
      <c r="AH981" s="1"/>
      <c r="AI981" s="1"/>
      <c r="AJ981" s="1"/>
      <c r="AK981" s="1"/>
      <c r="AL981" s="1"/>
      <c r="AM981" s="1"/>
      <c r="AN981" s="1"/>
      <c r="AO981" s="1" t="s">
        <v>6058</v>
      </c>
      <c r="AP981" s="1"/>
      <c r="AQ981" s="1"/>
      <c r="AR981" s="1"/>
      <c r="AS981" s="1"/>
      <c r="AT981" s="1" t="s">
        <v>1592</v>
      </c>
      <c r="AU981" s="3">
        <v>2014</v>
      </c>
      <c r="AV981" s="3">
        <v>13</v>
      </c>
      <c r="AW981" s="3">
        <v>3</v>
      </c>
      <c r="AX981" s="2"/>
      <c r="AY981" s="2"/>
      <c r="AZ981" s="1"/>
      <c r="BA981" s="2"/>
      <c r="BB981" s="3">
        <v>1017</v>
      </c>
      <c r="BC981" s="3">
        <v>1025</v>
      </c>
      <c r="BD981" s="2"/>
      <c r="BE981" s="1" t="s">
        <v>7973</v>
      </c>
      <c r="BF981" s="4">
        <f>HYPERLINK("http://dx.doi.org/10.11144/Javeriana.UPSY13-3.apnm","http://dx.doi.org/10.11144/Javeriana.UPSY13-3.apnm")</f>
      </c>
      <c r="BG981" s="1"/>
      <c r="BH981" s="1"/>
      <c r="BI981" s="1"/>
      <c r="BJ981" s="1"/>
      <c r="BK981" s="1"/>
      <c r="BL981" s="1"/>
      <c r="BM981" s="1"/>
      <c r="BN981" s="2"/>
      <c r="BO981" s="1"/>
      <c r="BP981" s="1"/>
      <c r="BQ981" s="1"/>
      <c r="BR981" s="1"/>
      <c r="BS981" s="1" t="s">
        <v>7974</v>
      </c>
      <c r="BT981" s="5">
        <f>HYPERLINK("https%3A%2F%2Fwww.webofscience.com%2Fwos%2Fwoscc%2Ffull-record%2FWOS:000349631200017","View Full Record in Web of Science")</f>
      </c>
    </row>
    <row x14ac:dyDescent="0.25" r="982" customHeight="1" ht="12.75">
      <c r="A982" s="1" t="s">
        <v>72</v>
      </c>
      <c r="B982" s="1" t="s">
        <v>7975</v>
      </c>
      <c r="C982" s="1"/>
      <c r="D982" s="1"/>
      <c r="E982" s="1"/>
      <c r="F982" s="1" t="s">
        <v>7976</v>
      </c>
      <c r="G982" s="1"/>
      <c r="H982" s="1"/>
      <c r="I982" s="1" t="s">
        <v>7977</v>
      </c>
      <c r="J982" s="1" t="s">
        <v>7978</v>
      </c>
      <c r="K982" s="1"/>
      <c r="L982" s="1"/>
      <c r="M982" s="1"/>
      <c r="N982" s="1"/>
      <c r="O982" s="1"/>
      <c r="P982" s="2"/>
      <c r="Q982" s="1"/>
      <c r="R982" s="1"/>
      <c r="S982" s="1"/>
      <c r="T982" s="1"/>
      <c r="U982" s="1"/>
      <c r="V982" s="1" t="s">
        <v>7979</v>
      </c>
      <c r="W982" s="1"/>
      <c r="X982" s="1"/>
      <c r="Y982" s="1"/>
      <c r="Z982" s="1"/>
      <c r="AA982" s="1" t="s">
        <v>7980</v>
      </c>
      <c r="AB982" s="1" t="s">
        <v>7981</v>
      </c>
      <c r="AC982" s="1"/>
      <c r="AD982" s="1"/>
      <c r="AE982" s="1"/>
      <c r="AF982" s="1"/>
      <c r="AG982" s="1"/>
      <c r="AH982" s="1"/>
      <c r="AI982" s="1"/>
      <c r="AJ982" s="1"/>
      <c r="AK982" s="1"/>
      <c r="AL982" s="1"/>
      <c r="AM982" s="1"/>
      <c r="AN982" s="1"/>
      <c r="AO982" s="1" t="s">
        <v>7982</v>
      </c>
      <c r="AP982" s="1" t="s">
        <v>7983</v>
      </c>
      <c r="AQ982" s="1"/>
      <c r="AR982" s="1"/>
      <c r="AS982" s="1"/>
      <c r="AT982" s="1" t="s">
        <v>683</v>
      </c>
      <c r="AU982" s="3">
        <v>2014</v>
      </c>
      <c r="AV982" s="3">
        <v>60</v>
      </c>
      <c r="AW982" s="2"/>
      <c r="AX982" s="2"/>
      <c r="AY982" s="3">
        <v>1</v>
      </c>
      <c r="AZ982" s="1" t="s">
        <v>170</v>
      </c>
      <c r="BA982" s="2"/>
      <c r="BB982" s="2" t="s">
        <v>7984</v>
      </c>
      <c r="BC982" s="2" t="s">
        <v>7985</v>
      </c>
      <c r="BD982" s="2"/>
      <c r="BE982" s="1" t="s">
        <v>7986</v>
      </c>
      <c r="BF982" s="4">
        <f>HYPERLINK("http://dx.doi.org/10.1111/roiw.12052","http://dx.doi.org/10.1111/roiw.12052")</f>
      </c>
      <c r="BG982" s="1"/>
      <c r="BH982" s="1"/>
      <c r="BI982" s="1"/>
      <c r="BJ982" s="1"/>
      <c r="BK982" s="1"/>
      <c r="BL982" s="1"/>
      <c r="BM982" s="1"/>
      <c r="BN982" s="2"/>
      <c r="BO982" s="1"/>
      <c r="BP982" s="1"/>
      <c r="BQ982" s="1"/>
      <c r="BR982" s="1"/>
      <c r="BS982" s="1" t="s">
        <v>7987</v>
      </c>
      <c r="BT982" s="5">
        <f>HYPERLINK("https%3A%2F%2Fwww.webofscience.com%2Fwos%2Fwoscc%2Ffull-record%2FWOS:000335520000008","View Full Record in Web of Science")</f>
      </c>
    </row>
    <row x14ac:dyDescent="0.25" r="983" customHeight="1" ht="12.75">
      <c r="A983" s="1" t="s">
        <v>72</v>
      </c>
      <c r="B983" s="1" t="s">
        <v>7988</v>
      </c>
      <c r="C983" s="1"/>
      <c r="D983" s="1"/>
      <c r="E983" s="1"/>
      <c r="F983" s="1" t="s">
        <v>7989</v>
      </c>
      <c r="G983" s="1"/>
      <c r="H983" s="1"/>
      <c r="I983" s="1" t="s">
        <v>7990</v>
      </c>
      <c r="J983" s="1" t="s">
        <v>2098</v>
      </c>
      <c r="K983" s="1"/>
      <c r="L983" s="1"/>
      <c r="M983" s="1"/>
      <c r="N983" s="1"/>
      <c r="O983" s="1"/>
      <c r="P983" s="2"/>
      <c r="Q983" s="1"/>
      <c r="R983" s="1"/>
      <c r="S983" s="1"/>
      <c r="T983" s="1"/>
      <c r="U983" s="1"/>
      <c r="V983" s="1" t="s">
        <v>7991</v>
      </c>
      <c r="W983" s="1"/>
      <c r="X983" s="1"/>
      <c r="Y983" s="1"/>
      <c r="Z983" s="1"/>
      <c r="AA983" s="1"/>
      <c r="AB983" s="1"/>
      <c r="AC983" s="1"/>
      <c r="AD983" s="1"/>
      <c r="AE983" s="1"/>
      <c r="AF983" s="1"/>
      <c r="AG983" s="1"/>
      <c r="AH983" s="1"/>
      <c r="AI983" s="1"/>
      <c r="AJ983" s="1"/>
      <c r="AK983" s="1"/>
      <c r="AL983" s="1"/>
      <c r="AM983" s="1"/>
      <c r="AN983" s="1"/>
      <c r="AO983" s="1" t="s">
        <v>2102</v>
      </c>
      <c r="AP983" s="1" t="s">
        <v>2103</v>
      </c>
      <c r="AQ983" s="1"/>
      <c r="AR983" s="1"/>
      <c r="AS983" s="1"/>
      <c r="AT983" s="1"/>
      <c r="AU983" s="3">
        <v>2014</v>
      </c>
      <c r="AV983" s="2"/>
      <c r="AW983" s="3">
        <v>30</v>
      </c>
      <c r="AX983" s="2"/>
      <c r="AY983" s="2"/>
      <c r="AZ983" s="1"/>
      <c r="BA983" s="2"/>
      <c r="BB983" s="3">
        <v>77</v>
      </c>
      <c r="BC983" s="3">
        <v>90</v>
      </c>
      <c r="BD983" s="2"/>
      <c r="BE983" s="1" t="s">
        <v>7992</v>
      </c>
      <c r="BF983" s="4">
        <f>HYPERLINK("http://dx.doi.org/10.7764/onomazein.30.5","http://dx.doi.org/10.7764/onomazein.30.5")</f>
      </c>
      <c r="BG983" s="1"/>
      <c r="BH983" s="1"/>
      <c r="BI983" s="1"/>
      <c r="BJ983" s="1"/>
      <c r="BK983" s="1"/>
      <c r="BL983" s="1"/>
      <c r="BM983" s="1"/>
      <c r="BN983" s="2"/>
      <c r="BO983" s="1"/>
      <c r="BP983" s="1"/>
      <c r="BQ983" s="1"/>
      <c r="BR983" s="1"/>
      <c r="BS983" s="1" t="s">
        <v>7993</v>
      </c>
      <c r="BT983" s="5">
        <f>HYPERLINK("https%3A%2F%2Fwww.webofscience.com%2Fwos%2Fwoscc%2Ffull-record%2FWOS:000359437700009","View Full Record in Web of Science")</f>
      </c>
    </row>
    <row x14ac:dyDescent="0.25" r="984" customHeight="1" ht="12.75">
      <c r="A984" s="1" t="s">
        <v>72</v>
      </c>
      <c r="B984" s="1" t="s">
        <v>7994</v>
      </c>
      <c r="C984" s="1"/>
      <c r="D984" s="1"/>
      <c r="E984" s="1"/>
      <c r="F984" s="1" t="s">
        <v>7995</v>
      </c>
      <c r="G984" s="1"/>
      <c r="H984" s="1"/>
      <c r="I984" s="1" t="s">
        <v>7996</v>
      </c>
      <c r="J984" s="1" t="s">
        <v>7997</v>
      </c>
      <c r="K984" s="1"/>
      <c r="L984" s="1"/>
      <c r="M984" s="1"/>
      <c r="N984" s="1"/>
      <c r="O984" s="1" t="s">
        <v>7998</v>
      </c>
      <c r="P984" s="2" t="s">
        <v>7999</v>
      </c>
      <c r="Q984" s="1" t="s">
        <v>8000</v>
      </c>
      <c r="R984" s="1" t="s">
        <v>8001</v>
      </c>
      <c r="S984" s="1" t="s">
        <v>8002</v>
      </c>
      <c r="T984" s="1"/>
      <c r="U984" s="1"/>
      <c r="V984" s="1"/>
      <c r="W984" s="1"/>
      <c r="X984" s="1"/>
      <c r="Y984" s="1"/>
      <c r="Z984" s="1"/>
      <c r="AA984" s="1" t="s">
        <v>8003</v>
      </c>
      <c r="AB984" s="1" t="s">
        <v>8004</v>
      </c>
      <c r="AC984" s="1"/>
      <c r="AD984" s="1"/>
      <c r="AE984" s="1"/>
      <c r="AF984" s="1"/>
      <c r="AG984" s="1"/>
      <c r="AH984" s="1"/>
      <c r="AI984" s="1"/>
      <c r="AJ984" s="1"/>
      <c r="AK984" s="1"/>
      <c r="AL984" s="1"/>
      <c r="AM984" s="1"/>
      <c r="AN984" s="1"/>
      <c r="AO984" s="1" t="s">
        <v>8005</v>
      </c>
      <c r="AP984" s="1" t="s">
        <v>8006</v>
      </c>
      <c r="AQ984" s="1"/>
      <c r="AR984" s="1"/>
      <c r="AS984" s="1"/>
      <c r="AT984" s="1" t="s">
        <v>292</v>
      </c>
      <c r="AU984" s="3">
        <v>2013</v>
      </c>
      <c r="AV984" s="3">
        <v>303</v>
      </c>
      <c r="AW984" s="2"/>
      <c r="AX984" s="2"/>
      <c r="AY984" s="3">
        <v>1</v>
      </c>
      <c r="AZ984" s="1"/>
      <c r="BA984" s="2"/>
      <c r="BB984" s="3">
        <v>20</v>
      </c>
      <c r="BC984" s="3">
        <v>21</v>
      </c>
      <c r="BD984" s="2"/>
      <c r="BE984" s="1"/>
      <c r="BF984" s="1"/>
      <c r="BG984" s="1"/>
      <c r="BH984" s="1"/>
      <c r="BI984" s="1"/>
      <c r="BJ984" s="1"/>
      <c r="BK984" s="1"/>
      <c r="BL984" s="1"/>
      <c r="BM984" s="1"/>
      <c r="BN984" s="2"/>
      <c r="BO984" s="1"/>
      <c r="BP984" s="1"/>
      <c r="BQ984" s="1"/>
      <c r="BR984" s="1"/>
      <c r="BS984" s="1" t="s">
        <v>8007</v>
      </c>
      <c r="BT984" s="5">
        <f>HYPERLINK("https%3A%2F%2Fwww.webofscience.com%2Fwos%2Fwoscc%2Ffull-record%2FWOS:000331497600067","View Full Record in Web of Science")</f>
      </c>
    </row>
    <row x14ac:dyDescent="0.25" r="985" customHeight="1" ht="12.75">
      <c r="A985" s="1" t="s">
        <v>72</v>
      </c>
      <c r="B985" s="1" t="s">
        <v>8008</v>
      </c>
      <c r="C985" s="1"/>
      <c r="D985" s="1"/>
      <c r="E985" s="1"/>
      <c r="F985" s="1" t="s">
        <v>8009</v>
      </c>
      <c r="G985" s="1"/>
      <c r="H985" s="1"/>
      <c r="I985" s="1" t="s">
        <v>8010</v>
      </c>
      <c r="J985" s="1" t="s">
        <v>4302</v>
      </c>
      <c r="K985" s="1"/>
      <c r="L985" s="1"/>
      <c r="M985" s="1"/>
      <c r="N985" s="1"/>
      <c r="O985" s="1"/>
      <c r="P985" s="2"/>
      <c r="Q985" s="1"/>
      <c r="R985" s="1"/>
      <c r="S985" s="1"/>
      <c r="T985" s="1"/>
      <c r="U985" s="1"/>
      <c r="V985" s="1" t="s">
        <v>8011</v>
      </c>
      <c r="W985" s="1"/>
      <c r="X985" s="1"/>
      <c r="Y985" s="1"/>
      <c r="Z985" s="1"/>
      <c r="AA985" s="1"/>
      <c r="AB985" s="1"/>
      <c r="AC985" s="1"/>
      <c r="AD985" s="1"/>
      <c r="AE985" s="1"/>
      <c r="AF985" s="1"/>
      <c r="AG985" s="1"/>
      <c r="AH985" s="1"/>
      <c r="AI985" s="1"/>
      <c r="AJ985" s="1"/>
      <c r="AK985" s="1"/>
      <c r="AL985" s="1"/>
      <c r="AM985" s="1"/>
      <c r="AN985" s="1"/>
      <c r="AO985" s="1" t="s">
        <v>6999</v>
      </c>
      <c r="AP985" s="1" t="s">
        <v>4303</v>
      </c>
      <c r="AQ985" s="1"/>
      <c r="AR985" s="1"/>
      <c r="AS985" s="1"/>
      <c r="AT985" s="1" t="s">
        <v>126</v>
      </c>
      <c r="AU985" s="3">
        <v>2013</v>
      </c>
      <c r="AV985" s="2"/>
      <c r="AW985" s="3">
        <v>36</v>
      </c>
      <c r="AX985" s="2"/>
      <c r="AY985" s="2"/>
      <c r="AZ985" s="1"/>
      <c r="BA985" s="2"/>
      <c r="BB985" s="3">
        <v>119</v>
      </c>
      <c r="BC985" s="3">
        <v>134</v>
      </c>
      <c r="BD985" s="2"/>
      <c r="BE985" s="1"/>
      <c r="BF985" s="1"/>
      <c r="BG985" s="1"/>
      <c r="BH985" s="1"/>
      <c r="BI985" s="1"/>
      <c r="BJ985" s="1"/>
      <c r="BK985" s="1"/>
      <c r="BL985" s="1"/>
      <c r="BM985" s="1"/>
      <c r="BN985" s="2"/>
      <c r="BO985" s="1"/>
      <c r="BP985" s="1"/>
      <c r="BQ985" s="1"/>
      <c r="BR985" s="1"/>
      <c r="BS985" s="1" t="s">
        <v>8012</v>
      </c>
      <c r="BT985" s="5">
        <f>HYPERLINK("https%3A%2F%2Fwww.webofscience.com%2Fwos%2Fwoscc%2Ffull-record%2FWOS:000337748700009","View Full Record in Web of Science")</f>
      </c>
    </row>
    <row x14ac:dyDescent="0.25" r="986" customHeight="1" ht="12.75">
      <c r="A986" s="1" t="s">
        <v>72</v>
      </c>
      <c r="B986" s="1" t="s">
        <v>8013</v>
      </c>
      <c r="C986" s="1"/>
      <c r="D986" s="1"/>
      <c r="E986" s="1"/>
      <c r="F986" s="1" t="s">
        <v>8014</v>
      </c>
      <c r="G986" s="1"/>
      <c r="H986" s="1"/>
      <c r="I986" s="1" t="s">
        <v>8015</v>
      </c>
      <c r="J986" s="1" t="s">
        <v>3420</v>
      </c>
      <c r="K986" s="1"/>
      <c r="L986" s="1"/>
      <c r="M986" s="1"/>
      <c r="N986" s="1"/>
      <c r="O986" s="1"/>
      <c r="P986" s="2"/>
      <c r="Q986" s="1"/>
      <c r="R986" s="1"/>
      <c r="S986" s="1"/>
      <c r="T986" s="1"/>
      <c r="U986" s="1"/>
      <c r="V986" s="1" t="s">
        <v>8016</v>
      </c>
      <c r="W986" s="1"/>
      <c r="X986" s="1"/>
      <c r="Y986" s="1"/>
      <c r="Z986" s="1"/>
      <c r="AA986" s="1" t="s">
        <v>2462</v>
      </c>
      <c r="AB986" s="1"/>
      <c r="AC986" s="1"/>
      <c r="AD986" s="1"/>
      <c r="AE986" s="1"/>
      <c r="AF986" s="1"/>
      <c r="AG986" s="1"/>
      <c r="AH986" s="1"/>
      <c r="AI986" s="1"/>
      <c r="AJ986" s="1"/>
      <c r="AK986" s="1"/>
      <c r="AL986" s="1"/>
      <c r="AM986" s="1"/>
      <c r="AN986" s="1"/>
      <c r="AO986" s="1" t="s">
        <v>3424</v>
      </c>
      <c r="AP986" s="1" t="s">
        <v>3425</v>
      </c>
      <c r="AQ986" s="1"/>
      <c r="AR986" s="1"/>
      <c r="AS986" s="1"/>
      <c r="AT986" s="1" t="s">
        <v>431</v>
      </c>
      <c r="AU986" s="3">
        <v>2012</v>
      </c>
      <c r="AV986" s="3">
        <v>24</v>
      </c>
      <c r="AW986" s="3">
        <v>10</v>
      </c>
      <c r="AX986" s="2"/>
      <c r="AY986" s="2"/>
      <c r="AZ986" s="1"/>
      <c r="BA986" s="2"/>
      <c r="BB986" s="2"/>
      <c r="BC986" s="2"/>
      <c r="BD986" s="3">
        <v>105103</v>
      </c>
      <c r="BE986" s="1" t="s">
        <v>8017</v>
      </c>
      <c r="BF986" s="4">
        <f>HYPERLINK("http://dx.doi.org/10.1063/1.4757651","http://dx.doi.org/10.1063/1.4757651")</f>
      </c>
      <c r="BG986" s="1"/>
      <c r="BH986" s="1"/>
      <c r="BI986" s="1"/>
      <c r="BJ986" s="1"/>
      <c r="BK986" s="1"/>
      <c r="BL986" s="1"/>
      <c r="BM986" s="1"/>
      <c r="BN986" s="2"/>
      <c r="BO986" s="1"/>
      <c r="BP986" s="1"/>
      <c r="BQ986" s="1"/>
      <c r="BR986" s="1"/>
      <c r="BS986" s="1" t="s">
        <v>8018</v>
      </c>
      <c r="BT986" s="5">
        <f>HYPERLINK("https%3A%2F%2Fwww.webofscience.com%2Fwos%2Fwoscc%2Ffull-record%2FWOS:000310595100035","View Full Record in Web of Science")</f>
      </c>
    </row>
    <row x14ac:dyDescent="0.25" r="987" customHeight="1" ht="12.75">
      <c r="A987" s="1" t="s">
        <v>72</v>
      </c>
      <c r="B987" s="1" t="s">
        <v>355</v>
      </c>
      <c r="C987" s="1"/>
      <c r="D987" s="1"/>
      <c r="E987" s="1"/>
      <c r="F987" s="1" t="s">
        <v>356</v>
      </c>
      <c r="G987" s="1"/>
      <c r="H987" s="1"/>
      <c r="I987" s="1" t="s">
        <v>8019</v>
      </c>
      <c r="J987" s="1" t="s">
        <v>8020</v>
      </c>
      <c r="K987" s="1"/>
      <c r="L987" s="1"/>
      <c r="M987" s="1"/>
      <c r="N987" s="1"/>
      <c r="O987" s="1"/>
      <c r="P987" s="2"/>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t="s">
        <v>8021</v>
      </c>
      <c r="AP987" s="1"/>
      <c r="AQ987" s="1"/>
      <c r="AR987" s="1"/>
      <c r="AS987" s="1"/>
      <c r="AT987" s="1" t="s">
        <v>757</v>
      </c>
      <c r="AU987" s="3">
        <v>2012</v>
      </c>
      <c r="AV987" s="3">
        <v>117</v>
      </c>
      <c r="AW987" s="3">
        <v>3</v>
      </c>
      <c r="AX987" s="2"/>
      <c r="AY987" s="2"/>
      <c r="AZ987" s="1"/>
      <c r="BA987" s="2"/>
      <c r="BB987" s="3">
        <v>906</v>
      </c>
      <c r="BC987" s="3">
        <v>906</v>
      </c>
      <c r="BD987" s="2"/>
      <c r="BE987" s="1"/>
      <c r="BF987" s="1"/>
      <c r="BG987" s="1"/>
      <c r="BH987" s="1"/>
      <c r="BI987" s="1"/>
      <c r="BJ987" s="1"/>
      <c r="BK987" s="1"/>
      <c r="BL987" s="1"/>
      <c r="BM987" s="1"/>
      <c r="BN987" s="2"/>
      <c r="BO987" s="1"/>
      <c r="BP987" s="1"/>
      <c r="BQ987" s="1"/>
      <c r="BR987" s="1"/>
      <c r="BS987" s="1" t="s">
        <v>8022</v>
      </c>
      <c r="BT987" s="5">
        <f>HYPERLINK("https%3A%2F%2Fwww.webofscience.com%2Fwos%2Fwoscc%2Ffull-record%2FWOS:000305498400110","View Full Record in Web of Science")</f>
      </c>
    </row>
    <row x14ac:dyDescent="0.25" r="988" customHeight="1" ht="12.75">
      <c r="A988" s="1" t="s">
        <v>72</v>
      </c>
      <c r="B988" s="1" t="s">
        <v>8023</v>
      </c>
      <c r="C988" s="1"/>
      <c r="D988" s="1"/>
      <c r="E988" s="1"/>
      <c r="F988" s="1" t="s">
        <v>8024</v>
      </c>
      <c r="G988" s="1"/>
      <c r="H988" s="1"/>
      <c r="I988" s="1" t="s">
        <v>8025</v>
      </c>
      <c r="J988" s="1" t="s">
        <v>6055</v>
      </c>
      <c r="K988" s="1"/>
      <c r="L988" s="1"/>
      <c r="M988" s="1"/>
      <c r="N988" s="1"/>
      <c r="O988" s="1"/>
      <c r="P988" s="2"/>
      <c r="Q988" s="1"/>
      <c r="R988" s="1"/>
      <c r="S988" s="1"/>
      <c r="T988" s="1"/>
      <c r="U988" s="1"/>
      <c r="V988" s="1" t="s">
        <v>8026</v>
      </c>
      <c r="W988" s="1"/>
      <c r="X988" s="1"/>
      <c r="Y988" s="1"/>
      <c r="Z988" s="1"/>
      <c r="AA988" s="1" t="s">
        <v>6030</v>
      </c>
      <c r="AB988" s="1" t="s">
        <v>5249</v>
      </c>
      <c r="AC988" s="1"/>
      <c r="AD988" s="1"/>
      <c r="AE988" s="1"/>
      <c r="AF988" s="1"/>
      <c r="AG988" s="1"/>
      <c r="AH988" s="1"/>
      <c r="AI988" s="1"/>
      <c r="AJ988" s="1"/>
      <c r="AK988" s="1"/>
      <c r="AL988" s="1"/>
      <c r="AM988" s="1"/>
      <c r="AN988" s="1"/>
      <c r="AO988" s="1" t="s">
        <v>6058</v>
      </c>
      <c r="AP988" s="1"/>
      <c r="AQ988" s="1"/>
      <c r="AR988" s="1"/>
      <c r="AS988" s="1"/>
      <c r="AT988" s="1" t="s">
        <v>464</v>
      </c>
      <c r="AU988" s="3">
        <v>2012</v>
      </c>
      <c r="AV988" s="3">
        <v>11</v>
      </c>
      <c r="AW988" s="3">
        <v>2</v>
      </c>
      <c r="AX988" s="2"/>
      <c r="AY988" s="2"/>
      <c r="AZ988" s="1"/>
      <c r="BA988" s="2"/>
      <c r="BB988" s="3">
        <v>369</v>
      </c>
      <c r="BC988" s="3">
        <v>380</v>
      </c>
      <c r="BD988" s="2"/>
      <c r="BE988" s="1"/>
      <c r="BF988" s="1"/>
      <c r="BG988" s="1"/>
      <c r="BH988" s="1"/>
      <c r="BI988" s="1"/>
      <c r="BJ988" s="1"/>
      <c r="BK988" s="1"/>
      <c r="BL988" s="1"/>
      <c r="BM988" s="1"/>
      <c r="BN988" s="2"/>
      <c r="BO988" s="1"/>
      <c r="BP988" s="1"/>
      <c r="BQ988" s="1"/>
      <c r="BR988" s="1"/>
      <c r="BS988" s="1" t="s">
        <v>8027</v>
      </c>
      <c r="BT988" s="5">
        <f>HYPERLINK("https%3A%2F%2Fwww.webofscience.com%2Fwos%2Fwoscc%2Ffull-record%2FWOS:000307275000002","View Full Record in Web of Science")</f>
      </c>
    </row>
    <row x14ac:dyDescent="0.25" r="989" customHeight="1" ht="12.75">
      <c r="A989" s="1" t="s">
        <v>72</v>
      </c>
      <c r="B989" s="1" t="s">
        <v>8028</v>
      </c>
      <c r="C989" s="1"/>
      <c r="D989" s="1"/>
      <c r="E989" s="1"/>
      <c r="F989" s="1" t="s">
        <v>8029</v>
      </c>
      <c r="G989" s="1"/>
      <c r="H989" s="1"/>
      <c r="I989" s="1" t="s">
        <v>8030</v>
      </c>
      <c r="J989" s="1" t="s">
        <v>1652</v>
      </c>
      <c r="K989" s="1"/>
      <c r="L989" s="1"/>
      <c r="M989" s="1"/>
      <c r="N989" s="1"/>
      <c r="O989" s="1"/>
      <c r="P989" s="2"/>
      <c r="Q989" s="1"/>
      <c r="R989" s="1"/>
      <c r="S989" s="1"/>
      <c r="T989" s="1"/>
      <c r="U989" s="1"/>
      <c r="V989" s="1" t="s">
        <v>8031</v>
      </c>
      <c r="W989" s="1"/>
      <c r="X989" s="1"/>
      <c r="Y989" s="1"/>
      <c r="Z989" s="1"/>
      <c r="AA989" s="1" t="s">
        <v>8032</v>
      </c>
      <c r="AB989" s="1" t="s">
        <v>8033</v>
      </c>
      <c r="AC989" s="1"/>
      <c r="AD989" s="1"/>
      <c r="AE989" s="1"/>
      <c r="AF989" s="1"/>
      <c r="AG989" s="1"/>
      <c r="AH989" s="1"/>
      <c r="AI989" s="1"/>
      <c r="AJ989" s="1"/>
      <c r="AK989" s="1"/>
      <c r="AL989" s="1"/>
      <c r="AM989" s="1"/>
      <c r="AN989" s="1"/>
      <c r="AO989" s="1" t="s">
        <v>1656</v>
      </c>
      <c r="AP989" s="1"/>
      <c r="AQ989" s="1"/>
      <c r="AR989" s="1"/>
      <c r="AS989" s="1"/>
      <c r="AT989" s="1" t="s">
        <v>763</v>
      </c>
      <c r="AU989" s="3">
        <v>2012</v>
      </c>
      <c r="AV989" s="3">
        <v>87</v>
      </c>
      <c r="AW989" s="2"/>
      <c r="AX989" s="2"/>
      <c r="AY989" s="2"/>
      <c r="AZ989" s="1"/>
      <c r="BA989" s="2"/>
      <c r="BB989" s="3">
        <v>61</v>
      </c>
      <c r="BC989" s="3">
        <v>66</v>
      </c>
      <c r="BD989" s="2"/>
      <c r="BE989" s="1" t="s">
        <v>8034</v>
      </c>
      <c r="BF989" s="4">
        <f>HYPERLINK("http://dx.doi.org/10.1016/j.saa.2011.11.010","http://dx.doi.org/10.1016/j.saa.2011.11.010")</f>
      </c>
      <c r="BG989" s="1"/>
      <c r="BH989" s="1"/>
      <c r="BI989" s="1"/>
      <c r="BJ989" s="1"/>
      <c r="BK989" s="1"/>
      <c r="BL989" s="1"/>
      <c r="BM989" s="1"/>
      <c r="BN989" s="3">
        <v>22155213</v>
      </c>
      <c r="BO989" s="1"/>
      <c r="BP989" s="1"/>
      <c r="BQ989" s="1"/>
      <c r="BR989" s="1"/>
      <c r="BS989" s="1" t="s">
        <v>8035</v>
      </c>
      <c r="BT989" s="5">
        <f>HYPERLINK("https%3A%2F%2Fwww.webofscience.com%2Fwos%2Fwoscc%2Ffull-record%2FWOS:000300812800008","View Full Record in Web of Science")</f>
      </c>
    </row>
    <row x14ac:dyDescent="0.25" r="990" customHeight="1" ht="12.75">
      <c r="A990" s="1" t="s">
        <v>72</v>
      </c>
      <c r="B990" s="1" t="s">
        <v>3508</v>
      </c>
      <c r="C990" s="1"/>
      <c r="D990" s="1"/>
      <c r="E990" s="1"/>
      <c r="F990" s="1" t="s">
        <v>8036</v>
      </c>
      <c r="G990" s="1"/>
      <c r="H990" s="1"/>
      <c r="I990" s="1" t="s">
        <v>8037</v>
      </c>
      <c r="J990" s="1" t="s">
        <v>8038</v>
      </c>
      <c r="K990" s="1"/>
      <c r="L990" s="1"/>
      <c r="M990" s="1"/>
      <c r="N990" s="1"/>
      <c r="O990" s="1"/>
      <c r="P990" s="2"/>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t="s">
        <v>8039</v>
      </c>
      <c r="AP990" s="1"/>
      <c r="AQ990" s="1"/>
      <c r="AR990" s="1"/>
      <c r="AS990" s="1"/>
      <c r="AT990" s="1"/>
      <c r="AU990" s="3">
        <v>2012</v>
      </c>
      <c r="AV990" s="3">
        <v>188</v>
      </c>
      <c r="AW990" s="3">
        <v>757</v>
      </c>
      <c r="AX990" s="2"/>
      <c r="AY990" s="2"/>
      <c r="AZ990" s="1"/>
      <c r="BA990" s="2"/>
      <c r="BB990" s="3">
        <v>1005</v>
      </c>
      <c r="BC990" s="3">
        <v>1006</v>
      </c>
      <c r="BD990" s="2"/>
      <c r="BE990" s="1"/>
      <c r="BF990" s="1"/>
      <c r="BG990" s="1"/>
      <c r="BH990" s="1"/>
      <c r="BI990" s="1"/>
      <c r="BJ990" s="1"/>
      <c r="BK990" s="1"/>
      <c r="BL990" s="1"/>
      <c r="BM990" s="1"/>
      <c r="BN990" s="2"/>
      <c r="BO990" s="1"/>
      <c r="BP990" s="1"/>
      <c r="BQ990" s="1"/>
      <c r="BR990" s="1"/>
      <c r="BS990" s="1" t="s">
        <v>8040</v>
      </c>
      <c r="BT990" s="5">
        <f>HYPERLINK("https%3A%2F%2Fwww.webofscience.com%2Fwos%2Fwoscc%2Ffull-record%2FWOS:000310839400018","View Full Record in Web of Science")</f>
      </c>
    </row>
    <row x14ac:dyDescent="0.25" r="991" customHeight="1" ht="12.75">
      <c r="A991" s="1" t="s">
        <v>303</v>
      </c>
      <c r="B991" s="1" t="s">
        <v>697</v>
      </c>
      <c r="C991" s="1"/>
      <c r="D991" s="1" t="s">
        <v>8041</v>
      </c>
      <c r="E991" s="1"/>
      <c r="F991" s="1" t="s">
        <v>698</v>
      </c>
      <c r="G991" s="1"/>
      <c r="H991" s="1"/>
      <c r="I991" s="1" t="s">
        <v>8042</v>
      </c>
      <c r="J991" s="1" t="s">
        <v>8043</v>
      </c>
      <c r="K991" s="1" t="s">
        <v>8044</v>
      </c>
      <c r="L991" s="1"/>
      <c r="M991" s="1"/>
      <c r="N991" s="1"/>
      <c r="O991" s="1" t="s">
        <v>8045</v>
      </c>
      <c r="P991" s="2" t="s">
        <v>8046</v>
      </c>
      <c r="Q991" s="1" t="s">
        <v>8047</v>
      </c>
      <c r="R991" s="1" t="s">
        <v>8048</v>
      </c>
      <c r="S991" s="1" t="s">
        <v>8049</v>
      </c>
      <c r="T991" s="1"/>
      <c r="U991" s="1"/>
      <c r="V991" s="1" t="s">
        <v>8050</v>
      </c>
      <c r="W991" s="1"/>
      <c r="X991" s="1"/>
      <c r="Y991" s="1"/>
      <c r="Z991" s="1"/>
      <c r="AA991" s="1" t="s">
        <v>702</v>
      </c>
      <c r="AB991" s="1" t="s">
        <v>703</v>
      </c>
      <c r="AC991" s="1"/>
      <c r="AD991" s="1"/>
      <c r="AE991" s="1"/>
      <c r="AF991" s="1"/>
      <c r="AG991" s="1"/>
      <c r="AH991" s="1"/>
      <c r="AI991" s="1"/>
      <c r="AJ991" s="1"/>
      <c r="AK991" s="1"/>
      <c r="AL991" s="1"/>
      <c r="AM991" s="1"/>
      <c r="AN991" s="1"/>
      <c r="AO991" s="1" t="s">
        <v>8051</v>
      </c>
      <c r="AP991" s="1" t="s">
        <v>8052</v>
      </c>
      <c r="AQ991" s="1" t="s">
        <v>8053</v>
      </c>
      <c r="AR991" s="1"/>
      <c r="AS991" s="1"/>
      <c r="AT991" s="1"/>
      <c r="AU991" s="3">
        <v>2012</v>
      </c>
      <c r="AV991" s="3">
        <v>563</v>
      </c>
      <c r="AW991" s="2"/>
      <c r="AX991" s="2"/>
      <c r="AY991" s="2"/>
      <c r="AZ991" s="1"/>
      <c r="BA991" s="2"/>
      <c r="BB991" s="3">
        <v>137</v>
      </c>
      <c r="BC991" s="3">
        <v>164</v>
      </c>
      <c r="BD991" s="2"/>
      <c r="BE991" s="1" t="s">
        <v>8054</v>
      </c>
      <c r="BF991" s="4">
        <f>HYPERLINK("http://dx.doi.org/10.1090/conm/563/11168","http://dx.doi.org/10.1090/conm/563/11168")</f>
      </c>
      <c r="BG991" s="1"/>
      <c r="BH991" s="1"/>
      <c r="BI991" s="1"/>
      <c r="BJ991" s="1"/>
      <c r="BK991" s="1"/>
      <c r="BL991" s="1"/>
      <c r="BM991" s="1"/>
      <c r="BN991" s="2"/>
      <c r="BO991" s="1"/>
      <c r="BP991" s="1"/>
      <c r="BQ991" s="1"/>
      <c r="BR991" s="1"/>
      <c r="BS991" s="1" t="s">
        <v>8055</v>
      </c>
      <c r="BT991" s="5">
        <f>HYPERLINK("https%3A%2F%2Fwww.webofscience.com%2Fwos%2Fwoscc%2Ffull-record%2FWOS:000303793200007","View Full Record in Web of Science")</f>
      </c>
    </row>
    <row x14ac:dyDescent="0.25" r="992" customHeight="1" ht="12.75">
      <c r="A992" s="1" t="s">
        <v>72</v>
      </c>
      <c r="B992" s="1" t="s">
        <v>8056</v>
      </c>
      <c r="C992" s="1"/>
      <c r="D992" s="1"/>
      <c r="E992" s="1"/>
      <c r="F992" s="1" t="s">
        <v>8057</v>
      </c>
      <c r="G992" s="1"/>
      <c r="H992" s="1"/>
      <c r="I992" s="1" t="s">
        <v>8058</v>
      </c>
      <c r="J992" s="1" t="s">
        <v>4437</v>
      </c>
      <c r="K992" s="1"/>
      <c r="L992" s="1"/>
      <c r="M992" s="1"/>
      <c r="N992" s="1"/>
      <c r="O992" s="1"/>
      <c r="P992" s="2"/>
      <c r="Q992" s="1"/>
      <c r="R992" s="1"/>
      <c r="S992" s="1"/>
      <c r="T992" s="1"/>
      <c r="U992" s="1"/>
      <c r="V992" s="1" t="s">
        <v>8059</v>
      </c>
      <c r="W992" s="1"/>
      <c r="X992" s="1"/>
      <c r="Y992" s="1"/>
      <c r="Z992" s="1"/>
      <c r="AA992" s="1" t="s">
        <v>5992</v>
      </c>
      <c r="AB992" s="1"/>
      <c r="AC992" s="1"/>
      <c r="AD992" s="1"/>
      <c r="AE992" s="1"/>
      <c r="AF992" s="1"/>
      <c r="AG992" s="1"/>
      <c r="AH992" s="1"/>
      <c r="AI992" s="1"/>
      <c r="AJ992" s="1"/>
      <c r="AK992" s="1"/>
      <c r="AL992" s="1"/>
      <c r="AM992" s="1"/>
      <c r="AN992" s="1"/>
      <c r="AO992" s="1" t="s">
        <v>4439</v>
      </c>
      <c r="AP992" s="1" t="s">
        <v>4440</v>
      </c>
      <c r="AQ992" s="1"/>
      <c r="AR992" s="1"/>
      <c r="AS992" s="1"/>
      <c r="AT992" s="1" t="s">
        <v>567</v>
      </c>
      <c r="AU992" s="3">
        <v>2011</v>
      </c>
      <c r="AV992" s="3">
        <v>54</v>
      </c>
      <c r="AW992" s="2" t="s">
        <v>8060</v>
      </c>
      <c r="AX992" s="2"/>
      <c r="AY992" s="2"/>
      <c r="AZ992" s="1"/>
      <c r="BA992" s="2"/>
      <c r="BB992" s="3">
        <v>2026</v>
      </c>
      <c r="BC992" s="3">
        <v>2033</v>
      </c>
      <c r="BD992" s="2"/>
      <c r="BE992" s="1" t="s">
        <v>8061</v>
      </c>
      <c r="BF992" s="4">
        <f>HYPERLINK("http://dx.doi.org/10.1016/j.ijheatmasstransfer.2010.12.026","http://dx.doi.org/10.1016/j.ijheatmasstransfer.2010.12.026")</f>
      </c>
      <c r="BG992" s="1"/>
      <c r="BH992" s="1"/>
      <c r="BI992" s="1"/>
      <c r="BJ992" s="1"/>
      <c r="BK992" s="1"/>
      <c r="BL992" s="1"/>
      <c r="BM992" s="1"/>
      <c r="BN992" s="2"/>
      <c r="BO992" s="1"/>
      <c r="BP992" s="1"/>
      <c r="BQ992" s="1"/>
      <c r="BR992" s="1"/>
      <c r="BS992" s="1" t="s">
        <v>8062</v>
      </c>
      <c r="BT992" s="5">
        <f>HYPERLINK("https%3A%2F%2Fwww.webofscience.com%2Fwos%2Fwoscc%2Ffull-record%2FWOS:000289011700034","View Full Record in Web of Science")</f>
      </c>
    </row>
    <row x14ac:dyDescent="0.25" r="993" customHeight="1" ht="12.75">
      <c r="A993" s="1" t="s">
        <v>72</v>
      </c>
      <c r="B993" s="1" t="s">
        <v>8063</v>
      </c>
      <c r="C993" s="1"/>
      <c r="D993" s="1"/>
      <c r="E993" s="1"/>
      <c r="F993" s="1" t="s">
        <v>8064</v>
      </c>
      <c r="G993" s="1"/>
      <c r="H993" s="1"/>
      <c r="I993" s="1" t="s">
        <v>8065</v>
      </c>
      <c r="J993" s="1" t="s">
        <v>8066</v>
      </c>
      <c r="K993" s="1"/>
      <c r="L993" s="1"/>
      <c r="M993" s="1"/>
      <c r="N993" s="1"/>
      <c r="O993" s="1"/>
      <c r="P993" s="2"/>
      <c r="Q993" s="1"/>
      <c r="R993" s="1"/>
      <c r="S993" s="1"/>
      <c r="T993" s="1"/>
      <c r="U993" s="1"/>
      <c r="V993" s="1" t="s">
        <v>8067</v>
      </c>
      <c r="W993" s="1"/>
      <c r="X993" s="1"/>
      <c r="Y993" s="1"/>
      <c r="Z993" s="1"/>
      <c r="AA993" s="1"/>
      <c r="AB993" s="1"/>
      <c r="AC993" s="1"/>
      <c r="AD993" s="1"/>
      <c r="AE993" s="1"/>
      <c r="AF993" s="1"/>
      <c r="AG993" s="1"/>
      <c r="AH993" s="1"/>
      <c r="AI993" s="1"/>
      <c r="AJ993" s="1"/>
      <c r="AK993" s="1"/>
      <c r="AL993" s="1"/>
      <c r="AM993" s="1"/>
      <c r="AN993" s="1"/>
      <c r="AO993" s="1" t="s">
        <v>8068</v>
      </c>
      <c r="AP993" s="1" t="s">
        <v>8069</v>
      </c>
      <c r="AQ993" s="1"/>
      <c r="AR993" s="1"/>
      <c r="AS993" s="1"/>
      <c r="AT993" s="1"/>
      <c r="AU993" s="3">
        <v>2010</v>
      </c>
      <c r="AV993" s="3">
        <v>19</v>
      </c>
      <c r="AW993" s="3">
        <v>1</v>
      </c>
      <c r="AX993" s="2"/>
      <c r="AY993" s="2"/>
      <c r="AZ993" s="1"/>
      <c r="BA993" s="2"/>
      <c r="BB993" s="3">
        <v>109</v>
      </c>
      <c r="BC993" s="3">
        <v>113</v>
      </c>
      <c r="BD993" s="2"/>
      <c r="BE993" s="1"/>
      <c r="BF993" s="1"/>
      <c r="BG993" s="1"/>
      <c r="BH993" s="1"/>
      <c r="BI993" s="1"/>
      <c r="BJ993" s="1"/>
      <c r="BK993" s="1"/>
      <c r="BL993" s="1"/>
      <c r="BM993" s="1"/>
      <c r="BN993" s="2"/>
      <c r="BO993" s="1"/>
      <c r="BP993" s="1"/>
      <c r="BQ993" s="1"/>
      <c r="BR993" s="1"/>
      <c r="BS993" s="1" t="s">
        <v>8070</v>
      </c>
      <c r="BT993" s="5">
        <f>HYPERLINK("https%3A%2F%2Fwww.webofscience.com%2Fwos%2Fwoscc%2Ffull-record%2FWOS:000276908300016","View Full Record in Web of Science")</f>
      </c>
    </row>
    <row x14ac:dyDescent="0.25" r="994" customHeight="1" ht="12.75">
      <c r="A994" s="1" t="s">
        <v>72</v>
      </c>
      <c r="B994" s="1" t="s">
        <v>8071</v>
      </c>
      <c r="C994" s="1"/>
      <c r="D994" s="1"/>
      <c r="E994" s="1"/>
      <c r="F994" s="1" t="s">
        <v>8072</v>
      </c>
      <c r="G994" s="1"/>
      <c r="H994" s="1"/>
      <c r="I994" s="1" t="s">
        <v>8073</v>
      </c>
      <c r="J994" s="1" t="s">
        <v>8074</v>
      </c>
      <c r="K994" s="1"/>
      <c r="L994" s="1"/>
      <c r="M994" s="1"/>
      <c r="N994" s="1"/>
      <c r="O994" s="1"/>
      <c r="P994" s="2"/>
      <c r="Q994" s="1"/>
      <c r="R994" s="1"/>
      <c r="S994" s="1"/>
      <c r="T994" s="1"/>
      <c r="U994" s="1"/>
      <c r="V994" s="1"/>
      <c r="W994" s="1"/>
      <c r="X994" s="1"/>
      <c r="Y994" s="1"/>
      <c r="Z994" s="1"/>
      <c r="AA994" s="1" t="s">
        <v>8075</v>
      </c>
      <c r="AB994" s="1" t="s">
        <v>2905</v>
      </c>
      <c r="AC994" s="1"/>
      <c r="AD994" s="1"/>
      <c r="AE994" s="1"/>
      <c r="AF994" s="1"/>
      <c r="AG994" s="1"/>
      <c r="AH994" s="1"/>
      <c r="AI994" s="1"/>
      <c r="AJ994" s="1"/>
      <c r="AK994" s="1"/>
      <c r="AL994" s="1"/>
      <c r="AM994" s="1"/>
      <c r="AN994" s="1"/>
      <c r="AO994" s="1" t="s">
        <v>8076</v>
      </c>
      <c r="AP994" s="1"/>
      <c r="AQ994" s="1"/>
      <c r="AR994" s="1"/>
      <c r="AS994" s="1"/>
      <c r="AT994" s="1" t="s">
        <v>567</v>
      </c>
      <c r="AU994" s="3">
        <v>2009</v>
      </c>
      <c r="AV994" s="3">
        <v>21</v>
      </c>
      <c r="AW994" s="3">
        <v>2</v>
      </c>
      <c r="AX994" s="2"/>
      <c r="AY994" s="2"/>
      <c r="AZ994" s="1"/>
      <c r="BA994" s="2"/>
      <c r="BB994" s="3">
        <v>149</v>
      </c>
      <c r="BC994" s="3">
        <v>150</v>
      </c>
      <c r="BD994" s="2"/>
      <c r="BE994" s="1" t="s">
        <v>8077</v>
      </c>
      <c r="BF994" s="4">
        <f>HYPERLINK("http://dx.doi.org/10.1017/S0954102008001570","http://dx.doi.org/10.1017/S0954102008001570")</f>
      </c>
      <c r="BG994" s="1"/>
      <c r="BH994" s="1"/>
      <c r="BI994" s="1"/>
      <c r="BJ994" s="1"/>
      <c r="BK994" s="1"/>
      <c r="BL994" s="1"/>
      <c r="BM994" s="1"/>
      <c r="BN994" s="2"/>
      <c r="BO994" s="1"/>
      <c r="BP994" s="1"/>
      <c r="BQ994" s="1"/>
      <c r="BR994" s="1"/>
      <c r="BS994" s="1" t="s">
        <v>8078</v>
      </c>
      <c r="BT994" s="5">
        <f>HYPERLINK("https%3A%2F%2Fwww.webofscience.com%2Fwos%2Fwoscc%2Ffull-record%2FWOS:000264652200007","View Full Record in Web of Science")</f>
      </c>
    </row>
    <row x14ac:dyDescent="0.25" r="995" customHeight="1" ht="12.75">
      <c r="A995" s="1" t="s">
        <v>72</v>
      </c>
      <c r="B995" s="1" t="s">
        <v>8079</v>
      </c>
      <c r="C995" s="1"/>
      <c r="D995" s="1"/>
      <c r="E995" s="1"/>
      <c r="F995" s="1" t="s">
        <v>8080</v>
      </c>
      <c r="G995" s="1"/>
      <c r="H995" s="1"/>
      <c r="I995" s="1" t="s">
        <v>8081</v>
      </c>
      <c r="J995" s="1" t="s">
        <v>1636</v>
      </c>
      <c r="K995" s="1"/>
      <c r="L995" s="1"/>
      <c r="M995" s="1"/>
      <c r="N995" s="1"/>
      <c r="O995" s="1"/>
      <c r="P995" s="2"/>
      <c r="Q995" s="1"/>
      <c r="R995" s="1"/>
      <c r="S995" s="1"/>
      <c r="T995" s="1"/>
      <c r="U995" s="1"/>
      <c r="V995" s="1" t="s">
        <v>8082</v>
      </c>
      <c r="W995" s="1"/>
      <c r="X995" s="1"/>
      <c r="Y995" s="1"/>
      <c r="Z995" s="1"/>
      <c r="AA995" s="1"/>
      <c r="AB995" s="1"/>
      <c r="AC995" s="1"/>
      <c r="AD995" s="1"/>
      <c r="AE995" s="1"/>
      <c r="AF995" s="1"/>
      <c r="AG995" s="1"/>
      <c r="AH995" s="1"/>
      <c r="AI995" s="1"/>
      <c r="AJ995" s="1"/>
      <c r="AK995" s="1"/>
      <c r="AL995" s="1"/>
      <c r="AM995" s="1"/>
      <c r="AN995" s="1"/>
      <c r="AO995" s="1" t="s">
        <v>1638</v>
      </c>
      <c r="AP995" s="1" t="s">
        <v>1919</v>
      </c>
      <c r="AQ995" s="1"/>
      <c r="AR995" s="1"/>
      <c r="AS995" s="1"/>
      <c r="AT995" s="1"/>
      <c r="AU995" s="3">
        <v>2009</v>
      </c>
      <c r="AV995" s="3">
        <v>38</v>
      </c>
      <c r="AW995" s="2" t="s">
        <v>5317</v>
      </c>
      <c r="AX995" s="2"/>
      <c r="AY995" s="2"/>
      <c r="AZ995" s="1"/>
      <c r="BA995" s="2"/>
      <c r="BB995" s="3">
        <v>1332</v>
      </c>
      <c r="BC995" s="3">
        <v>1343</v>
      </c>
      <c r="BD995" s="2"/>
      <c r="BE995" s="1" t="s">
        <v>8083</v>
      </c>
      <c r="BF995" s="4">
        <f>HYPERLINK("http://dx.doi.org/10.1108/03684920910977005","http://dx.doi.org/10.1108/03684920910977005")</f>
      </c>
      <c r="BG995" s="1"/>
      <c r="BH995" s="1"/>
      <c r="BI995" s="1"/>
      <c r="BJ995" s="1"/>
      <c r="BK995" s="1"/>
      <c r="BL995" s="1"/>
      <c r="BM995" s="1"/>
      <c r="BN995" s="2"/>
      <c r="BO995" s="1"/>
      <c r="BP995" s="1"/>
      <c r="BQ995" s="1"/>
      <c r="BR995" s="1"/>
      <c r="BS995" s="1" t="s">
        <v>8084</v>
      </c>
      <c r="BT995" s="5">
        <f>HYPERLINK("https%3A%2F%2Fwww.webofscience.com%2Fwos%2Fwoscc%2Ffull-record%2FWOS:000270378700020","View Full Record in Web of Science")</f>
      </c>
    </row>
    <row x14ac:dyDescent="0.25" r="996" customHeight="1" ht="12.75">
      <c r="A996" s="1" t="s">
        <v>72</v>
      </c>
      <c r="B996" s="1" t="s">
        <v>8085</v>
      </c>
      <c r="C996" s="1"/>
      <c r="D996" s="1"/>
      <c r="E996" s="1"/>
      <c r="F996" s="1" t="s">
        <v>8086</v>
      </c>
      <c r="G996" s="1"/>
      <c r="H996" s="1"/>
      <c r="I996" s="1" t="s">
        <v>8087</v>
      </c>
      <c r="J996" s="1" t="s">
        <v>8088</v>
      </c>
      <c r="K996" s="1"/>
      <c r="L996" s="1"/>
      <c r="M996" s="1"/>
      <c r="N996" s="1"/>
      <c r="O996" s="1"/>
      <c r="P996" s="2"/>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t="s">
        <v>8089</v>
      </c>
      <c r="AP996" s="1"/>
      <c r="AQ996" s="1"/>
      <c r="AR996" s="1"/>
      <c r="AS996" s="1"/>
      <c r="AT996" s="1"/>
      <c r="AU996" s="3">
        <v>2008</v>
      </c>
      <c r="AV996" s="3">
        <v>27</v>
      </c>
      <c r="AW996" s="2"/>
      <c r="AX996" s="2"/>
      <c r="AY996" s="2"/>
      <c r="AZ996" s="1"/>
      <c r="BA996" s="2"/>
      <c r="BB996" s="3">
        <v>129</v>
      </c>
      <c r="BC996" s="3">
        <v>149</v>
      </c>
      <c r="BD996" s="2"/>
      <c r="BE996" s="1"/>
      <c r="BF996" s="1"/>
      <c r="BG996" s="1"/>
      <c r="BH996" s="1"/>
      <c r="BI996" s="1"/>
      <c r="BJ996" s="1"/>
      <c r="BK996" s="1"/>
      <c r="BL996" s="1"/>
      <c r="BM996" s="1"/>
      <c r="BN996" s="2"/>
      <c r="BO996" s="1"/>
      <c r="BP996" s="1"/>
      <c r="BQ996" s="1"/>
      <c r="BR996" s="1"/>
      <c r="BS996" s="1" t="s">
        <v>8090</v>
      </c>
      <c r="BT996" s="5">
        <f>HYPERLINK("https%3A%2F%2Fwww.webofscience.com%2Fwos%2Fwoscc%2Ffull-record%2FWOS:000207989400008","View Full Record in Web of Science")</f>
      </c>
    </row>
    <row x14ac:dyDescent="0.25" r="997" customHeight="1" ht="12.75">
      <c r="A997" s="1" t="s">
        <v>72</v>
      </c>
      <c r="B997" s="1" t="s">
        <v>8091</v>
      </c>
      <c r="C997" s="1"/>
      <c r="D997" s="1"/>
      <c r="E997" s="1"/>
      <c r="F997" s="1" t="s">
        <v>8092</v>
      </c>
      <c r="G997" s="1"/>
      <c r="H997" s="1"/>
      <c r="I997" s="1" t="s">
        <v>8093</v>
      </c>
      <c r="J997" s="1" t="s">
        <v>8094</v>
      </c>
      <c r="K997" s="1"/>
      <c r="L997" s="1"/>
      <c r="M997" s="1"/>
      <c r="N997" s="1"/>
      <c r="O997" s="1" t="s">
        <v>8095</v>
      </c>
      <c r="P997" s="3">
        <v>2005</v>
      </c>
      <c r="Q997" s="1" t="s">
        <v>8096</v>
      </c>
      <c r="R997" s="1"/>
      <c r="S997" s="1"/>
      <c r="T997" s="1"/>
      <c r="U997" s="1"/>
      <c r="V997" s="1" t="s">
        <v>8097</v>
      </c>
      <c r="W997" s="1"/>
      <c r="X997" s="1"/>
      <c r="Y997" s="1"/>
      <c r="Z997" s="1"/>
      <c r="AA997" s="1"/>
      <c r="AB997" s="1"/>
      <c r="AC997" s="1"/>
      <c r="AD997" s="1"/>
      <c r="AE997" s="1"/>
      <c r="AF997" s="1"/>
      <c r="AG997" s="1"/>
      <c r="AH997" s="1"/>
      <c r="AI997" s="1"/>
      <c r="AJ997" s="1"/>
      <c r="AK997" s="1"/>
      <c r="AL997" s="1"/>
      <c r="AM997" s="1"/>
      <c r="AN997" s="1"/>
      <c r="AO997" s="1" t="s">
        <v>8098</v>
      </c>
      <c r="AP997" s="1" t="s">
        <v>8099</v>
      </c>
      <c r="AQ997" s="1"/>
      <c r="AR997" s="1"/>
      <c r="AS997" s="1"/>
      <c r="AT997" s="1" t="s">
        <v>431</v>
      </c>
      <c r="AU997" s="3">
        <v>2007</v>
      </c>
      <c r="AV997" s="3">
        <v>46</v>
      </c>
      <c r="AW997" s="2" t="s">
        <v>5317</v>
      </c>
      <c r="AX997" s="2"/>
      <c r="AY997" s="2"/>
      <c r="AZ997" s="1"/>
      <c r="BA997" s="2"/>
      <c r="BB997" s="3">
        <v>1107</v>
      </c>
      <c r="BC997" s="3">
        <v>1114</v>
      </c>
      <c r="BD997" s="2"/>
      <c r="BE997" s="1" t="s">
        <v>8100</v>
      </c>
      <c r="BF997" s="4">
        <f>HYPERLINK("http://dx.doi.org/10.1016/j.mcm.2007.03.006","http://dx.doi.org/10.1016/j.mcm.2007.03.006")</f>
      </c>
      <c r="BG997" s="1"/>
      <c r="BH997" s="1"/>
      <c r="BI997" s="1"/>
      <c r="BJ997" s="1"/>
      <c r="BK997" s="1"/>
      <c r="BL997" s="1"/>
      <c r="BM997" s="1"/>
      <c r="BN997" s="2"/>
      <c r="BO997" s="1"/>
      <c r="BP997" s="1"/>
      <c r="BQ997" s="1"/>
      <c r="BR997" s="1"/>
      <c r="BS997" s="1" t="s">
        <v>8101</v>
      </c>
      <c r="BT997" s="5">
        <f>HYPERLINK("https%3A%2F%2Fwww.webofscience.com%2Fwos%2Fwoscc%2Ffull-record%2FWOS:000249899900023","View Full Record in Web of Science")</f>
      </c>
    </row>
    <row x14ac:dyDescent="0.25" r="998" customHeight="1" ht="12.75">
      <c r="A998" s="1" t="s">
        <v>72</v>
      </c>
      <c r="B998" s="1" t="s">
        <v>8102</v>
      </c>
      <c r="C998" s="1"/>
      <c r="D998" s="1"/>
      <c r="E998" s="1"/>
      <c r="F998" s="1" t="s">
        <v>8103</v>
      </c>
      <c r="G998" s="1"/>
      <c r="H998" s="1"/>
      <c r="I998" s="1" t="s">
        <v>8104</v>
      </c>
      <c r="J998" s="1" t="s">
        <v>8105</v>
      </c>
      <c r="K998" s="1"/>
      <c r="L998" s="1"/>
      <c r="M998" s="1"/>
      <c r="N998" s="1"/>
      <c r="O998" s="1"/>
      <c r="P998" s="2"/>
      <c r="Q998" s="1"/>
      <c r="R998" s="1"/>
      <c r="S998" s="1"/>
      <c r="T998" s="1"/>
      <c r="U998" s="1"/>
      <c r="V998" s="1" t="s">
        <v>8106</v>
      </c>
      <c r="W998" s="1"/>
      <c r="X998" s="1"/>
      <c r="Y998" s="1"/>
      <c r="Z998" s="1"/>
      <c r="AA998" s="1" t="s">
        <v>8107</v>
      </c>
      <c r="AB998" s="1" t="s">
        <v>8108</v>
      </c>
      <c r="AC998" s="1"/>
      <c r="AD998" s="1"/>
      <c r="AE998" s="1"/>
      <c r="AF998" s="1"/>
      <c r="AG998" s="1"/>
      <c r="AH998" s="1"/>
      <c r="AI998" s="1"/>
      <c r="AJ998" s="1"/>
      <c r="AK998" s="1"/>
      <c r="AL998" s="1"/>
      <c r="AM998" s="1"/>
      <c r="AN998" s="1"/>
      <c r="AO998" s="1" t="s">
        <v>8109</v>
      </c>
      <c r="AP998" s="1" t="s">
        <v>8110</v>
      </c>
      <c r="AQ998" s="1"/>
      <c r="AR998" s="1"/>
      <c r="AS998" s="1"/>
      <c r="AT998" s="1" t="s">
        <v>3829</v>
      </c>
      <c r="AU998" s="3">
        <v>2007</v>
      </c>
      <c r="AV998" s="3">
        <v>206</v>
      </c>
      <c r="AW998" s="3">
        <v>1</v>
      </c>
      <c r="AX998" s="2"/>
      <c r="AY998" s="2"/>
      <c r="AZ998" s="1"/>
      <c r="BA998" s="2"/>
      <c r="BB998" s="3">
        <v>599</v>
      </c>
      <c r="BC998" s="3">
        <v>602</v>
      </c>
      <c r="BD998" s="2"/>
      <c r="BE998" s="1" t="s">
        <v>8111</v>
      </c>
      <c r="BF998" s="4">
        <f>HYPERLINK("http://dx.doi.org/10.1016/j.cam.2006.08.032","http://dx.doi.org/10.1016/j.cam.2006.08.032")</f>
      </c>
      <c r="BG998" s="1"/>
      <c r="BH998" s="1"/>
      <c r="BI998" s="1"/>
      <c r="BJ998" s="1"/>
      <c r="BK998" s="1"/>
      <c r="BL998" s="1"/>
      <c r="BM998" s="1"/>
      <c r="BN998" s="2"/>
      <c r="BO998" s="1"/>
      <c r="BP998" s="1"/>
      <c r="BQ998" s="1"/>
      <c r="BR998" s="1"/>
      <c r="BS998" s="1" t="s">
        <v>8112</v>
      </c>
      <c r="BT998" s="5">
        <f>HYPERLINK("https%3A%2F%2Fwww.webofscience.com%2Fwos%2Fwoscc%2Ffull-record%2FWOS:000247706500044","View Full Record in Web of Science")</f>
      </c>
    </row>
    <row x14ac:dyDescent="0.25" r="999" customHeight="1" ht="12.75">
      <c r="A999" s="1" t="s">
        <v>72</v>
      </c>
      <c r="B999" s="1" t="s">
        <v>8113</v>
      </c>
      <c r="C999" s="1"/>
      <c r="D999" s="1"/>
      <c r="E999" s="1"/>
      <c r="F999" s="1" t="s">
        <v>8114</v>
      </c>
      <c r="G999" s="1"/>
      <c r="H999" s="1"/>
      <c r="I999" s="1" t="s">
        <v>8115</v>
      </c>
      <c r="J999" s="1" t="s">
        <v>8116</v>
      </c>
      <c r="K999" s="1"/>
      <c r="L999" s="1"/>
      <c r="M999" s="1"/>
      <c r="N999" s="1"/>
      <c r="O999" s="1"/>
      <c r="P999" s="2"/>
      <c r="Q999" s="1"/>
      <c r="R999" s="1"/>
      <c r="S999" s="1"/>
      <c r="T999" s="1"/>
      <c r="U999" s="1"/>
      <c r="V999" s="1" t="s">
        <v>8117</v>
      </c>
      <c r="W999" s="1"/>
      <c r="X999" s="1"/>
      <c r="Y999" s="1"/>
      <c r="Z999" s="1"/>
      <c r="AA999" s="1"/>
      <c r="AB999" s="1"/>
      <c r="AC999" s="1"/>
      <c r="AD999" s="1"/>
      <c r="AE999" s="1"/>
      <c r="AF999" s="1"/>
      <c r="AG999" s="1"/>
      <c r="AH999" s="1"/>
      <c r="AI999" s="1"/>
      <c r="AJ999" s="1"/>
      <c r="AK999" s="1"/>
      <c r="AL999" s="1"/>
      <c r="AM999" s="1"/>
      <c r="AN999" s="1"/>
      <c r="AO999" s="1" t="s">
        <v>8118</v>
      </c>
      <c r="AP999" s="1" t="s">
        <v>8119</v>
      </c>
      <c r="AQ999" s="1"/>
      <c r="AR999" s="1"/>
      <c r="AS999" s="1"/>
      <c r="AT999" s="1" t="s">
        <v>605</v>
      </c>
      <c r="AU999" s="3">
        <v>2007</v>
      </c>
      <c r="AV999" s="3">
        <v>19</v>
      </c>
      <c r="AW999" s="3">
        <v>1</v>
      </c>
      <c r="AX999" s="2"/>
      <c r="AY999" s="2"/>
      <c r="AZ999" s="1"/>
      <c r="BA999" s="2"/>
      <c r="BB999" s="3">
        <v>243</v>
      </c>
      <c r="BC999" s="3">
        <v>263</v>
      </c>
      <c r="BD999" s="2"/>
      <c r="BE999" s="1" t="s">
        <v>8120</v>
      </c>
      <c r="BF999" s="4">
        <f>HYPERLINK("http://dx.doi.org/10.1007/s10884-006-9045-y","http://dx.doi.org/10.1007/s10884-006-9045-y")</f>
      </c>
      <c r="BG999" s="1"/>
      <c r="BH999" s="1"/>
      <c r="BI999" s="1"/>
      <c r="BJ999" s="1"/>
      <c r="BK999" s="1"/>
      <c r="BL999" s="1"/>
      <c r="BM999" s="1"/>
      <c r="BN999" s="2"/>
      <c r="BO999" s="1"/>
      <c r="BP999" s="1"/>
      <c r="BQ999" s="1"/>
      <c r="BR999" s="1"/>
      <c r="BS999" s="1" t="s">
        <v>8121</v>
      </c>
      <c r="BT999" s="5">
        <f>HYPERLINK("https%3A%2F%2Fwww.webofscience.com%2Fwos%2Fwoscc%2Ffull-record%2FWOS:000243091000009","View Full Record in Web of Science")</f>
      </c>
    </row>
    <row x14ac:dyDescent="0.25" r="1000" customHeight="1" ht="12.75">
      <c r="A1000" s="1" t="s">
        <v>72</v>
      </c>
      <c r="B1000" s="1" t="s">
        <v>697</v>
      </c>
      <c r="C1000" s="1"/>
      <c r="D1000" s="1"/>
      <c r="E1000" s="1"/>
      <c r="F1000" s="1" t="s">
        <v>697</v>
      </c>
      <c r="G1000" s="1"/>
      <c r="H1000" s="1"/>
      <c r="I1000" s="1" t="s">
        <v>8122</v>
      </c>
      <c r="J1000" s="1" t="s">
        <v>3936</v>
      </c>
      <c r="K1000" s="1"/>
      <c r="L1000" s="1"/>
      <c r="M1000" s="1"/>
      <c r="N1000" s="1"/>
      <c r="O1000" s="1"/>
      <c r="P1000" s="2"/>
      <c r="Q1000" s="1"/>
      <c r="R1000" s="1"/>
      <c r="S1000" s="1"/>
      <c r="T1000" s="1"/>
      <c r="U1000" s="1"/>
      <c r="V1000" s="1" t="s">
        <v>8123</v>
      </c>
      <c r="W1000" s="1"/>
      <c r="X1000" s="1"/>
      <c r="Y1000" s="1"/>
      <c r="Z1000" s="1"/>
      <c r="AA1000" s="1" t="s">
        <v>702</v>
      </c>
      <c r="AB1000" s="1" t="s">
        <v>703</v>
      </c>
      <c r="AC1000" s="1"/>
      <c r="AD1000" s="1"/>
      <c r="AE1000" s="1"/>
      <c r="AF1000" s="1"/>
      <c r="AG1000" s="1"/>
      <c r="AH1000" s="1"/>
      <c r="AI1000" s="1"/>
      <c r="AJ1000" s="1"/>
      <c r="AK1000" s="1"/>
      <c r="AL1000" s="1"/>
      <c r="AM1000" s="1"/>
      <c r="AN1000" s="1"/>
      <c r="AO1000" s="1" t="s">
        <v>3939</v>
      </c>
      <c r="AP1000" s="1"/>
      <c r="AQ1000" s="1"/>
      <c r="AR1000" s="1"/>
      <c r="AS1000" s="1"/>
      <c r="AT1000" s="1" t="s">
        <v>8124</v>
      </c>
      <c r="AU1000" s="3">
        <v>2006</v>
      </c>
      <c r="AV1000" s="3">
        <v>39</v>
      </c>
      <c r="AW1000" s="3">
        <v>2</v>
      </c>
      <c r="AX1000" s="2"/>
      <c r="AY1000" s="2"/>
      <c r="AZ1000" s="1"/>
      <c r="BA1000" s="2"/>
      <c r="BB1000" s="2" t="s">
        <v>8125</v>
      </c>
      <c r="BC1000" s="2" t="s">
        <v>8126</v>
      </c>
      <c r="BD1000" s="2"/>
      <c r="BE1000" s="1" t="s">
        <v>8127</v>
      </c>
      <c r="BF1000" s="4">
        <f>HYPERLINK("http://dx.doi.org/10.1088/0305-4470/39/2/L02","http://dx.doi.org/10.1088/0305-4470/39/2/L02")</f>
      </c>
      <c r="BG1000" s="1"/>
      <c r="BH1000" s="1"/>
      <c r="BI1000" s="1"/>
      <c r="BJ1000" s="1"/>
      <c r="BK1000" s="1"/>
      <c r="BL1000" s="1"/>
      <c r="BM1000" s="1"/>
      <c r="BN1000" s="2"/>
      <c r="BO1000" s="1"/>
      <c r="BP1000" s="1"/>
      <c r="BQ1000" s="1"/>
      <c r="BR1000" s="1"/>
      <c r="BS1000" s="1" t="s">
        <v>8128</v>
      </c>
      <c r="BT1000" s="5">
        <f>HYPERLINK("https%3A%2F%2Fwww.webofscience.com%2Fwos%2Fwoscc%2Ffull-record%2FWOS:000235711900002","View Full Record in Web of Science")</f>
      </c>
    </row>
    <row x14ac:dyDescent="0.25" r="1001" customHeight="1" ht="12.75">
      <c r="A1001" s="1" t="s">
        <v>72</v>
      </c>
      <c r="B1001" s="1" t="s">
        <v>8129</v>
      </c>
      <c r="C1001" s="1"/>
      <c r="D1001" s="1"/>
      <c r="E1001" s="1"/>
      <c r="F1001" s="1" t="s">
        <v>8129</v>
      </c>
      <c r="G1001" s="1"/>
      <c r="H1001" s="1"/>
      <c r="I1001" s="1" t="s">
        <v>8130</v>
      </c>
      <c r="J1001" s="1" t="s">
        <v>1679</v>
      </c>
      <c r="K1001" s="1"/>
      <c r="L1001" s="1"/>
      <c r="M1001" s="1"/>
      <c r="N1001" s="1"/>
      <c r="O1001" s="1" t="s">
        <v>8131</v>
      </c>
      <c r="P1001" s="2" t="s">
        <v>8132</v>
      </c>
      <c r="Q1001" s="1" t="s">
        <v>8133</v>
      </c>
      <c r="R1001" s="1" t="s">
        <v>6142</v>
      </c>
      <c r="S1001" s="1"/>
      <c r="T1001" s="1"/>
      <c r="U1001" s="1"/>
      <c r="V1001" s="1"/>
      <c r="W1001" s="1"/>
      <c r="X1001" s="1"/>
      <c r="Y1001" s="1"/>
      <c r="Z1001" s="1"/>
      <c r="AA1001" s="1" t="s">
        <v>8134</v>
      </c>
      <c r="AB1001" s="1"/>
      <c r="AC1001" s="1"/>
      <c r="AD1001" s="1"/>
      <c r="AE1001" s="1"/>
      <c r="AF1001" s="1"/>
      <c r="AG1001" s="1"/>
      <c r="AH1001" s="1"/>
      <c r="AI1001" s="1"/>
      <c r="AJ1001" s="1"/>
      <c r="AK1001" s="1"/>
      <c r="AL1001" s="1"/>
      <c r="AM1001" s="1"/>
      <c r="AN1001" s="1"/>
      <c r="AO1001" s="1" t="s">
        <v>1681</v>
      </c>
      <c r="AP1001" s="1"/>
      <c r="AQ1001" s="1"/>
      <c r="AR1001" s="1"/>
      <c r="AS1001" s="1"/>
      <c r="AT1001" s="1" t="s">
        <v>8135</v>
      </c>
      <c r="AU1001" s="3">
        <v>2004</v>
      </c>
      <c r="AV1001" s="3">
        <v>228</v>
      </c>
      <c r="AW1001" s="2"/>
      <c r="AX1001" s="3">
        <v>1</v>
      </c>
      <c r="AY1001" s="2"/>
      <c r="AZ1001" s="1"/>
      <c r="BA1001" s="2" t="s">
        <v>8136</v>
      </c>
      <c r="BB1001" s="2" t="s">
        <v>8137</v>
      </c>
      <c r="BC1001" s="2" t="s">
        <v>8138</v>
      </c>
      <c r="BD1001" s="2"/>
      <c r="BE1001" s="1"/>
      <c r="BF1001" s="1"/>
      <c r="BG1001" s="1"/>
      <c r="BH1001" s="1"/>
      <c r="BI1001" s="1"/>
      <c r="BJ1001" s="1"/>
      <c r="BK1001" s="1"/>
      <c r="BL1001" s="1"/>
      <c r="BM1001" s="1"/>
      <c r="BN1001" s="2"/>
      <c r="BO1001" s="1"/>
      <c r="BP1001" s="1"/>
      <c r="BQ1001" s="1"/>
      <c r="BR1001" s="1"/>
      <c r="BS1001" s="1" t="s">
        <v>8139</v>
      </c>
      <c r="BT1001" s="5">
        <f>HYPERLINK("https%3A%2F%2Fwww.webofscience.com%2Fwos%2Fwoscc%2Ffull-record%2FWOS:000223712800914","View Full Record in Web of Science")</f>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savedrecs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2025-05-08T15:29:02.995Z</dcterms:created>
  <dcterms:modified xsi:type="dcterms:W3CDTF">2025-05-08T15:29:02.995Z</dcterms:modified>
</cp:coreProperties>
</file>